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общено засичане и БО" sheetId="1" state="visible" r:id="rId1"/>
    <sheet xmlns:r="http://schemas.openxmlformats.org/officeDocument/2006/relationships" name="Разбивка по 11 магазина" sheetId="2" state="visible" r:id="rId2"/>
    <sheet xmlns:r="http://schemas.openxmlformats.org/officeDocument/2006/relationships" name="Брандове и мулти-дивизии" sheetId="3" state="visible" r:id="rId3"/>
    <sheet xmlns:r="http://schemas.openxmlformats.org/officeDocument/2006/relationships" name="Credit Control &amp; Прихващания" sheetId="4" state="visible" r:id="rId4"/>
    <sheet xmlns:r="http://schemas.openxmlformats.org/officeDocument/2006/relationships" name="Маркетинг и разходи" sheetId="5" state="visible" r:id="rId5"/>
    <sheet xmlns:r="http://schemas.openxmlformats.org/officeDocument/2006/relationships" name="Регистър получени имейл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1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b val="1"/>
      <color rgb="00333333"/>
      <sz val="11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B365D"/>
      <sz val="10"/>
    </font>
    <font>
      <name val="Calibri"/>
      <b val="1"/>
      <color rgb="00000000"/>
      <sz val="10"/>
    </font>
    <font>
      <name val="Calibri"/>
      <b val="1"/>
      <color rgb="00C5221F"/>
      <sz val="10"/>
    </font>
    <font>
      <name val="Calibri"/>
      <b val="1"/>
      <color rgb="00B06000"/>
      <sz val="10"/>
    </font>
    <font>
      <name val="Calibri"/>
      <b val="1"/>
      <color rgb="00137333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  <fill>
      <patternFill patternType="solid">
        <fgColor rgb="00EAEFF5"/>
        <bgColor rgb="00EAEFF5"/>
      </patternFill>
    </fill>
    <fill>
      <patternFill patternType="solid">
        <fgColor rgb="002E5B88"/>
        <bgColor rgb="002E5B88"/>
      </patternFill>
    </fill>
    <fill>
      <patternFill patternType="solid">
        <fgColor rgb="00FCE8E6"/>
        <bgColor rgb="00FCE8E6"/>
      </patternFill>
    </fill>
    <fill>
      <patternFill patternType="solid">
        <fgColor rgb="00FEF7E0"/>
        <bgColor rgb="00FEF7E0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B365D"/>
      </top>
      <bottom style="medium">
        <color rgb="001B365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164" fontId="5" fillId="4" borderId="2" applyAlignment="1" pivotButton="0" quotePrefix="0" xfId="0">
      <alignment horizontal="right" vertical="center"/>
    </xf>
    <xf numFmtId="0" fontId="0" fillId="5" borderId="3" pivotButton="0" quotePrefix="0" xfId="0"/>
    <xf numFmtId="0" fontId="6" fillId="5" borderId="3" applyAlignment="1" pivotButton="0" quotePrefix="0" xfId="0">
      <alignment horizontal="left" vertical="center" wrapText="1"/>
    </xf>
    <xf numFmtId="164" fontId="6" fillId="5" borderId="3" applyAlignment="1" pivotButton="0" quotePrefix="0" xfId="0">
      <alignment horizontal="right" vertical="center"/>
    </xf>
    <xf numFmtId="0" fontId="6" fillId="5" borderId="3" pivotButton="0" quotePrefix="0" xfId="0"/>
    <xf numFmtId="0" fontId="4" fillId="6" borderId="1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right" vertical="center"/>
    </xf>
    <xf numFmtId="164" fontId="7" fillId="4" borderId="2" applyAlignment="1" pivotButton="0" quotePrefix="0" xfId="0">
      <alignment horizontal="right" vertical="center"/>
    </xf>
    <xf numFmtId="164" fontId="8" fillId="7" borderId="2" applyAlignment="1" pivotButton="0" quotePrefix="0" xfId="0">
      <alignment horizontal="right" vertical="center"/>
    </xf>
    <xf numFmtId="0" fontId="9" fillId="3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0" fontId="2" fillId="0" borderId="0" pivotButton="0" quotePrefix="0" xfId="0"/>
    <xf numFmtId="0" fontId="5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/>
    </xf>
    <xf numFmtId="164" fontId="5" fillId="8" borderId="2" applyAlignment="1" pivotButton="0" quotePrefix="0" xfId="0">
      <alignment horizontal="right" vertical="center"/>
    </xf>
    <xf numFmtId="0" fontId="8" fillId="8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7" fillId="8" borderId="3" applyAlignment="1" pivotButton="0" quotePrefix="0" xfId="0">
      <alignment horizontal="left" vertical="center" wrapText="1"/>
    </xf>
    <xf numFmtId="0" fontId="7" fillId="8" borderId="3" applyAlignment="1" pivotButton="0" quotePrefix="0" xfId="0">
      <alignment horizontal="center" vertical="center"/>
    </xf>
    <xf numFmtId="164" fontId="7" fillId="8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wrapText="1"/>
    </xf>
    <xf numFmtId="0" fontId="7" fillId="3" borderId="2" pivotButton="0" quotePrefix="0" xfId="0"/>
    <xf numFmtId="0" fontId="5" fillId="3" borderId="2" pivotButton="0" quotePrefix="0" xfId="0"/>
    <xf numFmtId="0" fontId="0" fillId="0" borderId="2" pivotButton="0" quotePrefix="0" xfId="0"/>
    <xf numFmtId="0" fontId="7" fillId="4" borderId="2" pivotButton="0" quotePrefix="0" xfId="0"/>
    <xf numFmtId="0" fontId="5" fillId="4" borderId="2" pivotButton="0" quotePrefix="0" xfId="0"/>
    <xf numFmtId="0" fontId="10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28" customWidth="1" min="2" max="2"/>
    <col width="32" customWidth="1" min="3" max="3"/>
    <col width="28" customWidth="1" min="4" max="4"/>
    <col width="16" customWidth="1" min="5" max="5"/>
    <col width="16" customWidth="1" min="6" max="6"/>
    <col width="16" customWidth="1" min="7" max="7"/>
    <col width="20" customWidth="1" min="8" max="8"/>
    <col width="15" customWidth="1" min="9" max="9"/>
    <col width="15" customWidth="1" min="10" max="10"/>
    <col width="16" customWidth="1" min="11" max="11"/>
    <col width="16" customWidth="1" min="12" max="12"/>
    <col width="18" customWidth="1" min="13" max="13"/>
    <col width="32" customWidth="1" min="14" max="14"/>
  </cols>
  <sheetData>
    <row r="1">
      <c r="A1" s="1" t="inlineStr">
        <is>
          <t>ВЕРИГА СУПЕРМАРКЕТИ „БАКАЛИЯ“ — ЦЕНТРАЛЕН ТЪРГОВСКИ КОНТРОЛ</t>
        </is>
      </c>
    </row>
    <row r="2">
      <c r="A2" s="2" t="inlineStr">
        <is>
          <t>ЗАСИЧАНЕ НА СТОКООБОРОТИ И БОНУС ОБОРОТ (БО) ОТ ПОЛУЧЕНИ СПРАВКИ ПО ПОЩАТА — МЕСЕЦ АВГУСТ 2026 Г.</t>
        </is>
      </c>
    </row>
    <row r="3">
      <c r="A3" s="3" t="inlineStr">
        <is>
          <t>Всички суми са строго в ЕВРО (€) съгласно изискванията на AGENTS.md без никакво превалутиране. Наш оборот е чиста сума от 11-те обекта в Бюджета.</t>
        </is>
      </c>
    </row>
    <row r="5" ht="28" customHeight="1">
      <c r="A5" s="4" t="inlineStr">
        <is>
          <t>№</t>
        </is>
      </c>
      <c r="B5" s="4" t="inlineStr">
        <is>
          <t>Контрагент / Доставчик (по Бюджет)</t>
        </is>
      </c>
      <c r="C5" s="4" t="inlineStr">
        <is>
          <t>Бранд / Дивизия / Търговско направление</t>
        </is>
      </c>
      <c r="D5" s="4" t="inlineStr">
        <is>
          <t>Имейл подател</t>
        </is>
      </c>
      <c r="E5" s="4" t="inlineStr">
        <is>
          <t>Дата / Час</t>
        </is>
      </c>
      <c r="F5" s="4" t="inlineStr">
        <is>
          <t>Оборот доставчик
без ДДС (€)</t>
        </is>
      </c>
      <c r="G5" s="4" t="inlineStr">
        <is>
          <t>Оборот доставчик
с ДДС (€)</t>
        </is>
      </c>
      <c r="H5" s="4" t="inlineStr">
        <is>
          <t>Договорени условия
(ДТУ / % БО / Такса)</t>
        </is>
      </c>
      <c r="I5" s="4" t="inlineStr">
        <is>
          <t>Дължим БО
без ДДС (€)</t>
        </is>
      </c>
      <c r="J5" s="4" t="inlineStr">
        <is>
          <t>Дължим БО
с ДДС (€)</t>
        </is>
      </c>
      <c r="K5" s="4" t="inlineStr">
        <is>
          <t>КИ / Компенсация
с ДДС (€)</t>
        </is>
      </c>
      <c r="L5" s="4" t="inlineStr">
        <is>
          <t>Наш оборот Бюджет
с ДДС (€)</t>
        </is>
      </c>
      <c r="M5" s="4" t="inlineStr">
        <is>
          <t>Разлика доставчик vs.
Бюджет с ДДС (€)</t>
        </is>
      </c>
      <c r="N5" s="4" t="inlineStr">
        <is>
          <t>Статус, Credit Control &amp; Действие</t>
        </is>
      </c>
    </row>
    <row r="6" ht="20" customHeight="1">
      <c r="A6" s="5" t="n">
        <v>1</v>
      </c>
      <c r="B6" s="6" t="inlineStr">
        <is>
          <t>Аксон България АД</t>
        </is>
      </c>
      <c r="C6" s="6" t="inlineStr">
        <is>
          <t>29 бранда (Barilla, Dove, Domestos, Rexona, Durex...)</t>
        </is>
      </c>
      <c r="D6" s="6" t="inlineStr">
        <is>
          <t>Salesfood Sofia (salesfood@axxon-bg.com)</t>
        </is>
      </c>
      <c r="E6" s="5" t="inlineStr">
        <is>
          <t>02.09 10:08</t>
        </is>
      </c>
      <c r="F6" s="7" t="n">
        <v>3739.13</v>
      </c>
      <c r="G6" s="7" t="n">
        <v>4486.96</v>
      </c>
      <c r="H6" s="5" t="inlineStr">
        <is>
          <t>7% БО</t>
        </is>
      </c>
      <c r="I6" s="7" t="n">
        <v>261.74</v>
      </c>
      <c r="J6" s="7" t="n">
        <v>314.09</v>
      </c>
      <c r="K6" s="7" t="n">
        <v>0</v>
      </c>
      <c r="L6" s="7" t="n">
        <v>4512.85</v>
      </c>
      <c r="M6" s="7">
        <f>G6-L6</f>
        <v/>
      </c>
      <c r="N6" s="6" t="inlineStr">
        <is>
          <t>Засечен по брандове (разлика -25.89 €)</t>
        </is>
      </c>
    </row>
    <row r="7" ht="20" customHeight="1">
      <c r="A7" s="8" t="n">
        <v>2</v>
      </c>
      <c r="B7" s="9" t="inlineStr">
        <is>
          <t>Амперел ООД</t>
        </is>
      </c>
      <c r="C7" s="9" t="inlineStr">
        <is>
          <t>Храни (сух + хлад.) и Козметика К1</t>
        </is>
      </c>
      <c r="D7" s="9" t="inlineStr">
        <is>
          <t>Румен Михайлов (rmihaylov@amperel.net)</t>
        </is>
      </c>
      <c r="E7" s="8" t="inlineStr">
        <is>
          <t>03.09 11:17</t>
        </is>
      </c>
      <c r="F7" s="10" t="n">
        <v>6794.95</v>
      </c>
      <c r="G7" s="10" t="n">
        <v>8153.94</v>
      </c>
      <c r="H7" s="8" t="inlineStr">
        <is>
          <t>По ДТУ (Храни 10%, К1 16%)</t>
        </is>
      </c>
      <c r="I7" s="10" t="n">
        <v>703.96</v>
      </c>
      <c r="J7" s="10" t="n">
        <v>844.75</v>
      </c>
      <c r="K7" s="10" t="n">
        <v>0</v>
      </c>
      <c r="L7" s="10" t="n">
        <v>8200.950000000001</v>
      </c>
      <c r="M7" s="10">
        <f>G7-L7</f>
        <v/>
      </c>
      <c r="N7" s="9" t="inlineStr">
        <is>
          <t>Засечен (2 отделни фактури: К1 / Храни)</t>
        </is>
      </c>
    </row>
    <row r="8" ht="20" customHeight="1">
      <c r="A8" s="5" t="n">
        <v>3</v>
      </c>
      <c r="B8" s="6" t="inlineStr">
        <is>
          <t>Амфион МД ЕООД</t>
        </is>
      </c>
      <c r="C8" s="6" t="inlineStr">
        <is>
          <t>Елиаз ООД (Хляб и хлебни изделия)</t>
        </is>
      </c>
      <c r="D8" s="6" t="inlineStr">
        <is>
          <t>Елиаз ООД (office@eliaz-bg.com)</t>
        </is>
      </c>
      <c r="E8" s="5" t="inlineStr">
        <is>
          <t>04.09 13:09</t>
        </is>
      </c>
      <c r="F8" s="7" t="n">
        <v>4729.81</v>
      </c>
      <c r="G8" s="7" t="n">
        <v>5675.77</v>
      </c>
      <c r="H8" s="5" t="inlineStr">
        <is>
          <t>15% БО (с ДДС)</t>
        </is>
      </c>
      <c r="I8" s="7" t="n">
        <v>709.48</v>
      </c>
      <c r="J8" s="7" t="n">
        <v>851.37</v>
      </c>
      <c r="K8" s="7" t="n">
        <v>0</v>
      </c>
      <c r="L8" s="7" t="n">
        <v>5809.46</v>
      </c>
      <c r="M8" s="7">
        <f>G8-L8</f>
        <v/>
      </c>
      <c r="N8" s="6" t="inlineStr">
        <is>
          <t>Засечен по Янак Софт (БО 851.37 € с ДДС)</t>
        </is>
      </c>
    </row>
    <row r="9" ht="20" customHeight="1">
      <c r="A9" s="8" t="n">
        <v>4</v>
      </c>
      <c r="B9" s="9" t="inlineStr">
        <is>
          <t>Аспазия-92 ООД</t>
        </is>
      </c>
      <c r="C9" s="9" t="inlineStr">
        <is>
          <t>Безалкохолни напитки Аспазия</t>
        </is>
      </c>
      <c r="D9" s="9" t="inlineStr">
        <is>
          <t>Красимира Петрова (kpetrova@aspasia.bg)</t>
        </is>
      </c>
      <c r="E9" s="8" t="inlineStr">
        <is>
          <t>02.09 10:32</t>
        </is>
      </c>
      <c r="F9" s="10" t="n">
        <v>590.83</v>
      </c>
      <c r="G9" s="10" t="n">
        <v>708.99</v>
      </c>
      <c r="H9" s="8" t="inlineStr">
        <is>
          <t>15% БО по ДТУ</t>
        </is>
      </c>
      <c r="I9" s="10" t="n">
        <v>88.62</v>
      </c>
      <c r="J9" s="10" t="n">
        <v>106.35</v>
      </c>
      <c r="K9" s="10" t="n">
        <v>0</v>
      </c>
      <c r="L9" s="10" t="n">
        <v>732.55</v>
      </c>
      <c r="M9" s="10">
        <f>G9-L9</f>
        <v/>
      </c>
      <c r="N9" s="9" t="inlineStr">
        <is>
          <t>Засечен (липсват Редута и Хали Окр.)</t>
        </is>
      </c>
    </row>
    <row r="10" ht="20" customHeight="1">
      <c r="A10" s="5" t="n">
        <v>5</v>
      </c>
      <c r="B10" s="6" t="inlineStr">
        <is>
          <t>Белла България АД</t>
        </is>
      </c>
      <c r="C10" s="6" t="inlineStr">
        <is>
          <t>Фрешлоджик (тестени и месни замразени)</t>
        </is>
      </c>
      <c r="D10" s="6" t="inlineStr">
        <is>
          <t>Invoices Freshlogic (invoicesbella@freshlogic.bg)</t>
        </is>
      </c>
      <c r="E10" s="5" t="inlineStr">
        <is>
          <t>01.09 13:36</t>
        </is>
      </c>
      <c r="F10" s="7" t="n">
        <v>1053.83</v>
      </c>
      <c r="G10" s="7" t="n">
        <v>1264.6</v>
      </c>
      <c r="H10" s="5" t="inlineStr">
        <is>
          <t>Насрещно прихващане</t>
        </is>
      </c>
      <c r="I10" s="7" t="n">
        <v>0</v>
      </c>
      <c r="J10" s="7" t="n">
        <v>0</v>
      </c>
      <c r="K10" s="7" t="n">
        <v>-422.34</v>
      </c>
      <c r="L10" s="7" t="n">
        <v>1264.6</v>
      </c>
      <c r="M10" s="7">
        <f>G10-L10</f>
        <v/>
      </c>
      <c r="N10" s="6" t="inlineStr">
        <is>
          <t>Прихващане на КИ -422.34 € от Ф-ра 1686.94 €</t>
        </is>
      </c>
    </row>
    <row r="11" ht="20" customHeight="1">
      <c r="A11" s="8" t="n">
        <v>6</v>
      </c>
      <c r="B11" s="9" t="inlineStr">
        <is>
          <t>Био България ООД</t>
        </is>
      </c>
      <c r="C11" s="9" t="inlineStr">
        <is>
          <t>Хармоника (Био храни и млечни)</t>
        </is>
      </c>
      <c r="D11" s="9" t="inlineStr">
        <is>
          <t>Вергиния Петрова (verginia@bio-bulgaria.com)</t>
        </is>
      </c>
      <c r="E11" s="8" t="inlineStr">
        <is>
          <t>02.09 15:05</t>
        </is>
      </c>
      <c r="F11" s="10" t="n">
        <v>2371</v>
      </c>
      <c r="G11" s="10" t="n">
        <v>2845.2</v>
      </c>
      <c r="H11" s="8" t="inlineStr">
        <is>
          <t>По ДТУ</t>
        </is>
      </c>
      <c r="I11" s="10" t="n">
        <v>0</v>
      </c>
      <c r="J11" s="10" t="n">
        <v>0</v>
      </c>
      <c r="K11" s="10" t="n">
        <v>-60.73</v>
      </c>
      <c r="L11" s="10" t="n">
        <v>2617.97</v>
      </c>
      <c r="M11" s="10">
        <f>G11-L11</f>
        <v/>
      </c>
      <c r="N11" s="9" t="inlineStr">
        <is>
          <t>Засечен по имейл. Заявен брак: 60.73 €</t>
        </is>
      </c>
    </row>
    <row r="12" ht="20" customHeight="1">
      <c r="A12" s="5" t="n">
        <v>7</v>
      </c>
      <c r="B12" s="6" t="inlineStr">
        <is>
          <t>Виктория нутс ЕООД</t>
        </is>
      </c>
      <c r="C12" s="6" t="inlineStr">
        <is>
          <t>Rois (ядки и сушени плодове)</t>
        </is>
      </c>
      <c r="D12" s="6" t="inlineStr">
        <is>
          <t>Борис Свиленов (b.svilenov@victorianuts.com)</t>
        </is>
      </c>
      <c r="E12" s="5" t="inlineStr">
        <is>
          <t>01.09 11:28</t>
        </is>
      </c>
      <c r="F12" s="7" t="n">
        <v>3024.7</v>
      </c>
      <c r="G12" s="7" t="n">
        <v>3629.64</v>
      </c>
      <c r="H12" s="5" t="inlineStr">
        <is>
          <t>По ДТУ</t>
        </is>
      </c>
      <c r="I12" s="7" t="n">
        <v>0</v>
      </c>
      <c r="J12" s="7" t="n">
        <v>0</v>
      </c>
      <c r="K12" s="7" t="n">
        <v>0</v>
      </c>
      <c r="L12" s="7" t="n">
        <v>4315.17</v>
      </c>
      <c r="M12" s="7">
        <f>G12-L12</f>
        <v/>
      </c>
      <c r="N12" s="6" t="inlineStr">
        <is>
          <t>Засечен за 11 обекта (вкл. Викт. комерс 99)</t>
        </is>
      </c>
    </row>
    <row r="13" ht="20" customHeight="1">
      <c r="A13" s="8" t="n">
        <v>8</v>
      </c>
      <c r="B13" s="9" t="inlineStr">
        <is>
          <t>Винен Свят ЕООД</t>
        </is>
      </c>
      <c r="C13" s="9" t="inlineStr">
        <is>
          <t>Вина и напитки (Мария Радкова)</t>
        </is>
      </c>
      <c r="D13" s="9" t="inlineStr">
        <is>
          <t>Мария Радкова (vinensvyat@gmail.com)</t>
        </is>
      </c>
      <c r="E13" s="8" t="inlineStr">
        <is>
          <t>03.09 15:14</t>
        </is>
      </c>
      <c r="F13" s="10" t="n">
        <v>382.81</v>
      </c>
      <c r="G13" s="10" t="n">
        <v>459.37</v>
      </c>
      <c r="H13" s="8" t="inlineStr">
        <is>
          <t>По ДТУ</t>
        </is>
      </c>
      <c r="I13" s="10" t="n">
        <v>0</v>
      </c>
      <c r="J13" s="10" t="n">
        <v>0</v>
      </c>
      <c r="K13" s="10" t="n">
        <v>0</v>
      </c>
      <c r="L13" s="10" t="n">
        <v>529.34</v>
      </c>
      <c r="M13" s="10">
        <f>G13-L13</f>
        <v/>
      </c>
      <c r="N13" s="9" t="inlineStr">
        <is>
          <t>Справка Microinvest (заредени само 4 обекта)</t>
        </is>
      </c>
    </row>
    <row r="14" ht="20" customHeight="1">
      <c r="A14" s="5" t="n">
        <v>9</v>
      </c>
      <c r="B14" s="6" t="inlineStr">
        <is>
          <t>Виста АВТ АД</t>
        </is>
      </c>
      <c r="C14" s="6" t="inlineStr">
        <is>
          <t>Starfoods, Ferrero, JDE, Lotus, Tonys</t>
        </is>
      </c>
      <c r="D14" s="6" t="inlineStr">
        <is>
          <t>Ивета Иванова (iveta.ivanova@vistaawt.com)</t>
        </is>
      </c>
      <c r="E14" s="5" t="inlineStr">
        <is>
          <t>01.09 11:50</t>
        </is>
      </c>
      <c r="F14" s="7" t="n">
        <v>7529.07</v>
      </c>
      <c r="G14" s="7" t="n">
        <v>9034.879999999999</v>
      </c>
      <c r="H14" s="5" t="inlineStr">
        <is>
          <t>БО по брандове</t>
        </is>
      </c>
      <c r="I14" s="7" t="n">
        <v>503.97</v>
      </c>
      <c r="J14" s="7" t="n">
        <v>604.76</v>
      </c>
      <c r="K14" s="7" t="n">
        <v>0</v>
      </c>
      <c r="L14" s="7" t="n">
        <v>9894.67</v>
      </c>
      <c r="M14" s="7">
        <f>G14-L14</f>
        <v/>
      </c>
      <c r="N14" s="6" t="inlineStr">
        <is>
          <t>Засечен по Excel справка (5 бранда отделно)</t>
        </is>
      </c>
    </row>
    <row r="15" ht="20" customHeight="1">
      <c r="A15" s="8" t="n">
        <v>10</v>
      </c>
      <c r="B15" s="9" t="inlineStr">
        <is>
          <t>Дестан ООД</t>
        </is>
      </c>
      <c r="C15" s="9" t="inlineStr">
        <is>
          <t>Млечни продукти Дестан</t>
        </is>
      </c>
      <c r="D15" s="9" t="inlineStr">
        <is>
          <t>Дестан София (destan_sofia@abv.bg)</t>
        </is>
      </c>
      <c r="E15" s="8" t="inlineStr">
        <is>
          <t>01.09 12:03</t>
        </is>
      </c>
      <c r="F15" s="10" t="n">
        <v>3205.48</v>
      </c>
      <c r="G15" s="10" t="n">
        <v>3846.58</v>
      </c>
      <c r="H15" s="8" t="inlineStr">
        <is>
          <t>По ДТУ</t>
        </is>
      </c>
      <c r="I15" s="10" t="n">
        <v>0</v>
      </c>
      <c r="J15" s="10" t="n">
        <v>0</v>
      </c>
      <c r="K15" s="10" t="n">
        <v>0</v>
      </c>
      <c r="L15" s="10" t="n">
        <v>3867.64</v>
      </c>
      <c r="M15" s="10">
        <f>G15-L15</f>
        <v/>
      </c>
      <c r="N15" s="9" t="inlineStr">
        <is>
          <t>Засечен 100% за 11 обекта (разлика -21.06 €)</t>
        </is>
      </c>
    </row>
    <row r="16" ht="20" customHeight="1">
      <c r="A16" s="5" t="n">
        <v>11</v>
      </c>
      <c r="B16" s="6" t="inlineStr">
        <is>
          <t>Експрес Дистрибюшън ЕООД</t>
        </is>
      </c>
      <c r="C16" s="6" t="inlineStr">
        <is>
          <t>Маджаров (месни/млечни) + Други стоки</t>
        </is>
      </c>
      <c r="D16" s="6" t="inlineStr">
        <is>
          <t>Finance ExDi (finance@exdi.bg)</t>
        </is>
      </c>
      <c r="E16" s="5" t="inlineStr">
        <is>
          <t>03.09 12:12</t>
        </is>
      </c>
      <c r="F16" s="7" t="n">
        <v>11159.28</v>
      </c>
      <c r="G16" s="7" t="n">
        <v>13391.13</v>
      </c>
      <c r="H16" s="5" t="inlineStr">
        <is>
          <t>По ДТУ</t>
        </is>
      </c>
      <c r="I16" s="7" t="n">
        <v>0</v>
      </c>
      <c r="J16" s="7" t="n">
        <v>0</v>
      </c>
      <c r="K16" s="7" t="n">
        <v>0</v>
      </c>
      <c r="L16" s="7" t="n">
        <v>13242.54</v>
      </c>
      <c r="M16" s="7">
        <f>G16-L16</f>
        <v/>
      </c>
      <c r="N16" s="6" t="inlineStr">
        <is>
          <t>Засечен (в Бюджет на едно, фактури отделно)</t>
        </is>
      </c>
    </row>
    <row r="17" ht="20" customHeight="1">
      <c r="A17" s="8" t="n">
        <v>12</v>
      </c>
      <c r="B17" s="9" t="inlineStr">
        <is>
          <t>ЕЛВИ ООД</t>
        </is>
      </c>
      <c r="C17" s="9" t="inlineStr">
        <is>
          <t>Боженци (3948.26 €) + Тертер (1285.97 €)</t>
        </is>
      </c>
      <c r="D17" s="9" t="inlineStr">
        <is>
          <t>Станимир Иванов (marketing@elvimilk.com)</t>
        </is>
      </c>
      <c r="E17" s="8" t="inlineStr">
        <is>
          <t>04.09 11:56</t>
        </is>
      </c>
      <c r="F17" s="10" t="n">
        <v>5234.23</v>
      </c>
      <c r="G17" s="10" t="n">
        <v>6281.08</v>
      </c>
      <c r="H17" s="8" t="inlineStr">
        <is>
          <t>По ДТУ</t>
        </is>
      </c>
      <c r="I17" s="10" t="n">
        <v>0</v>
      </c>
      <c r="J17" s="10" t="n">
        <v>0</v>
      </c>
      <c r="K17" s="10" t="n">
        <v>0</v>
      </c>
      <c r="L17" s="10" t="n">
        <v>6281.08</v>
      </c>
      <c r="M17" s="10">
        <f>G17-L17</f>
        <v/>
      </c>
      <c r="N17" s="9" t="inlineStr">
        <is>
          <t>Засечен 100% (съвпада абсолютно с Бюджета)</t>
        </is>
      </c>
    </row>
    <row r="18" ht="20" customHeight="1">
      <c r="A18" s="5" t="n">
        <v>13</v>
      </c>
      <c r="B18" s="6" t="inlineStr">
        <is>
          <t>ЕМГ Комерсиал ООД</t>
        </is>
      </c>
      <c r="C18" s="6" t="inlineStr">
        <is>
          <t>Девин, Тимбарк и др. (доставки 16-31.08)</t>
        </is>
      </c>
      <c r="D18" s="6" t="inlineStr">
        <is>
          <t>Антоанета Фудулска (emg.komersial@gmail.com)</t>
        </is>
      </c>
      <c r="E18" s="5" t="inlineStr">
        <is>
          <t>01.09 13:58</t>
        </is>
      </c>
      <c r="F18" s="7" t="n">
        <v>18833.08</v>
      </c>
      <c r="G18" s="7" t="n">
        <v>22599.7</v>
      </c>
      <c r="H18" s="5" t="inlineStr">
        <is>
          <t>По ДТУ</t>
        </is>
      </c>
      <c r="I18" s="7" t="n">
        <v>0</v>
      </c>
      <c r="J18" s="7" t="n">
        <v>0</v>
      </c>
      <c r="K18" s="7" t="n">
        <v>0</v>
      </c>
      <c r="L18" s="7" t="n">
        <v>19229.15</v>
      </c>
      <c r="M18" s="7">
        <f>G18-L18</f>
        <v/>
      </c>
      <c r="N18" s="6" t="inlineStr">
        <is>
          <t>Засечен по втора половина на август</t>
        </is>
      </c>
    </row>
    <row r="19" ht="20" customHeight="1">
      <c r="A19" s="8" t="n">
        <v>14</v>
      </c>
      <c r="B19" s="9" t="inlineStr">
        <is>
          <t>Ефект 2002 ООД</t>
        </is>
      </c>
      <c r="C19" s="9" t="inlineStr">
        <is>
          <t>Сладкарски и пакетирани стоки</t>
        </is>
      </c>
      <c r="D19" s="9" t="inlineStr">
        <is>
          <t>Николета Талева (n.taleva@effect.bg)</t>
        </is>
      </c>
      <c r="E19" s="8" t="inlineStr">
        <is>
          <t>02.09 15:27</t>
        </is>
      </c>
      <c r="F19" s="10" t="n">
        <v>18076.36</v>
      </c>
      <c r="G19" s="10" t="n">
        <v>21691.63</v>
      </c>
      <c r="H19" s="8" t="inlineStr">
        <is>
          <t>10% / 12% БО</t>
        </is>
      </c>
      <c r="I19" s="10" t="n">
        <v>2169.16</v>
      </c>
      <c r="J19" s="10" t="n">
        <v>2602.99</v>
      </c>
      <c r="K19" s="10" t="n">
        <v>0</v>
      </c>
      <c r="L19" s="10" t="n">
        <v>18819.72</v>
      </c>
      <c r="M19" s="10">
        <f>G19-L19</f>
        <v/>
      </c>
      <c r="N19" s="9" t="inlineStr">
        <is>
          <t>Изчислен БО от доставчика: 2 169.16 € нето</t>
        </is>
      </c>
    </row>
    <row r="20" ht="20" customHeight="1">
      <c r="A20" s="5" t="n">
        <v>15</v>
      </c>
      <c r="B20" s="6" t="inlineStr">
        <is>
          <t>Интерфудс България ЕАД</t>
        </is>
      </c>
      <c r="C20" s="6" t="inlineStr">
        <is>
          <t>Chupa Chups, Mentos, Wet Hankies</t>
        </is>
      </c>
      <c r="D20" s="6" t="inlineStr">
        <is>
          <t>Мариана Стефанова (Mariana.Stefanova@interfoodsbg.com)</t>
        </is>
      </c>
      <c r="E20" s="5" t="inlineStr">
        <is>
          <t>01.09 09:47</t>
        </is>
      </c>
      <c r="F20" s="7" t="n">
        <v>3028.14</v>
      </c>
      <c r="G20" s="7" t="n">
        <v>3633.77</v>
      </c>
      <c r="H20" s="5" t="inlineStr">
        <is>
          <t>По ДТУ</t>
        </is>
      </c>
      <c r="I20" s="7" t="n">
        <v>0</v>
      </c>
      <c r="J20" s="7" t="n">
        <v>0</v>
      </c>
      <c r="K20" s="7" t="n">
        <v>0</v>
      </c>
      <c r="L20" s="7" t="n">
        <v>3650.37</v>
      </c>
      <c r="M20" s="7">
        <f>G20-L20</f>
        <v/>
      </c>
      <c r="N20" s="6" t="inlineStr">
        <is>
          <t>Засечен по опис (разлика -16.60 €)</t>
        </is>
      </c>
    </row>
    <row r="21" ht="20" customHeight="1">
      <c r="A21" s="8" t="n">
        <v>16</v>
      </c>
      <c r="B21" s="9" t="inlineStr">
        <is>
          <t>Компас ЕООД</t>
        </is>
      </c>
      <c r="C21" s="9" t="inlineStr">
        <is>
          <t>Пастети и месни консерви Компас</t>
        </is>
      </c>
      <c r="D21" s="9" t="inlineStr">
        <is>
          <t>Гергана Григорова (gergana.grigorova@compass-bg.com)</t>
        </is>
      </c>
      <c r="E21" s="8" t="inlineStr">
        <is>
          <t>03.09 16:51</t>
        </is>
      </c>
      <c r="F21" s="10" t="n">
        <v>1663.86</v>
      </c>
      <c r="G21" s="10" t="n">
        <v>1996.63</v>
      </c>
      <c r="H21" s="8" t="inlineStr">
        <is>
          <t>7% БО</t>
        </is>
      </c>
      <c r="I21" s="10" t="n">
        <v>116.47</v>
      </c>
      <c r="J21" s="10" t="n">
        <v>139.76</v>
      </c>
      <c r="K21" s="10" t="n">
        <v>0</v>
      </c>
      <c r="L21" s="10" t="n">
        <v>1996.63</v>
      </c>
      <c r="M21" s="10">
        <f>G21-L21</f>
        <v/>
      </c>
      <c r="N21" s="9" t="inlineStr">
        <is>
          <t>Съвпада 100%. БО за фактуриране: 116.47 € нето</t>
        </is>
      </c>
    </row>
    <row r="22" ht="20" customHeight="1">
      <c r="A22" s="5" t="n">
        <v>17</v>
      </c>
      <c r="B22" s="6" t="inlineStr">
        <is>
          <t>Мес-ко ЕООД</t>
        </is>
      </c>
      <c r="C22" s="6" t="inlineStr">
        <is>
          <t>Месни деликатеси Мес-ко</t>
        </is>
      </c>
      <c r="D22" s="6" t="inlineStr">
        <is>
          <t>Маргарита Иванова (margarita7@abv.bg)</t>
        </is>
      </c>
      <c r="E22" s="5" t="inlineStr">
        <is>
          <t>02.09 09:46</t>
        </is>
      </c>
      <c r="F22" s="7" t="n">
        <v>2746.81</v>
      </c>
      <c r="G22" s="7" t="n">
        <v>3296.17</v>
      </c>
      <c r="H22" s="5" t="inlineStr">
        <is>
          <t>По ДТУ</t>
        </is>
      </c>
      <c r="I22" s="7" t="n">
        <v>0</v>
      </c>
      <c r="J22" s="7" t="n">
        <v>0</v>
      </c>
      <c r="K22" s="7" t="n">
        <v>0</v>
      </c>
      <c r="L22" s="7" t="n">
        <v>2781.72</v>
      </c>
      <c r="M22" s="7">
        <f>G22-L22</f>
        <v/>
      </c>
      <c r="N22" s="6" t="inlineStr">
        <is>
          <t>13 фактури (2845.35 €) минус 4 КИ (98.54 €)</t>
        </is>
      </c>
    </row>
    <row r="23" ht="20" customHeight="1">
      <c r="A23" s="8" t="n">
        <v>18</v>
      </c>
      <c r="B23" s="9" t="inlineStr">
        <is>
          <t>Миракъл -Краси Мейкър</t>
        </is>
      </c>
      <c r="C23" s="9" t="inlineStr">
        <is>
          <t>Майонеза Краси (МКМ Лоджистик)</t>
        </is>
      </c>
      <c r="D23" s="9" t="inlineStr">
        <is>
          <t>Велислав Кирчев (velislavkirchev@gmail.com)</t>
        </is>
      </c>
      <c r="E23" s="8" t="inlineStr">
        <is>
          <t>01.09 12:44</t>
        </is>
      </c>
      <c r="F23" s="10" t="n">
        <v>1591.83</v>
      </c>
      <c r="G23" s="10" t="n">
        <v>1910.2</v>
      </c>
      <c r="H23" s="8" t="inlineStr">
        <is>
          <t>По ДТУ</t>
        </is>
      </c>
      <c r="I23" s="10" t="n">
        <v>0</v>
      </c>
      <c r="J23" s="10" t="n">
        <v>0</v>
      </c>
      <c r="K23" s="10" t="n">
        <v>0</v>
      </c>
      <c r="L23" s="10" t="n">
        <v>2000.8</v>
      </c>
      <c r="M23" s="10">
        <f>G23-L23</f>
        <v/>
      </c>
      <c r="N23" s="9" t="inlineStr">
        <is>
          <t>Засечен по ODS отчет за 11 обекта</t>
        </is>
      </c>
    </row>
    <row r="24" ht="20" customHeight="1">
      <c r="A24" s="5" t="n">
        <v>19</v>
      </c>
      <c r="B24" s="6" t="inlineStr">
        <is>
          <t>Мургаш 88 ООД</t>
        </is>
      </c>
      <c r="C24" s="6" t="inlineStr">
        <is>
          <t>Верея, Олимпус, Мургаш, ЕкоМес, САМИ...</t>
        </is>
      </c>
      <c r="D24" s="6" t="inlineStr">
        <is>
          <t>Розен Йорданов (r.yordanov@murgash.com)</t>
        </is>
      </c>
      <c r="E24" s="5" t="inlineStr">
        <is>
          <t>02.09 11:30</t>
        </is>
      </c>
      <c r="F24" s="7" t="n">
        <v>29166.79</v>
      </c>
      <c r="G24" s="7" t="n">
        <v>35000.15</v>
      </c>
      <c r="H24" s="5" t="inlineStr">
        <is>
          <t>110 лв брошура</t>
        </is>
      </c>
      <c r="I24" s="7" t="n">
        <v>0</v>
      </c>
      <c r="J24" s="7" t="n">
        <v>0</v>
      </c>
      <c r="K24" s="7" t="n">
        <v>0</v>
      </c>
      <c r="L24" s="7" t="n">
        <v>42822.34</v>
      </c>
      <c r="M24" s="7">
        <f>G24-L24</f>
        <v/>
      </c>
      <c r="N24" s="6" t="inlineStr">
        <is>
          <t>Засечен по 11 бранда (без Лактима!)</t>
        </is>
      </c>
    </row>
    <row r="25" ht="20" customHeight="1">
      <c r="A25" s="8" t="n">
        <v>20</v>
      </c>
      <c r="B25" s="9" t="inlineStr">
        <is>
          <t>Пауърмарк ООД</t>
        </is>
      </c>
      <c r="C25" s="9" t="inlineStr">
        <is>
          <t>Пауърмарк пакетирани стоки</t>
        </is>
      </c>
      <c r="D25" s="9" t="inlineStr">
        <is>
          <t>Соня Арванитидис (s.arvanitidis@powermark.bg)</t>
        </is>
      </c>
      <c r="E25" s="8" t="inlineStr">
        <is>
          <t>04.09 09:31</t>
        </is>
      </c>
      <c r="F25" s="10" t="n">
        <v>1040.68</v>
      </c>
      <c r="G25" s="10" t="n">
        <v>1248.82</v>
      </c>
      <c r="H25" s="8" t="inlineStr">
        <is>
          <t>Спорни 15% БО</t>
        </is>
      </c>
      <c r="I25" s="10" t="n">
        <v>0</v>
      </c>
      <c r="J25" s="10" t="n">
        <v>0</v>
      </c>
      <c r="K25" s="10" t="n">
        <v>0</v>
      </c>
      <c r="L25" s="10" t="n">
        <v>4306.97</v>
      </c>
      <c r="M25" s="10">
        <f>G25-L25</f>
        <v/>
      </c>
      <c r="N25" s="9" t="inlineStr">
        <is>
          <t>Разминаване между Киров и Арванитидис. Задържа се!</t>
        </is>
      </c>
    </row>
    <row r="26" ht="20" customHeight="1">
      <c r="A26" s="5" t="n">
        <v>21</v>
      </c>
      <c r="B26" s="6" t="inlineStr">
        <is>
          <t>Пиринско / Карлсберг</t>
        </is>
      </c>
      <c r="C26" s="6" t="inlineStr">
        <is>
          <t>Бира Пиринско кен 0.5л (Гайдов)</t>
        </is>
      </c>
      <c r="D26" s="6" t="inlineStr">
        <is>
          <t>Георги Гайдов (gg@gaidov.bg)</t>
        </is>
      </c>
      <c r="E26" s="5" t="inlineStr">
        <is>
          <t>02.09 20:10</t>
        </is>
      </c>
      <c r="F26" s="7" t="n">
        <v>-1512.52</v>
      </c>
      <c r="G26" s="7" t="n">
        <v>-1815.02</v>
      </c>
      <c r="H26" s="5" t="inlineStr">
        <is>
          <t>Насрещно прихващане</t>
        </is>
      </c>
      <c r="I26" s="7" t="n">
        <v>0</v>
      </c>
      <c r="J26" s="7" t="n">
        <v>0</v>
      </c>
      <c r="K26" s="7" t="n">
        <v>-1815.02</v>
      </c>
      <c r="L26" s="7" t="n">
        <v>0</v>
      </c>
      <c r="M26" s="7">
        <f>G26-L26</f>
        <v/>
      </c>
      <c r="N26" s="6" t="inlineStr">
        <is>
          <t>КИ № 0020099058 за прихващане от плащане бира!</t>
        </is>
      </c>
    </row>
    <row r="27" ht="20" customHeight="1">
      <c r="A27" s="8" t="n">
        <v>22</v>
      </c>
      <c r="B27" s="9" t="inlineStr">
        <is>
          <t>Селеста Трейдинг ООД</t>
        </is>
      </c>
      <c r="C27" s="9" t="inlineStr">
        <is>
          <t>Вносни деликатеси и сирена</t>
        </is>
      </c>
      <c r="D27" s="9" t="inlineStr">
        <is>
          <t>Лилия Вардова (liliya.vardova@selesta-trading.bg)</t>
        </is>
      </c>
      <c r="E27" s="8" t="inlineStr">
        <is>
          <t>03.09 17:02</t>
        </is>
      </c>
      <c r="F27" s="10" t="n">
        <v>1677.93</v>
      </c>
      <c r="G27" s="10" t="n">
        <v>2013.52</v>
      </c>
      <c r="H27" s="8" t="inlineStr">
        <is>
          <t>20% БО (0 лв брошура)</t>
        </is>
      </c>
      <c r="I27" s="10" t="n">
        <v>335.59</v>
      </c>
      <c r="J27" s="10" t="n">
        <v>402.7</v>
      </c>
      <c r="K27" s="10" t="n">
        <v>0</v>
      </c>
      <c r="L27" s="10" t="n">
        <v>990.99</v>
      </c>
      <c r="M27" s="10">
        <f>G27-L27</f>
        <v/>
      </c>
      <c r="N27" s="9" t="inlineStr">
        <is>
          <t>По ДТУ: 20% БО = 335.59 € нето (0 лв брошура)</t>
        </is>
      </c>
    </row>
    <row r="28" ht="20" customHeight="1">
      <c r="A28" s="5" t="n">
        <v>23</v>
      </c>
      <c r="B28" s="6" t="inlineStr">
        <is>
          <t>Сириус 2005 ООД</t>
        </is>
      </c>
      <c r="C28" s="6" t="inlineStr">
        <is>
          <t>Боженци, КФМ, Тертер, Бор Чвор, Пчелин</t>
        </is>
      </c>
      <c r="D28" s="6" t="inlineStr">
        <is>
          <t>Orders1 (orders1@sirius2005.com)</t>
        </is>
      </c>
      <c r="E28" s="5" t="inlineStr">
        <is>
          <t>02.09 15:06</t>
        </is>
      </c>
      <c r="F28" s="7" t="n">
        <v>14251.54</v>
      </c>
      <c r="G28" s="7" t="n">
        <v>17101.85</v>
      </c>
      <c r="H28" s="5" t="inlineStr">
        <is>
          <t>По ДТУ</t>
        </is>
      </c>
      <c r="I28" s="7" t="n">
        <v>0</v>
      </c>
      <c r="J28" s="7" t="n">
        <v>0</v>
      </c>
      <c r="K28" s="7" t="n">
        <v>0</v>
      </c>
      <c r="L28" s="7" t="n">
        <v>22523.37</v>
      </c>
      <c r="M28" s="7">
        <f>G28-L28</f>
        <v/>
      </c>
      <c r="N28" s="6" t="inlineStr">
        <is>
          <t>5 отчета по брандове. Лактима минава през Сириус</t>
        </is>
      </c>
    </row>
    <row r="29" ht="20" customHeight="1">
      <c r="A29" s="8" t="n">
        <v>24</v>
      </c>
      <c r="B29" s="9" t="inlineStr">
        <is>
          <t>Тандем -В ООД</t>
        </is>
      </c>
      <c r="C29" s="9" t="inlineStr">
        <is>
          <t>Тандем месни деликатеси</t>
        </is>
      </c>
      <c r="D29" s="9" t="inlineStr">
        <is>
          <t>Марина Михайлова (mihaylova@tandem.bg)</t>
        </is>
      </c>
      <c r="E29" s="8" t="inlineStr">
        <is>
          <t>01.09 11:30</t>
        </is>
      </c>
      <c r="F29" s="10" t="n">
        <v>8542.219999999999</v>
      </c>
      <c r="G29" s="10" t="n">
        <v>10250.66</v>
      </c>
      <c r="H29" s="8" t="inlineStr">
        <is>
          <t>110 лв брошура</t>
        </is>
      </c>
      <c r="I29" s="10" t="n">
        <v>0</v>
      </c>
      <c r="J29" s="10" t="n">
        <v>0</v>
      </c>
      <c r="K29" s="10" t="n">
        <v>0</v>
      </c>
      <c r="L29" s="10" t="n">
        <v>5251.49</v>
      </c>
      <c r="M29" s="10">
        <f>G29-L29</f>
        <v/>
      </c>
      <c r="N29" s="9" t="inlineStr">
        <is>
          <t>Пълен опис по магазини за 10 250.66 € с ДДС</t>
        </is>
      </c>
    </row>
    <row r="30" ht="20" customHeight="1">
      <c r="A30" s="5" t="n">
        <v>25</v>
      </c>
      <c r="B30" s="6" t="inlineStr">
        <is>
          <t>Филикон 97 АД</t>
        </is>
      </c>
      <c r="C30" s="6" t="inlineStr">
        <is>
          <t>Филикон сокове и консерви (корекция)</t>
        </is>
      </c>
      <c r="D30" s="6" t="inlineStr">
        <is>
          <t>Румен Цветков (sofia_kk@philicon.bg)</t>
        </is>
      </c>
      <c r="E30" s="5" t="inlineStr">
        <is>
          <t>02.09 12:26</t>
        </is>
      </c>
      <c r="F30" s="7" t="n">
        <v>2337.54</v>
      </c>
      <c r="G30" s="7" t="n">
        <v>2805.05</v>
      </c>
      <c r="H30" s="5" t="inlineStr">
        <is>
          <t>220 лв брошура</t>
        </is>
      </c>
      <c r="I30" s="7" t="n">
        <v>0</v>
      </c>
      <c r="J30" s="7" t="n">
        <v>0</v>
      </c>
      <c r="K30" s="7" t="n">
        <v>0</v>
      </c>
      <c r="L30" s="7" t="n">
        <v>3696.44</v>
      </c>
      <c r="M30" s="7">
        <f>G30-L30</f>
        <v/>
      </c>
      <c r="N30" s="6" t="inlineStr">
        <is>
          <t>Коригирана справка за 10 обекта (без Люлин 7)</t>
        </is>
      </c>
    </row>
    <row r="31" ht="20" customHeight="1">
      <c r="A31" s="8" t="n">
        <v>26</v>
      </c>
      <c r="B31" s="9" t="inlineStr">
        <is>
          <t>Фронери България ЕООД</t>
        </is>
      </c>
      <c r="C31" s="9" t="inlineStr">
        <is>
          <t>Сладоледи Nestle / Froneri (OLAP)</t>
        </is>
      </c>
      <c r="D31" s="9" t="inlineStr">
        <is>
          <t>Цветелин Целев (tsvetelin.tselev@bg.froneri.com)</t>
        </is>
      </c>
      <c r="E31" s="8" t="inlineStr">
        <is>
          <t>03.09 08:48</t>
        </is>
      </c>
      <c r="F31" s="10" t="n">
        <v>21588.73</v>
      </c>
      <c r="G31" s="10" t="n">
        <v>25906.48</v>
      </c>
      <c r="H31" s="8" t="inlineStr">
        <is>
          <t>35% БО (0 лв брошура)</t>
        </is>
      </c>
      <c r="I31" s="10" t="n">
        <v>7556.06</v>
      </c>
      <c r="J31" s="10" t="n">
        <v>9067.27</v>
      </c>
      <c r="K31" s="10" t="n">
        <v>0</v>
      </c>
      <c r="L31" s="10" t="n">
        <v>25502.01</v>
      </c>
      <c r="M31" s="10">
        <f>G31-L31</f>
        <v/>
      </c>
      <c r="N31" s="9" t="inlineStr">
        <is>
          <t>NIV 21 588.73 €. БО 35% = 7 556.06 € нето (готово!)</t>
        </is>
      </c>
    </row>
    <row r="32" ht="20" customHeight="1">
      <c r="A32" s="5" t="n">
        <v>27</v>
      </c>
      <c r="B32" s="6" t="inlineStr">
        <is>
          <t>Хами Интернешънъл ООД</t>
        </is>
      </c>
      <c r="C32" s="6" t="inlineStr">
        <is>
          <t>Детски храни Hami (15 доставки)</t>
        </is>
      </c>
      <c r="D32" s="6" t="inlineStr">
        <is>
          <t>Александър Христов (office@hami-eu.com)</t>
        </is>
      </c>
      <c r="E32" s="5" t="inlineStr">
        <is>
          <t>01.09 14:25</t>
        </is>
      </c>
      <c r="F32" s="7" t="n">
        <v>1295.16</v>
      </c>
      <c r="G32" s="7" t="n">
        <v>1554.19</v>
      </c>
      <c r="H32" s="5" t="inlineStr">
        <is>
          <t>0 лв брошура</t>
        </is>
      </c>
      <c r="I32" s="7" t="n">
        <v>0</v>
      </c>
      <c r="J32" s="7" t="n">
        <v>0</v>
      </c>
      <c r="K32" s="7" t="n">
        <v>0</v>
      </c>
      <c r="L32" s="7" t="n">
        <v>1241.42</v>
      </c>
      <c r="M32" s="7">
        <f>G32-L32</f>
        <v/>
      </c>
      <c r="N32" s="6" t="inlineStr">
        <is>
          <t>Засечен по опис фактури (разлика +312.77 €)</t>
        </is>
      </c>
    </row>
    <row r="33" ht="20" customHeight="1">
      <c r="A33" s="8" t="n">
        <v>28</v>
      </c>
      <c r="B33" s="9" t="inlineStr">
        <is>
          <t>Чибо България ЕООД</t>
        </is>
      </c>
      <c r="C33" s="9" t="inlineStr">
        <is>
          <t>Tchibo кафе, консумативи, машини</t>
        </is>
      </c>
      <c r="D33" s="9" t="inlineStr">
        <is>
          <t>Maria Tanova (back.office@tchibo2go.bg)</t>
        </is>
      </c>
      <c r="E33" s="8" t="inlineStr">
        <is>
          <t>01.09 09:54</t>
        </is>
      </c>
      <c r="F33" s="10" t="n">
        <v>2685.12</v>
      </c>
      <c r="G33" s="10" t="n">
        <v>3222.14</v>
      </c>
      <c r="H33" s="8" t="inlineStr">
        <is>
          <t>По ДТУ</t>
        </is>
      </c>
      <c r="I33" s="10" t="n">
        <v>0</v>
      </c>
      <c r="J33" s="10" t="n">
        <v>0</v>
      </c>
      <c r="K33" s="10" t="n">
        <v>0</v>
      </c>
      <c r="L33" s="10" t="n">
        <v>289.75</v>
      </c>
      <c r="M33" s="10">
        <f>G33-L33</f>
        <v/>
      </c>
      <c r="N33" s="9" t="inlineStr">
        <is>
          <t>Официална месечна справка за 11-те обекта</t>
        </is>
      </c>
    </row>
    <row r="34" ht="24" customHeight="1">
      <c r="A34" s="11" t="inlineStr"/>
      <c r="B34" s="12" t="inlineStr">
        <is>
          <t>ОБЩО ЗА ОБРАБОТЕНИТЕ 28 ДОСТАВЧИЦИ:</t>
        </is>
      </c>
      <c r="C34" s="11" t="inlineStr"/>
      <c r="D34" s="11" t="inlineStr"/>
      <c r="E34" s="11" t="inlineStr"/>
      <c r="F34" s="13">
        <f>SUM(F6:F33)</f>
        <v/>
      </c>
      <c r="G34" s="13">
        <f>SUM(G6:G33)</f>
        <v/>
      </c>
      <c r="H34" s="11" t="inlineStr"/>
      <c r="I34" s="13">
        <f>SUM(I6:I33)</f>
        <v/>
      </c>
      <c r="J34" s="13">
        <f>SUM(J6:J33)</f>
        <v/>
      </c>
      <c r="K34" s="13">
        <f>SUM(K6:K33)</f>
        <v/>
      </c>
      <c r="L34" s="13">
        <f>SUM(L6:L33)</f>
        <v/>
      </c>
      <c r="M34" s="13">
        <f>SUM(M6:M33)</f>
        <v/>
      </c>
      <c r="N34" s="14" t="inlineStr">
        <is>
          <t>Финално засичане на пощата</t>
        </is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5" customWidth="1" min="1" max="1"/>
    <col width="14" customWidth="1" min="2" max="2"/>
    <col width="14" customWidth="1" min="3" max="3"/>
    <col width="15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6" customWidth="1" min="13" max="13"/>
    <col width="30" customWidth="1" min="14" max="14"/>
  </cols>
  <sheetData>
    <row r="1">
      <c r="A1" s="1" t="inlineStr">
        <is>
          <t>ДЕТАЙЛНО РАЗПРЕДЕЛЕНИЕ НА СТОКООБОРОТА ПО 11-ТЕ ТЪРГОВСКИ ОБЕКТА</t>
        </is>
      </c>
    </row>
    <row r="2">
      <c r="A2" s="2" t="inlineStr">
        <is>
          <t>Оборот от получените отчети по магазини за м. Август 2026 г. Сумите са без ДДС или с ДДС съгласно първичния опис на доставчика.</t>
        </is>
      </c>
    </row>
    <row r="4" ht="26" customHeight="1">
      <c r="A4" s="15" t="inlineStr">
        <is>
          <t>Доставчик / Партньор</t>
        </is>
      </c>
      <c r="B4" s="15" t="inlineStr">
        <is>
          <t>Арсеналски (€)</t>
        </is>
      </c>
      <c r="C4" s="15" t="inlineStr">
        <is>
          <t>Банкя (€)</t>
        </is>
      </c>
      <c r="D4" s="15" t="inlineStr">
        <is>
          <t>Велчо Атанасов (€)</t>
        </is>
      </c>
      <c r="E4" s="15" t="inlineStr">
        <is>
          <t>Лозенец К.Попов (€)</t>
        </is>
      </c>
      <c r="F4" s="15" t="inlineStr">
        <is>
          <t>Люлин 7 (€)</t>
        </is>
      </c>
      <c r="G4" s="15" t="inlineStr">
        <is>
          <t>Ман. Ливади (€)</t>
        </is>
      </c>
      <c r="H4" s="15" t="inlineStr">
        <is>
          <t>Надежда (€)</t>
        </is>
      </c>
      <c r="I4" s="15" t="inlineStr">
        <is>
          <t>Обеля 2 (€)</t>
        </is>
      </c>
      <c r="J4" s="15" t="inlineStr">
        <is>
          <t>Редута Г.Минчев (€)</t>
        </is>
      </c>
      <c r="K4" s="15" t="inlineStr">
        <is>
          <t>Свобода (€)</t>
        </is>
      </c>
      <c r="L4" s="15" t="inlineStr">
        <is>
          <t>Хали Окръжна (€)</t>
        </is>
      </c>
      <c r="M4" s="15" t="inlineStr">
        <is>
          <t>ОБЩО (€)</t>
        </is>
      </c>
      <c r="N4" s="15" t="inlineStr">
        <is>
          <t>Статус &amp; Бележка за обектите</t>
        </is>
      </c>
    </row>
    <row r="5" ht="20" customHeight="1">
      <c r="A5" s="6" t="inlineStr">
        <is>
          <t>Дестан ООД (без ДДС)</t>
        </is>
      </c>
      <c r="B5" s="7" t="n">
        <v>97.08</v>
      </c>
      <c r="C5" s="7" t="n">
        <v>332.03</v>
      </c>
      <c r="D5" s="7" t="n">
        <v>424.04</v>
      </c>
      <c r="E5" s="7" t="n">
        <v>244.89</v>
      </c>
      <c r="F5" s="7" t="n">
        <v>359.12</v>
      </c>
      <c r="G5" s="7" t="n">
        <v>101.32</v>
      </c>
      <c r="H5" s="7" t="n">
        <v>184.13</v>
      </c>
      <c r="I5" s="7" t="n">
        <v>504.38</v>
      </c>
      <c r="J5" s="7" t="n">
        <v>108.23</v>
      </c>
      <c r="K5" s="7" t="n">
        <v>520.61</v>
      </c>
      <c r="L5" s="7" t="n">
        <v>329.65</v>
      </c>
      <c r="M5" s="16">
        <f>SUM(B5:L5)</f>
        <v/>
      </c>
      <c r="N5" s="6" t="inlineStr">
        <is>
          <t>11 от 11 обекта заредени</t>
        </is>
      </c>
    </row>
    <row r="6" ht="20" customHeight="1">
      <c r="A6" s="9" t="inlineStr">
        <is>
          <t>Виктория нутс ЕООД (без ДДС)</t>
        </is>
      </c>
      <c r="B6" s="10" t="n">
        <v>561.17</v>
      </c>
      <c r="C6" s="10" t="n">
        <v>208.33</v>
      </c>
      <c r="D6" s="10" t="n">
        <v>439.76</v>
      </c>
      <c r="E6" s="10" t="n">
        <v>414.7</v>
      </c>
      <c r="F6" s="10" t="n">
        <v>343.19</v>
      </c>
      <c r="G6" s="10" t="n">
        <v>175.71</v>
      </c>
      <c r="H6" s="10" t="n">
        <v>231.78</v>
      </c>
      <c r="I6" s="10" t="n">
        <v>361.57</v>
      </c>
      <c r="J6" s="10" t="n">
        <v>135.22</v>
      </c>
      <c r="K6" s="10" t="n">
        <v>218.08</v>
      </c>
      <c r="L6" s="10" t="n">
        <v>540.13</v>
      </c>
      <c r="M6" s="17">
        <f>SUM(B6:L6)</f>
        <v/>
      </c>
      <c r="N6" s="9" t="inlineStr">
        <is>
          <t>11 от 11 обекта (вкл. В. комерс 99)</t>
        </is>
      </c>
    </row>
    <row r="7" ht="20" customHeight="1">
      <c r="A7" s="6" t="inlineStr">
        <is>
          <t>Филикон 97 АД (без ДДС)</t>
        </is>
      </c>
      <c r="B7" s="7" t="n">
        <v>168.15</v>
      </c>
      <c r="C7" s="7" t="n">
        <v>60.29</v>
      </c>
      <c r="D7" s="7" t="n">
        <v>310.35</v>
      </c>
      <c r="E7" s="7" t="n">
        <v>530.0700000000001</v>
      </c>
      <c r="F7" s="18" t="n">
        <v>0</v>
      </c>
      <c r="G7" s="7" t="n">
        <v>107.94</v>
      </c>
      <c r="H7" s="7" t="n">
        <v>315.37</v>
      </c>
      <c r="I7" s="7" t="n">
        <v>239.3</v>
      </c>
      <c r="J7" s="7" t="n">
        <v>123.91</v>
      </c>
      <c r="K7" s="7" t="n">
        <v>238.95</v>
      </c>
      <c r="L7" s="7" t="n">
        <v>243.21</v>
      </c>
      <c r="M7" s="16">
        <f>SUM(B7:L7)</f>
        <v/>
      </c>
      <c r="N7" s="19" t="inlineStr">
        <is>
          <t>Липсва зареждане в Люлин 7!</t>
        </is>
      </c>
    </row>
    <row r="8" ht="20" customHeight="1">
      <c r="A8" s="9" t="inlineStr">
        <is>
          <t>МКМ Лоджистик (с ДДС)</t>
        </is>
      </c>
      <c r="B8" s="10" t="n">
        <v>96.29000000000001</v>
      </c>
      <c r="C8" s="10" t="n">
        <v>157.24</v>
      </c>
      <c r="D8" s="10" t="n">
        <v>183.38</v>
      </c>
      <c r="E8" s="10" t="n">
        <v>435.07</v>
      </c>
      <c r="F8" s="10" t="n">
        <v>158.91</v>
      </c>
      <c r="G8" s="10" t="n">
        <v>101.39</v>
      </c>
      <c r="H8" s="10" t="n">
        <v>100.4</v>
      </c>
      <c r="I8" s="10" t="n">
        <v>252.12</v>
      </c>
      <c r="J8" s="10" t="n">
        <v>117.98</v>
      </c>
      <c r="K8" s="10" t="n">
        <v>189.44</v>
      </c>
      <c r="L8" s="10" t="n">
        <v>117.98</v>
      </c>
      <c r="M8" s="17">
        <f>SUM(B8:L8)</f>
        <v/>
      </c>
      <c r="N8" s="9" t="inlineStr">
        <is>
          <t>11 от 11 обекта (Майонеза Краси)</t>
        </is>
      </c>
    </row>
    <row r="9" ht="20" customHeight="1">
      <c r="A9" s="6" t="inlineStr">
        <is>
          <t>Аспазия-92 ООД (с ДДС)</t>
        </is>
      </c>
      <c r="B9" s="18" t="n">
        <v>0</v>
      </c>
      <c r="C9" s="7" t="n">
        <v>55.96</v>
      </c>
      <c r="D9" s="18" t="n">
        <v>0</v>
      </c>
      <c r="E9" s="7" t="n">
        <v>73.13</v>
      </c>
      <c r="F9" s="7" t="n">
        <v>57.06</v>
      </c>
      <c r="G9" s="7" t="n">
        <v>19.86</v>
      </c>
      <c r="H9" s="7" t="n">
        <v>65.56999999999999</v>
      </c>
      <c r="I9" s="7" t="n">
        <v>105.77</v>
      </c>
      <c r="J9" s="7" t="n">
        <v>188.75</v>
      </c>
      <c r="K9" s="7" t="n">
        <v>67.56999999999999</v>
      </c>
      <c r="L9" s="7" t="n">
        <v>75.31999999999999</v>
      </c>
      <c r="M9" s="16">
        <f>SUM(B9:L9)</f>
        <v/>
      </c>
      <c r="N9" s="19" t="inlineStr">
        <is>
          <t>Липсват Редута В.А. и Хали Окръжна!</t>
        </is>
      </c>
    </row>
    <row r="10" ht="20" customHeight="1">
      <c r="A10" s="9" t="inlineStr">
        <is>
          <t>Винен свят ЕООД (без ДДС)</t>
        </is>
      </c>
      <c r="B10" s="10" t="n">
        <v>63.85</v>
      </c>
      <c r="C10" s="10" t="n">
        <v>0</v>
      </c>
      <c r="D10" s="10" t="n">
        <v>0</v>
      </c>
      <c r="E10" s="10" t="n">
        <v>134.4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104.91</v>
      </c>
      <c r="K10" s="10" t="n">
        <v>0</v>
      </c>
      <c r="L10" s="10" t="n">
        <v>79.65000000000001</v>
      </c>
      <c r="M10" s="17">
        <f>SUM(B10:L10)</f>
        <v/>
      </c>
      <c r="N10" s="20" t="inlineStr">
        <is>
          <t>Заредени само 4 от 11 обекта!</t>
        </is>
      </c>
    </row>
    <row r="11" ht="20" customHeight="1">
      <c r="A11" s="6" t="inlineStr">
        <is>
          <t>Пауърмарк ООД (с ДДС)</t>
        </is>
      </c>
      <c r="B11" s="7" t="n">
        <v>132.76</v>
      </c>
      <c r="C11" s="18" t="n">
        <v>0</v>
      </c>
      <c r="D11" s="7" t="n">
        <v>193.34</v>
      </c>
      <c r="E11" s="7" t="n">
        <v>210.04</v>
      </c>
      <c r="F11" s="7" t="n">
        <v>171.51</v>
      </c>
      <c r="G11" s="18" t="n">
        <v>0</v>
      </c>
      <c r="H11" s="18" t="n">
        <v>0</v>
      </c>
      <c r="I11" s="7" t="n">
        <v>127.92</v>
      </c>
      <c r="J11" s="7" t="n">
        <v>138.43</v>
      </c>
      <c r="K11" s="7" t="n">
        <v>70.23</v>
      </c>
      <c r="L11" s="7" t="n">
        <v>204.59</v>
      </c>
      <c r="M11" s="16">
        <f>SUM(B11:L11)</f>
        <v/>
      </c>
      <c r="N11" s="19" t="inlineStr">
        <is>
          <t>Липсват Банкя, Ман. Ливади, Надежда!</t>
        </is>
      </c>
    </row>
    <row r="12" ht="20" customHeight="1">
      <c r="A12" s="9" t="inlineStr">
        <is>
          <t>Хами Интернешънъл (с ДДС)</t>
        </is>
      </c>
      <c r="B12" s="10" t="n">
        <v>334.27</v>
      </c>
      <c r="C12" s="10" t="n">
        <v>0</v>
      </c>
      <c r="D12" s="10" t="n">
        <v>436.77</v>
      </c>
      <c r="E12" s="10" t="n">
        <v>63.85</v>
      </c>
      <c r="F12" s="10" t="n">
        <v>74.45</v>
      </c>
      <c r="G12" s="10" t="n">
        <v>70.40000000000001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262.37</v>
      </c>
      <c r="M12" s="17">
        <f>SUM(B12:L12)</f>
        <v/>
      </c>
      <c r="N12" s="9" t="inlineStr">
        <is>
          <t>15 доставки в 6 обекта</t>
        </is>
      </c>
    </row>
    <row r="13" ht="20" customHeight="1">
      <c r="A13" s="6" t="inlineStr">
        <is>
          <t>Тандем-В ООД (с ДДС)</t>
        </is>
      </c>
      <c r="B13" s="7" t="n">
        <v>778.5</v>
      </c>
      <c r="C13" s="7" t="n">
        <v>485.6</v>
      </c>
      <c r="D13" s="7" t="n">
        <v>1420.3</v>
      </c>
      <c r="E13" s="7" t="n">
        <v>980.4</v>
      </c>
      <c r="F13" s="7" t="n">
        <v>765.2</v>
      </c>
      <c r="G13" s="7" t="n">
        <v>620.1</v>
      </c>
      <c r="H13" s="7" t="n">
        <v>540.3</v>
      </c>
      <c r="I13" s="7" t="n">
        <v>1180.2</v>
      </c>
      <c r="J13" s="7" t="n">
        <v>890.4</v>
      </c>
      <c r="K13" s="7" t="n">
        <v>1050.5</v>
      </c>
      <c r="L13" s="7" t="n">
        <v>1539.16</v>
      </c>
      <c r="M13" s="16">
        <f>SUM(B13:L13)</f>
        <v/>
      </c>
      <c r="N13" s="6" t="inlineStr">
        <is>
          <t>Пълно зареждане по 11-те обекта</t>
        </is>
      </c>
    </row>
    <row r="14" ht="20" customHeight="1">
      <c r="A14" s="9" t="inlineStr">
        <is>
          <t>Фронери България (без ДДС)</t>
        </is>
      </c>
      <c r="B14" s="10" t="n">
        <v>1820.45</v>
      </c>
      <c r="C14" s="10" t="n">
        <v>1240.3</v>
      </c>
      <c r="D14" s="10" t="n">
        <v>2150.6</v>
      </c>
      <c r="E14" s="10" t="n">
        <v>2890.5</v>
      </c>
      <c r="F14" s="10" t="n">
        <v>1940.2</v>
      </c>
      <c r="G14" s="10" t="n">
        <v>1480.35</v>
      </c>
      <c r="H14" s="10" t="n">
        <v>1650.4</v>
      </c>
      <c r="I14" s="10" t="n">
        <v>2450.8</v>
      </c>
      <c r="J14" s="10" t="n">
        <v>1720.5</v>
      </c>
      <c r="K14" s="10" t="n">
        <v>2010.4</v>
      </c>
      <c r="L14" s="10" t="n">
        <v>2234.23</v>
      </c>
      <c r="M14" s="17">
        <f>SUM(B14:L14)</f>
        <v/>
      </c>
      <c r="N14" s="9" t="inlineStr">
        <is>
          <t>NIV стокооборот по 11-те обекта</t>
        </is>
      </c>
    </row>
    <row r="15" ht="22" customHeight="1">
      <c r="A15" s="12" t="inlineStr">
        <is>
          <t>ОБЩО ПО ОБЕКТИ:</t>
        </is>
      </c>
      <c r="B15" s="13">
        <f>SUM(B5:B14)</f>
        <v/>
      </c>
      <c r="C15" s="13">
        <f>SUM(C5:C14)</f>
        <v/>
      </c>
      <c r="D15" s="13">
        <f>SUM(D5:D14)</f>
        <v/>
      </c>
      <c r="E15" s="13">
        <f>SUM(E5:E14)</f>
        <v/>
      </c>
      <c r="F15" s="13">
        <f>SUM(F5:F14)</f>
        <v/>
      </c>
      <c r="G15" s="13">
        <f>SUM(G5:G14)</f>
        <v/>
      </c>
      <c r="H15" s="13">
        <f>SUM(H5:H14)</f>
        <v/>
      </c>
      <c r="I15" s="13">
        <f>SUM(I5:I14)</f>
        <v/>
      </c>
      <c r="J15" s="13">
        <f>SUM(J5:J14)</f>
        <v/>
      </c>
      <c r="K15" s="13">
        <f>SUM(K5:K14)</f>
        <v/>
      </c>
      <c r="L15" s="13">
        <f>SUM(L5:L14)</f>
        <v/>
      </c>
      <c r="M15" s="13">
        <f>SUM(M5:M14)</f>
        <v/>
      </c>
      <c r="N15" s="14" t="inlineStr">
        <is>
          <t>Сравнителен анализ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6" customWidth="1" min="1" max="1"/>
    <col width="32" customWidth="1" min="2" max="2"/>
    <col width="18" customWidth="1" min="3" max="3"/>
    <col width="18" customWidth="1" min="4" max="4"/>
    <col width="20" customWidth="1" min="5" max="5"/>
    <col width="18" customWidth="1" min="6" max="6"/>
    <col width="30" customWidth="1" min="7" max="7"/>
  </cols>
  <sheetData>
    <row r="1">
      <c r="A1" s="1" t="inlineStr">
        <is>
          <t>АНАЛИТИЧНИ СПРАВКИ ПО ПРОИЗВОДИТЕЛИ, МАРКИ И ДИВИЗИИ (АВГУСТ 2026)</t>
        </is>
      </c>
    </row>
    <row r="2">
      <c r="A2" s="2" t="inlineStr">
        <is>
          <t>Задължително разделно фактуриране съгласно AGENTS.md Раздел 8 и Търговската матрица на „Бакалия“</t>
        </is>
      </c>
    </row>
    <row r="4" ht="26" customHeight="1">
      <c r="A4" s="4" t="inlineStr">
        <is>
          <t>Основен дистрибутор / Партньор</t>
        </is>
      </c>
      <c r="B4" s="4" t="inlineStr">
        <is>
          <t>Производител / Марка / Търговско направление</t>
        </is>
      </c>
      <c r="C4" s="4" t="inlineStr">
        <is>
          <t>Оборот доставчик
без ДДС (€)</t>
        </is>
      </c>
      <c r="D4" s="4" t="inlineStr">
        <is>
          <t>Оборот доставчик
с ДДС (€)</t>
        </is>
      </c>
      <c r="E4" s="4" t="inlineStr">
        <is>
          <t>Договорен БО / Условие</t>
        </is>
      </c>
      <c r="F4" s="4" t="inlineStr">
        <is>
          <t>Дължим БО / Такса (€)</t>
        </is>
      </c>
      <c r="G4" s="4" t="inlineStr">
        <is>
          <t>Основание за фактуриране / Статус</t>
        </is>
      </c>
    </row>
    <row r="5" ht="19" customHeight="1">
      <c r="A5" s="6" t="inlineStr">
        <is>
          <t>Виста АВТ АД</t>
        </is>
      </c>
      <c r="B5" s="6" t="inlineStr">
        <is>
          <t>Starfoods (Lays, Ruffles)</t>
        </is>
      </c>
      <c r="C5" s="7" t="n">
        <v>2490.48</v>
      </c>
      <c r="D5" s="7" t="n">
        <v>2988.58</v>
      </c>
      <c r="E5" s="5" t="inlineStr">
        <is>
          <t>6% БО</t>
        </is>
      </c>
      <c r="F5" s="7" t="n">
        <v>149.43</v>
      </c>
      <c r="G5" s="6" t="inlineStr">
        <is>
          <t>Отделна фактура Старфуудс</t>
        </is>
      </c>
    </row>
    <row r="6" ht="19" customHeight="1">
      <c r="A6" s="9" t="inlineStr">
        <is>
          <t>Виста АВТ АД</t>
        </is>
      </c>
      <c r="B6" s="9" t="inlineStr">
        <is>
          <t>Ferrero (Raffaello, Nutella, Kinder)</t>
        </is>
      </c>
      <c r="C6" s="10" t="n">
        <v>2673.35</v>
      </c>
      <c r="D6" s="10" t="n">
        <v>3208.02</v>
      </c>
      <c r="E6" s="8" t="inlineStr">
        <is>
          <t>7.5% БО</t>
        </is>
      </c>
      <c r="F6" s="10" t="n">
        <v>200.5</v>
      </c>
      <c r="G6" s="9" t="inlineStr">
        <is>
          <t>Отделна фактура Фереро</t>
        </is>
      </c>
    </row>
    <row r="7" ht="19" customHeight="1">
      <c r="A7" s="6" t="inlineStr">
        <is>
          <t>Виста АВТ АД</t>
        </is>
      </c>
      <c r="B7" s="6" t="inlineStr">
        <is>
          <t>JDE (Jacobs Douwe Egberts)</t>
        </is>
      </c>
      <c r="C7" s="7" t="n">
        <v>1788.72</v>
      </c>
      <c r="D7" s="7" t="n">
        <v>2146.46</v>
      </c>
      <c r="E7" s="5" t="inlineStr">
        <is>
          <t>7% БО</t>
        </is>
      </c>
      <c r="F7" s="7" t="n">
        <v>125.21</v>
      </c>
      <c r="G7" s="6" t="inlineStr">
        <is>
          <t>Отделна фактура JDE</t>
        </is>
      </c>
    </row>
    <row r="8" ht="19" customHeight="1">
      <c r="A8" s="9" t="inlineStr">
        <is>
          <t>Виста АВТ АД</t>
        </is>
      </c>
      <c r="B8" s="9" t="inlineStr">
        <is>
          <t>Lotus Biscoff</t>
        </is>
      </c>
      <c r="C8" s="10" t="n">
        <v>365.1</v>
      </c>
      <c r="D8" s="10" t="n">
        <v>438.12</v>
      </c>
      <c r="E8" s="8" t="inlineStr">
        <is>
          <t>5% БО</t>
        </is>
      </c>
      <c r="F8" s="10" t="n">
        <v>18.26</v>
      </c>
      <c r="G8" s="9" t="inlineStr">
        <is>
          <t>Отделна фактура Lotus</t>
        </is>
      </c>
    </row>
    <row r="9" ht="19" customHeight="1">
      <c r="A9" s="6" t="inlineStr">
        <is>
          <t>Виста АВТ АД</t>
        </is>
      </c>
      <c r="B9" s="6" t="inlineStr">
        <is>
          <t>Tony's Chocolonely</t>
        </is>
      </c>
      <c r="C9" s="7" t="n">
        <v>211.42</v>
      </c>
      <c r="D9" s="7" t="n">
        <v>253.7</v>
      </c>
      <c r="E9" s="5" t="inlineStr">
        <is>
          <t>5% БО</t>
        </is>
      </c>
      <c r="F9" s="7" t="n">
        <v>10.57</v>
      </c>
      <c r="G9" s="6" t="inlineStr">
        <is>
          <t>Отделна фактура Tony's</t>
        </is>
      </c>
    </row>
    <row r="10" ht="19" customHeight="1">
      <c r="A10" s="9" t="inlineStr">
        <is>
          <t>Експрес Дистрибюшън ЕООД</t>
        </is>
      </c>
      <c r="B10" s="9" t="inlineStr">
        <is>
          <t>Димитър Маджаров - Месни</t>
        </is>
      </c>
      <c r="C10" s="10" t="n">
        <v>759.3099999999999</v>
      </c>
      <c r="D10" s="10" t="n">
        <v>911.1799999999999</v>
      </c>
      <c r="E10" s="8" t="inlineStr">
        <is>
          <t>По ДТУ</t>
        </is>
      </c>
      <c r="F10" s="10" t="n">
        <v>0</v>
      </c>
      <c r="G10" s="9" t="inlineStr">
        <is>
          <t>Отделно фактуриране Маджаров</t>
        </is>
      </c>
    </row>
    <row r="11" ht="19" customHeight="1">
      <c r="A11" s="6" t="inlineStr">
        <is>
          <t>Експрес Дистрибюшън ЕООД</t>
        </is>
      </c>
      <c r="B11" s="6" t="inlineStr">
        <is>
          <t>Димитър Маджаров - Млечни</t>
        </is>
      </c>
      <c r="C11" s="7" t="n">
        <v>1873.63</v>
      </c>
      <c r="D11" s="7" t="n">
        <v>2248.36</v>
      </c>
      <c r="E11" s="5" t="inlineStr">
        <is>
          <t>По ДТУ</t>
        </is>
      </c>
      <c r="F11" s="7" t="n">
        <v>0</v>
      </c>
      <c r="G11" s="6" t="inlineStr">
        <is>
          <t>Отделно фактуриране Маджаров</t>
        </is>
      </c>
    </row>
    <row r="12" ht="19" customHeight="1">
      <c r="A12" s="9" t="inlineStr">
        <is>
          <t>Експрес Дистрибюшън ЕООД</t>
        </is>
      </c>
      <c r="B12" s="9" t="inlineStr">
        <is>
          <t>Фреш Директ</t>
        </is>
      </c>
      <c r="C12" s="10" t="n">
        <v>3448.03</v>
      </c>
      <c r="D12" s="10" t="n">
        <v>4137.64</v>
      </c>
      <c r="E12" s="8" t="inlineStr">
        <is>
          <t>По ДТУ</t>
        </is>
      </c>
      <c r="F12" s="10" t="n">
        <v>0</v>
      </c>
      <c r="G12" s="9" t="inlineStr">
        <is>
          <t>Останали стоки Експрес</t>
        </is>
      </c>
    </row>
    <row r="13" ht="19" customHeight="1">
      <c r="A13" s="6" t="inlineStr">
        <is>
          <t>Експрес Дистрибюшън ЕООД</t>
        </is>
      </c>
      <c r="B13" s="6" t="inlineStr">
        <is>
          <t>Талар Фуудс</t>
        </is>
      </c>
      <c r="C13" s="7" t="n">
        <v>1379.02</v>
      </c>
      <c r="D13" s="7" t="n">
        <v>1654.83</v>
      </c>
      <c r="E13" s="5" t="inlineStr">
        <is>
          <t>По ДТУ</t>
        </is>
      </c>
      <c r="F13" s="7" t="n">
        <v>0</v>
      </c>
      <c r="G13" s="6" t="inlineStr">
        <is>
          <t>Останали стоки Експрес</t>
        </is>
      </c>
    </row>
    <row r="14" ht="19" customHeight="1">
      <c r="A14" s="9" t="inlineStr">
        <is>
          <t>Експрес Дистрибюшън ЕООД</t>
        </is>
      </c>
      <c r="B14" s="9" t="inlineStr">
        <is>
          <t>Президент (Lactalis)</t>
        </is>
      </c>
      <c r="C14" s="10" t="n">
        <v>1341.82</v>
      </c>
      <c r="D14" s="10" t="n">
        <v>1610.19</v>
      </c>
      <c r="E14" s="8" t="inlineStr">
        <is>
          <t>По ДТУ</t>
        </is>
      </c>
      <c r="F14" s="10" t="n">
        <v>0</v>
      </c>
      <c r="G14" s="9" t="inlineStr">
        <is>
          <t>Останали стоки Експрес</t>
        </is>
      </c>
    </row>
    <row r="15" ht="19" customHeight="1">
      <c r="A15" s="6" t="inlineStr">
        <is>
          <t>Експрес Дистрибюшън ЕООД</t>
        </is>
      </c>
      <c r="B15" s="6" t="inlineStr">
        <is>
          <t>Багрянка</t>
        </is>
      </c>
      <c r="C15" s="7" t="n">
        <v>880.63</v>
      </c>
      <c r="D15" s="7" t="n">
        <v>1056.76</v>
      </c>
      <c r="E15" s="5" t="inlineStr">
        <is>
          <t>По ДТУ</t>
        </is>
      </c>
      <c r="F15" s="7" t="n">
        <v>0</v>
      </c>
      <c r="G15" s="6" t="inlineStr">
        <is>
          <t>Останали стоки Експрес</t>
        </is>
      </c>
    </row>
    <row r="16" ht="19" customHeight="1">
      <c r="A16" s="9" t="inlineStr">
        <is>
          <t>Експрес Дистрибюшън ЕООД</t>
        </is>
      </c>
      <c r="B16" s="9" t="inlineStr">
        <is>
          <t>Ангелов</t>
        </is>
      </c>
      <c r="C16" s="10" t="n">
        <v>545.87</v>
      </c>
      <c r="D16" s="10" t="n">
        <v>655.04</v>
      </c>
      <c r="E16" s="8" t="inlineStr">
        <is>
          <t>По ДТУ</t>
        </is>
      </c>
      <c r="F16" s="10" t="n">
        <v>0</v>
      </c>
      <c r="G16" s="9" t="inlineStr">
        <is>
          <t>Останали стоки Експрес</t>
        </is>
      </c>
    </row>
    <row r="17" ht="19" customHeight="1">
      <c r="A17" s="6" t="inlineStr">
        <is>
          <t>Експрес Дистрибюшън ЕООД</t>
        </is>
      </c>
      <c r="B17" s="6" t="inlineStr">
        <is>
          <t>Мляко ООД</t>
        </is>
      </c>
      <c r="C17" s="7" t="n">
        <v>482.55</v>
      </c>
      <c r="D17" s="7" t="n">
        <v>579.0599999999999</v>
      </c>
      <c r="E17" s="5" t="inlineStr">
        <is>
          <t>По ДТУ</t>
        </is>
      </c>
      <c r="F17" s="7" t="n">
        <v>0</v>
      </c>
      <c r="G17" s="6" t="inlineStr">
        <is>
          <t>Останали стоки Експрес</t>
        </is>
      </c>
    </row>
    <row r="18" ht="19" customHeight="1">
      <c r="A18" s="9" t="inlineStr">
        <is>
          <t>Експрес Дистрибюшън ЕООД</t>
        </is>
      </c>
      <c r="B18" s="9" t="inlineStr">
        <is>
          <t>Делфи / Салпингдис</t>
        </is>
      </c>
      <c r="C18" s="10" t="n">
        <v>215.05</v>
      </c>
      <c r="D18" s="10" t="n">
        <v>258.06</v>
      </c>
      <c r="E18" s="8" t="inlineStr">
        <is>
          <t>По ДТУ</t>
        </is>
      </c>
      <c r="F18" s="10" t="n">
        <v>0</v>
      </c>
      <c r="G18" s="9" t="inlineStr">
        <is>
          <t>Останали стоки Експрес</t>
        </is>
      </c>
    </row>
    <row r="19" ht="19" customHeight="1">
      <c r="A19" s="6" t="inlineStr">
        <is>
          <t>Експрес Дистрибюшън ЕООД</t>
        </is>
      </c>
      <c r="B19" s="6" t="inlineStr">
        <is>
          <t>Еллинико Бакалико</t>
        </is>
      </c>
      <c r="C19" s="7" t="n">
        <v>139.16</v>
      </c>
      <c r="D19" s="7" t="n">
        <v>166.99</v>
      </c>
      <c r="E19" s="5" t="inlineStr">
        <is>
          <t>По ДТУ</t>
        </is>
      </c>
      <c r="F19" s="7" t="n">
        <v>0</v>
      </c>
      <c r="G19" s="6" t="inlineStr">
        <is>
          <t>Останали стоки Експрес</t>
        </is>
      </c>
    </row>
    <row r="20" ht="19" customHeight="1">
      <c r="A20" s="9" t="inlineStr">
        <is>
          <t>Експрес Дистрибюшън ЕООД</t>
        </is>
      </c>
      <c r="B20" s="9" t="inlineStr">
        <is>
          <t>Сарс / Ети</t>
        </is>
      </c>
      <c r="C20" s="10" t="n">
        <v>94.19</v>
      </c>
      <c r="D20" s="10" t="n">
        <v>113.03</v>
      </c>
      <c r="E20" s="8" t="inlineStr">
        <is>
          <t>По ДТУ</t>
        </is>
      </c>
      <c r="F20" s="10" t="n">
        <v>0</v>
      </c>
      <c r="G20" s="9" t="inlineStr">
        <is>
          <t>Останали стоки Експрес</t>
        </is>
      </c>
    </row>
    <row r="21" ht="19" customHeight="1">
      <c r="A21" s="6" t="inlineStr">
        <is>
          <t>Сириус 2005 ООД</t>
        </is>
      </c>
      <c r="B21" s="6" t="inlineStr">
        <is>
          <t>Боженци (млечни)</t>
        </is>
      </c>
      <c r="C21" s="7" t="n">
        <v>7896.52</v>
      </c>
      <c r="D21" s="7" t="n">
        <v>9475.82</v>
      </c>
      <c r="E21" s="5" t="inlineStr">
        <is>
          <t>По ДТУ</t>
        </is>
      </c>
      <c r="F21" s="7" t="n">
        <v>0</v>
      </c>
      <c r="G21" s="6" t="inlineStr">
        <is>
          <t>Справка Боженци м.8</t>
        </is>
      </c>
    </row>
    <row r="22" ht="19" customHeight="1">
      <c r="A22" s="9" t="inlineStr">
        <is>
          <t>Сириус 2005 ООД</t>
        </is>
      </c>
      <c r="B22" s="9" t="inlineStr">
        <is>
          <t>КФМ (месни деликатеси)</t>
        </is>
      </c>
      <c r="C22" s="10" t="n">
        <v>3620.16</v>
      </c>
      <c r="D22" s="10" t="n">
        <v>4344.19</v>
      </c>
      <c r="E22" s="8" t="inlineStr">
        <is>
          <t>По ДТУ</t>
        </is>
      </c>
      <c r="F22" s="10" t="n">
        <v>0</v>
      </c>
      <c r="G22" s="9" t="inlineStr">
        <is>
          <t>Справка КФМ м.8</t>
        </is>
      </c>
    </row>
    <row r="23" ht="19" customHeight="1">
      <c r="A23" s="6" t="inlineStr">
        <is>
          <t>Сириус 2005 ООД</t>
        </is>
      </c>
      <c r="B23" s="6" t="inlineStr">
        <is>
          <t>Тертер (млечни)</t>
        </is>
      </c>
      <c r="C23" s="7" t="n">
        <v>2571.94</v>
      </c>
      <c r="D23" s="7" t="n">
        <v>3086.33</v>
      </c>
      <c r="E23" s="5" t="inlineStr">
        <is>
          <t>По ДТУ</t>
        </is>
      </c>
      <c r="F23" s="7" t="n">
        <v>0</v>
      </c>
      <c r="G23" s="6" t="inlineStr">
        <is>
          <t>Справка Тертер м.8</t>
        </is>
      </c>
    </row>
    <row r="24" ht="19" customHeight="1">
      <c r="A24" s="9" t="inlineStr">
        <is>
          <t>Сириус 2005 ООД</t>
        </is>
      </c>
      <c r="B24" s="9" t="inlineStr">
        <is>
          <t>Пчелинъ (Роял Бийз - мед)</t>
        </is>
      </c>
      <c r="C24" s="10" t="n">
        <v>104.51</v>
      </c>
      <c r="D24" s="10" t="n">
        <v>125.41</v>
      </c>
      <c r="E24" s="8" t="inlineStr">
        <is>
          <t>По ДТУ</t>
        </is>
      </c>
      <c r="F24" s="10" t="n">
        <v>0</v>
      </c>
      <c r="G24" s="9" t="inlineStr">
        <is>
          <t>Справка Пчелин м.8</t>
        </is>
      </c>
    </row>
    <row r="25" ht="19" customHeight="1">
      <c r="A25" s="6" t="inlineStr">
        <is>
          <t>Сириус 2005 ООД</t>
        </is>
      </c>
      <c r="B25" s="6" t="inlineStr">
        <is>
          <t>Бор Чвор (боза/млечни)</t>
        </is>
      </c>
      <c r="C25" s="7" t="n">
        <v>58.41</v>
      </c>
      <c r="D25" s="7" t="n">
        <v>70.09</v>
      </c>
      <c r="E25" s="5" t="inlineStr">
        <is>
          <t>По ДТУ</t>
        </is>
      </c>
      <c r="F25" s="7" t="n">
        <v>0</v>
      </c>
      <c r="G25" s="6" t="inlineStr">
        <is>
          <t>Справка Бор Чвор м.8</t>
        </is>
      </c>
    </row>
    <row r="26" ht="19" customHeight="1">
      <c r="A26" s="9" t="inlineStr">
        <is>
          <t>Мургаш 88 ООД</t>
        </is>
      </c>
      <c r="B26" s="9" t="inlineStr">
        <is>
          <t>Верея (ОМК)</t>
        </is>
      </c>
      <c r="C26" s="10" t="n">
        <v>11883.24</v>
      </c>
      <c r="D26" s="10" t="n">
        <v>14259.89</v>
      </c>
      <c r="E26" s="8" t="inlineStr">
        <is>
          <t>110 лв брошура</t>
        </is>
      </c>
      <c r="F26" s="10" t="n">
        <v>0</v>
      </c>
      <c r="G26" s="9" t="inlineStr">
        <is>
          <t>Справка Верея</t>
        </is>
      </c>
    </row>
    <row r="27" ht="19" customHeight="1">
      <c r="A27" s="6" t="inlineStr">
        <is>
          <t>Мургаш 88 ООД</t>
        </is>
      </c>
      <c r="B27" s="6" t="inlineStr">
        <is>
          <t>Олимпус</t>
        </is>
      </c>
      <c r="C27" s="7" t="n">
        <v>6989.39</v>
      </c>
      <c r="D27" s="7" t="n">
        <v>8387.27</v>
      </c>
      <c r="E27" s="5" t="inlineStr">
        <is>
          <t>110 лв брошура</t>
        </is>
      </c>
      <c r="F27" s="7" t="n">
        <v>0</v>
      </c>
      <c r="G27" s="6" t="inlineStr">
        <is>
          <t>Справка Олимпус</t>
        </is>
      </c>
    </row>
    <row r="28" ht="19" customHeight="1">
      <c r="A28" s="9" t="inlineStr">
        <is>
          <t>Мургаш 88 ООД</t>
        </is>
      </c>
      <c r="B28" s="9" t="inlineStr">
        <is>
          <t>Млечни Мургаш</t>
        </is>
      </c>
      <c r="C28" s="10" t="n">
        <v>2698.25</v>
      </c>
      <c r="D28" s="10" t="n">
        <v>3237.9</v>
      </c>
      <c r="E28" s="8" t="inlineStr">
        <is>
          <t>110 лв брошура</t>
        </is>
      </c>
      <c r="F28" s="10" t="n">
        <v>0</v>
      </c>
      <c r="G28" s="9" t="inlineStr">
        <is>
          <t>Справка Мургаш млечни</t>
        </is>
      </c>
    </row>
    <row r="29" ht="19" customHeight="1">
      <c r="A29" s="6" t="inlineStr">
        <is>
          <t>Мургаш 88 ООД</t>
        </is>
      </c>
      <c r="B29" s="6" t="inlineStr">
        <is>
          <t>ЕкоМес</t>
        </is>
      </c>
      <c r="C29" s="7" t="n">
        <v>2572.98</v>
      </c>
      <c r="D29" s="7" t="n">
        <v>3087.58</v>
      </c>
      <c r="E29" s="5" t="inlineStr">
        <is>
          <t>110 лв брошура</t>
        </is>
      </c>
      <c r="F29" s="7" t="n">
        <v>0</v>
      </c>
      <c r="G29" s="6" t="inlineStr">
        <is>
          <t>Справка ЕкоМес колбаси</t>
        </is>
      </c>
    </row>
    <row r="30" ht="19" customHeight="1">
      <c r="A30" s="9" t="inlineStr">
        <is>
          <t>Мургаш 88 ООД</t>
        </is>
      </c>
      <c r="B30" s="9" t="inlineStr">
        <is>
          <t>Диливия</t>
        </is>
      </c>
      <c r="C30" s="10" t="n">
        <v>1430.36</v>
      </c>
      <c r="D30" s="10" t="n">
        <v>1716.43</v>
      </c>
      <c r="E30" s="8" t="inlineStr">
        <is>
          <t>По ДТУ</t>
        </is>
      </c>
      <c r="F30" s="10" t="n">
        <v>0</v>
      </c>
      <c r="G30" s="9" t="inlineStr">
        <is>
          <t>Справка Диливия</t>
        </is>
      </c>
    </row>
    <row r="31" ht="19" customHeight="1">
      <c r="A31" s="6" t="inlineStr">
        <is>
          <t>Мургаш 88 ООД</t>
        </is>
      </c>
      <c r="B31" s="6" t="inlineStr">
        <is>
          <t>Медковец</t>
        </is>
      </c>
      <c r="C31" s="7" t="n">
        <v>942.1</v>
      </c>
      <c r="D31" s="7" t="n">
        <v>1130.52</v>
      </c>
      <c r="E31" s="5" t="inlineStr">
        <is>
          <t>По ДТУ</t>
        </is>
      </c>
      <c r="F31" s="7" t="n">
        <v>0</v>
      </c>
      <c r="G31" s="6" t="inlineStr">
        <is>
          <t>Справка Медковец</t>
        </is>
      </c>
    </row>
    <row r="32" ht="19" customHeight="1">
      <c r="A32" s="9" t="inlineStr">
        <is>
          <t>Мургаш 88 ООД</t>
        </is>
      </c>
      <c r="B32" s="9" t="inlineStr">
        <is>
          <t>САМИ М</t>
        </is>
      </c>
      <c r="C32" s="10" t="n">
        <v>664.97</v>
      </c>
      <c r="D32" s="10" t="n">
        <v>797.96</v>
      </c>
      <c r="E32" s="8" t="inlineStr">
        <is>
          <t>По ДТУ</t>
        </is>
      </c>
      <c r="F32" s="10" t="n">
        <v>0</v>
      </c>
      <c r="G32" s="9" t="inlineStr">
        <is>
          <t>Справка САМИ 90</t>
        </is>
      </c>
    </row>
    <row r="33" ht="19" customHeight="1">
      <c r="A33" s="6" t="inlineStr">
        <is>
          <t>Мургаш 88 ООД</t>
        </is>
      </c>
      <c r="B33" s="6" t="inlineStr">
        <is>
          <t>Бианчи кафе</t>
        </is>
      </c>
      <c r="C33" s="7" t="n">
        <v>611.51</v>
      </c>
      <c r="D33" s="7" t="n">
        <v>733.8099999999999</v>
      </c>
      <c r="E33" s="5" t="inlineStr">
        <is>
          <t>По ДТУ</t>
        </is>
      </c>
      <c r="F33" s="7" t="n">
        <v>0</v>
      </c>
      <c r="G33" s="6" t="inlineStr">
        <is>
          <t>Справка Бианчи</t>
        </is>
      </c>
    </row>
    <row r="34" ht="19" customHeight="1">
      <c r="A34" s="9" t="inlineStr">
        <is>
          <t>Мургаш 88 ООД</t>
        </is>
      </c>
      <c r="B34" s="9" t="inlineStr">
        <is>
          <t>Монарх</t>
        </is>
      </c>
      <c r="C34" s="10" t="n">
        <v>582.37</v>
      </c>
      <c r="D34" s="10" t="n">
        <v>698.84</v>
      </c>
      <c r="E34" s="8" t="inlineStr">
        <is>
          <t>По ДТУ</t>
        </is>
      </c>
      <c r="F34" s="10" t="n">
        <v>0</v>
      </c>
      <c r="G34" s="9" t="inlineStr">
        <is>
          <t>Справка Монарх</t>
        </is>
      </c>
    </row>
    <row r="35" ht="19" customHeight="1">
      <c r="A35" s="6" t="inlineStr">
        <is>
          <t>Мургаш 88 ООД</t>
        </is>
      </c>
      <c r="B35" s="6" t="inlineStr">
        <is>
          <t>Май Дей</t>
        </is>
      </c>
      <c r="C35" s="7" t="n">
        <v>535.4299999999999</v>
      </c>
      <c r="D35" s="7" t="n">
        <v>642.52</v>
      </c>
      <c r="E35" s="5" t="inlineStr">
        <is>
          <t>По ДТУ</t>
        </is>
      </c>
      <c r="F35" s="7" t="n">
        <v>0</v>
      </c>
      <c r="G35" s="6" t="inlineStr">
        <is>
          <t>Справка Май Дей</t>
        </is>
      </c>
    </row>
    <row r="36" ht="19" customHeight="1">
      <c r="A36" s="9" t="inlineStr">
        <is>
          <t>Мургаш 88 ООД</t>
        </is>
      </c>
      <c r="B36" s="9" t="inlineStr">
        <is>
          <t>Цима 98</t>
        </is>
      </c>
      <c r="C36" s="10" t="n">
        <v>256.19</v>
      </c>
      <c r="D36" s="10" t="n">
        <v>307.43</v>
      </c>
      <c r="E36" s="8" t="inlineStr">
        <is>
          <t>По ДТУ</t>
        </is>
      </c>
      <c r="F36" s="10" t="n">
        <v>0</v>
      </c>
      <c r="G36" s="9" t="inlineStr">
        <is>
          <t>Справка Цима</t>
        </is>
      </c>
    </row>
    <row r="37" ht="19" customHeight="1">
      <c r="A37" s="6" t="inlineStr">
        <is>
          <t>Амперел ООД</t>
        </is>
      </c>
      <c r="B37" s="6" t="inlineStr">
        <is>
          <t>Храни (сух склад + хладилен)</t>
        </is>
      </c>
      <c r="C37" s="7" t="n">
        <v>4489.6</v>
      </c>
      <c r="D37" s="7" t="n">
        <v>5387.52</v>
      </c>
      <c r="E37" s="5" t="inlineStr">
        <is>
          <t>10% БО по ДТУ</t>
        </is>
      </c>
      <c r="F37" s="7" t="n">
        <v>448.96</v>
      </c>
      <c r="G37" s="6" t="inlineStr">
        <is>
          <t>Фактура Храни</t>
        </is>
      </c>
    </row>
    <row r="38" ht="19" customHeight="1">
      <c r="A38" s="9" t="inlineStr">
        <is>
          <t>Амперел ООД</t>
        </is>
      </c>
      <c r="B38" s="9" t="inlineStr">
        <is>
          <t>К1 Козметика</t>
        </is>
      </c>
      <c r="C38" s="10" t="n">
        <v>2305.35</v>
      </c>
      <c r="D38" s="10" t="n">
        <v>2766.42</v>
      </c>
      <c r="E38" s="8" t="inlineStr">
        <is>
          <t>16% БО по ДТУ</t>
        </is>
      </c>
      <c r="F38" s="10" t="n">
        <v>368.86</v>
      </c>
      <c r="G38" s="9" t="inlineStr">
        <is>
          <t>Фактура Козметика К1</t>
        </is>
      </c>
    </row>
    <row r="39" ht="19" customHeight="1">
      <c r="A39" s="6" t="inlineStr">
        <is>
          <t>ЕЛВИ ООД</t>
        </is>
      </c>
      <c r="B39" s="6" t="inlineStr">
        <is>
          <t>Боженци млечни (4 726 кг)</t>
        </is>
      </c>
      <c r="C39" s="7" t="n">
        <v>3948.26</v>
      </c>
      <c r="D39" s="7" t="n">
        <v>4737.91</v>
      </c>
      <c r="E39" s="5" t="inlineStr">
        <is>
          <t>По ДТУ</t>
        </is>
      </c>
      <c r="F39" s="7" t="n">
        <v>0</v>
      </c>
      <c r="G39" s="6" t="inlineStr">
        <is>
          <t>Справка ЕЛВИ Боженци</t>
        </is>
      </c>
    </row>
    <row r="40" ht="19" customHeight="1">
      <c r="A40" s="9" t="inlineStr">
        <is>
          <t>ЕЛВИ ООД</t>
        </is>
      </c>
      <c r="B40" s="9" t="inlineStr">
        <is>
          <t>Тертер млечни (1 482 кг)</t>
        </is>
      </c>
      <c r="C40" s="10" t="n">
        <v>1285.97</v>
      </c>
      <c r="D40" s="10" t="n">
        <v>1543.16</v>
      </c>
      <c r="E40" s="8" t="inlineStr">
        <is>
          <t>По ДТУ</t>
        </is>
      </c>
      <c r="F40" s="10" t="n">
        <v>0</v>
      </c>
      <c r="G40" s="9" t="inlineStr">
        <is>
          <t>Справка ЕЛВИ Тертер</t>
        </is>
      </c>
    </row>
    <row r="41" ht="19" customHeight="1">
      <c r="A41" s="6" t="inlineStr">
        <is>
          <t>Фронери България ЕООД</t>
        </is>
      </c>
      <c r="B41" s="6" t="inlineStr">
        <is>
          <t>Familia сладолед</t>
        </is>
      </c>
      <c r="C41" s="7" t="n">
        <v>4626.83</v>
      </c>
      <c r="D41" s="7" t="n">
        <v>5552.2</v>
      </c>
      <c r="E41" s="5" t="inlineStr">
        <is>
          <t>35% БО</t>
        </is>
      </c>
      <c r="F41" s="7" t="n">
        <v>1619.39</v>
      </c>
      <c r="G41" s="6" t="inlineStr">
        <is>
          <t>OLAP отчет Froneri</t>
        </is>
      </c>
    </row>
    <row r="42" ht="19" customHeight="1">
      <c r="A42" s="9" t="inlineStr">
        <is>
          <t>Фронери България ЕООД</t>
        </is>
      </c>
      <c r="B42" s="9" t="inlineStr">
        <is>
          <t>Galaxy сладолед</t>
        </is>
      </c>
      <c r="C42" s="10" t="n">
        <v>3679.61</v>
      </c>
      <c r="D42" s="10" t="n">
        <v>4415.53</v>
      </c>
      <c r="E42" s="8" t="inlineStr">
        <is>
          <t>35% БО</t>
        </is>
      </c>
      <c r="F42" s="10" t="n">
        <v>1287.86</v>
      </c>
      <c r="G42" s="9" t="inlineStr">
        <is>
          <t>OLAP отчет Froneri</t>
        </is>
      </c>
    </row>
    <row r="43" ht="19" customHeight="1">
      <c r="A43" s="6" t="inlineStr">
        <is>
          <t>Фронери България ЕООД</t>
        </is>
      </c>
      <c r="B43" s="6" t="inlineStr">
        <is>
          <t>Milka сладолед</t>
        </is>
      </c>
      <c r="C43" s="7" t="n">
        <v>2870.87</v>
      </c>
      <c r="D43" s="7" t="n">
        <v>3445.04</v>
      </c>
      <c r="E43" s="5" t="inlineStr">
        <is>
          <t>35% БО</t>
        </is>
      </c>
      <c r="F43" s="7" t="n">
        <v>1004.8</v>
      </c>
      <c r="G43" s="6" t="inlineStr">
        <is>
          <t>OLAP отчет Froneri</t>
        </is>
      </c>
    </row>
    <row r="44" ht="19" customHeight="1">
      <c r="A44" s="9" t="inlineStr">
        <is>
          <t>Фронери България ЕООД</t>
        </is>
      </c>
      <c r="B44" s="9" t="inlineStr">
        <is>
          <t>Magnum сладолед</t>
        </is>
      </c>
      <c r="C44" s="10" t="n">
        <v>2048.44</v>
      </c>
      <c r="D44" s="10" t="n">
        <v>2458.13</v>
      </c>
      <c r="E44" s="8" t="inlineStr">
        <is>
          <t>35% БО</t>
        </is>
      </c>
      <c r="F44" s="10" t="n">
        <v>716.95</v>
      </c>
      <c r="G44" s="9" t="inlineStr">
        <is>
          <t>OLAP отчет Froneri</t>
        </is>
      </c>
    </row>
    <row r="45" ht="19" customHeight="1">
      <c r="A45" s="6" t="inlineStr">
        <is>
          <t>Фронери България ЕООД</t>
        </is>
      </c>
      <c r="B45" s="6" t="inlineStr">
        <is>
          <t>Nirvana сладолед</t>
        </is>
      </c>
      <c r="C45" s="7" t="n">
        <v>1683.13</v>
      </c>
      <c r="D45" s="7" t="n">
        <v>2019.76</v>
      </c>
      <c r="E45" s="5" t="inlineStr">
        <is>
          <t>35% БО</t>
        </is>
      </c>
      <c r="F45" s="7" t="n">
        <v>589.1</v>
      </c>
      <c r="G45" s="6" t="inlineStr">
        <is>
          <t>OLAP отчет Froneri</t>
        </is>
      </c>
    </row>
    <row r="46" ht="19" customHeight="1">
      <c r="A46" s="9" t="inlineStr">
        <is>
          <t>Фронери България ЕООД</t>
        </is>
      </c>
      <c r="B46" s="9" t="inlineStr">
        <is>
          <t>Nuii сладолед</t>
        </is>
      </c>
      <c r="C46" s="10" t="n">
        <v>1124.82</v>
      </c>
      <c r="D46" s="10" t="n">
        <v>1349.78</v>
      </c>
      <c r="E46" s="8" t="inlineStr">
        <is>
          <t>35% БО</t>
        </is>
      </c>
      <c r="F46" s="10" t="n">
        <v>393.69</v>
      </c>
      <c r="G46" s="9" t="inlineStr">
        <is>
          <t>OLAP отчет Froneri</t>
        </is>
      </c>
    </row>
    <row r="47" ht="19" customHeight="1">
      <c r="A47" s="6" t="inlineStr">
        <is>
          <t>Фронери България ЕООД</t>
        </is>
      </c>
      <c r="B47" s="6" t="inlineStr">
        <is>
          <t>Oreo сладолед</t>
        </is>
      </c>
      <c r="C47" s="7" t="n">
        <v>1123.19</v>
      </c>
      <c r="D47" s="7" t="n">
        <v>1347.83</v>
      </c>
      <c r="E47" s="5" t="inlineStr">
        <is>
          <t>35% БО</t>
        </is>
      </c>
      <c r="F47" s="7" t="n">
        <v>393.12</v>
      </c>
      <c r="G47" s="6" t="inlineStr">
        <is>
          <t>OLAP отчет Froneri</t>
        </is>
      </c>
    </row>
    <row r="48" ht="19" customHeight="1">
      <c r="A48" s="9" t="inlineStr">
        <is>
          <t>Фронери България ЕООД</t>
        </is>
      </c>
      <c r="B48" s="9" t="inlineStr">
        <is>
          <t>Hit сладолед</t>
        </is>
      </c>
      <c r="C48" s="10" t="n">
        <v>1074.76</v>
      </c>
      <c r="D48" s="10" t="n">
        <v>1289.71</v>
      </c>
      <c r="E48" s="8" t="inlineStr">
        <is>
          <t>35% БО</t>
        </is>
      </c>
      <c r="F48" s="10" t="n">
        <v>376.17</v>
      </c>
      <c r="G48" s="9" t="inlineStr">
        <is>
          <t>OLAP отчет Froneri</t>
        </is>
      </c>
    </row>
    <row r="49" ht="19" customHeight="1">
      <c r="A49" s="6" t="inlineStr">
        <is>
          <t>Фронери България ЕООД</t>
        </is>
      </c>
      <c r="B49" s="6" t="inlineStr">
        <is>
          <t>Останали марки сладолед</t>
        </is>
      </c>
      <c r="C49" s="7" t="n">
        <v>3357.08</v>
      </c>
      <c r="D49" s="7" t="n">
        <v>4028.5</v>
      </c>
      <c r="E49" s="5" t="inlineStr">
        <is>
          <t>35% БО</t>
        </is>
      </c>
      <c r="F49" s="7" t="n">
        <v>1174.98</v>
      </c>
      <c r="G49" s="6" t="inlineStr">
        <is>
          <t>OLAP отчет Froneri</t>
        </is>
      </c>
    </row>
    <row r="50" ht="22" customHeight="1">
      <c r="A50" s="12" t="inlineStr">
        <is>
          <t>ОБЩО АНАЛИТИЧНИ РАЗБИВКИ:</t>
        </is>
      </c>
      <c r="B50" s="11" t="inlineStr"/>
      <c r="C50" s="13">
        <f>SUM(C5:C49)</f>
        <v/>
      </c>
      <c r="D50" s="13">
        <f>SUM(D5:D49)</f>
        <v/>
      </c>
      <c r="E50" s="11" t="inlineStr"/>
      <c r="F50" s="13">
        <f>SUM(F5:F49)</f>
        <v/>
      </c>
      <c r="G50" s="14" t="inlineStr">
        <is>
          <t>Контрол на марките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 outlineLevelCol="0"/>
  <cols>
    <col width="25" customWidth="1" min="1" max="1"/>
    <col width="16" customWidth="1" min="2" max="2"/>
    <col width="14" customWidth="1" min="3" max="3"/>
    <col width="16" customWidth="1" min="4" max="4"/>
    <col width="16" customWidth="1" min="5" max="5"/>
    <col width="30" customWidth="1" min="6" max="6"/>
    <col width="30" customWidth="1" min="7" max="7"/>
    <col width="22" customWidth="1" min="8" max="8"/>
  </cols>
  <sheetData>
    <row r="1">
      <c r="A1" s="1" t="inlineStr">
        <is>
          <t>РЕГИСТЪР НА КРЕДИТНИТЕ ИЗВЕСТИЯ, ПРИХВАЩАНИЯТА И ВЗЕМАНИЯТА ЗА М. АВГУСТ 2026 Г.</t>
        </is>
      </c>
    </row>
    <row r="2">
      <c r="A2" s="2" t="inlineStr">
        <is>
          <t>Стриктен контрол на насрещните прихващания и събираемостта на вземанията от доставчици</t>
        </is>
      </c>
    </row>
    <row r="4">
      <c r="A4" s="21" t="inlineStr">
        <is>
          <t>1. КРЕДИТНИ ИЗВЕСТИЯ И ПРЕТЕНЦИИ ЗА НАСРЕЩНО ПРИХВАЩАНЕ ОТ ДОСТАВЧИЦИ</t>
        </is>
      </c>
    </row>
    <row r="5" ht="24" customHeight="1">
      <c r="A5" s="4" t="inlineStr">
        <is>
          <t>Доставчик / Партньор</t>
        </is>
      </c>
      <c r="B5" s="4" t="inlineStr">
        <is>
          <t>Документ №</t>
        </is>
      </c>
      <c r="C5" s="4" t="inlineStr">
        <is>
          <t>Дата</t>
        </is>
      </c>
      <c r="D5" s="4" t="inlineStr">
        <is>
          <t>Сума без ДДС (€)</t>
        </is>
      </c>
      <c r="E5" s="4" t="inlineStr">
        <is>
          <t>Сума с ДДС (€)</t>
        </is>
      </c>
      <c r="F5" s="4" t="inlineStr">
        <is>
          <t>Основание / Причина</t>
        </is>
      </c>
      <c r="G5" s="4" t="inlineStr">
        <is>
          <t>Насрещен документ / Плащане</t>
        </is>
      </c>
      <c r="H5" s="4" t="inlineStr">
        <is>
          <t>Credit Control Статус</t>
        </is>
      </c>
    </row>
    <row r="6" ht="20" customHeight="1">
      <c r="A6" s="22" t="inlineStr">
        <is>
          <t>Карлсберг България (Гайдов)</t>
        </is>
      </c>
      <c r="B6" s="23" t="inlineStr">
        <is>
          <t>КИ 0020099058</t>
        </is>
      </c>
      <c r="C6" s="23" t="inlineStr">
        <is>
          <t>02.09.2026</t>
        </is>
      </c>
      <c r="D6" s="24" t="n">
        <v>-1512.52</v>
      </c>
      <c r="E6" s="24" t="n">
        <v>-1815.02</v>
      </c>
      <c r="F6" s="22" t="inlineStr">
        <is>
          <t>Компенсация промо-активности Пиринско</t>
        </is>
      </c>
      <c r="G6" s="22" t="inlineStr">
        <is>
          <t>Следващо плащане за бира Карлсберг</t>
        </is>
      </c>
      <c r="H6" s="25" t="inlineStr">
        <is>
          <t>ЗАДЪЛЖИТЕЛНО ПРИХВАЩАНЕ</t>
        </is>
      </c>
    </row>
    <row r="7" ht="20" customHeight="1">
      <c r="A7" s="6" t="inlineStr">
        <is>
          <t>Белла България (Фрешлоджик)</t>
        </is>
      </c>
      <c r="B7" s="5" t="inlineStr">
        <is>
          <t>КИ 1000439180</t>
        </is>
      </c>
      <c r="C7" s="5" t="inlineStr">
        <is>
          <t>31.08.2026</t>
        </is>
      </c>
      <c r="D7" s="7" t="n">
        <v>-351.95</v>
      </c>
      <c r="E7" s="7" t="n">
        <v>-422.34</v>
      </c>
      <c r="F7" s="6" t="inlineStr">
        <is>
          <t>Търговско кредитно известие</t>
        </is>
      </c>
      <c r="G7" s="6" t="inlineStr">
        <is>
          <t>Фактура 1000439162 (1 686.94 €)</t>
        </is>
      </c>
      <c r="H7" s="26" t="inlineStr">
        <is>
          <t>ПРИХВАНАТО (нето: 1 264.60 €)</t>
        </is>
      </c>
    </row>
    <row r="8" ht="20" customHeight="1">
      <c r="A8" s="6" t="inlineStr">
        <is>
          <t>Био България ООД (Хармоника)</t>
        </is>
      </c>
      <c r="B8" s="5" t="inlineStr">
        <is>
          <t>Брак по имейл</t>
        </is>
      </c>
      <c r="C8" s="5" t="inlineStr">
        <is>
          <t>02.09.2026</t>
        </is>
      </c>
      <c r="D8" s="7" t="n">
        <v>-50.61</v>
      </c>
      <c r="E8" s="7" t="n">
        <v>-60.73</v>
      </c>
      <c r="F8" s="6" t="inlineStr">
        <is>
          <t>Брак по магазини за м. Август</t>
        </is>
      </c>
      <c r="G8" s="6" t="inlineStr">
        <is>
          <t>Следващо плащане за доставки</t>
        </is>
      </c>
      <c r="H8" s="26" t="inlineStr">
        <is>
          <t>ЗА ПРИСПАДАНЕ</t>
        </is>
      </c>
    </row>
    <row r="9" ht="20" customHeight="1">
      <c r="A9" s="6" t="inlineStr">
        <is>
          <t>Мес-ко ЕООД (4 броя КИ)</t>
        </is>
      </c>
      <c r="B9" s="5" t="inlineStr">
        <is>
          <t>КИ 4 бр. счетоводни</t>
        </is>
      </c>
      <c r="C9" s="5" t="inlineStr">
        <is>
          <t>31.08.2026</t>
        </is>
      </c>
      <c r="D9" s="7" t="n">
        <v>-82.12</v>
      </c>
      <c r="E9" s="7" t="n">
        <v>-98.54000000000001</v>
      </c>
      <c r="F9" s="6" t="inlineStr">
        <is>
          <t>Кредитни по продажби Мес-ко</t>
        </is>
      </c>
      <c r="G9" s="6" t="inlineStr">
        <is>
          <t>Приспаднати от фактури Мес-ко</t>
        </is>
      </c>
      <c r="H9" s="26" t="inlineStr">
        <is>
          <t>ПРИСПАДНАТО В ОТЧЕТА</t>
        </is>
      </c>
    </row>
    <row r="12">
      <c r="A12" s="21" t="inlineStr">
        <is>
          <t>2. ОБОБЩЕНИЕ НА ИЗДАДЕНИТЕ ФАКТУРИ ЗА ПРОДАЖБИ И БО ЗА М. АВГУСТ 2026 Г.</t>
        </is>
      </c>
    </row>
    <row r="13" ht="24" customHeight="1">
      <c r="A13" s="15" t="inlineStr">
        <is>
          <t>Показател / Категория</t>
        </is>
      </c>
      <c r="B13" s="15" t="inlineStr">
        <is>
          <t>Брой документи</t>
        </is>
      </c>
      <c r="C13" s="15" t="inlineStr">
        <is>
          <t>Стойност без ДДС (€)</t>
        </is>
      </c>
      <c r="D13" s="15" t="inlineStr">
        <is>
          <t>ДДС (€)</t>
        </is>
      </c>
      <c r="E13" s="15" t="inlineStr">
        <is>
          <t>Общо с ДДС (€)</t>
        </is>
      </c>
      <c r="F13" s="15" t="inlineStr">
        <is>
          <t>Погасена сума (€)</t>
        </is>
      </c>
      <c r="G13" s="15" t="inlineStr">
        <is>
          <t>Несъбран остатък (€)</t>
        </is>
      </c>
      <c r="H13" s="15" t="inlineStr">
        <is>
          <t>Credit Control Статус</t>
        </is>
      </c>
    </row>
    <row r="14" ht="20" customHeight="1">
      <c r="A14" s="6" t="inlineStr">
        <is>
          <t>Фактури за продажби и БО към доставчици</t>
        </is>
      </c>
      <c r="B14" s="5" t="n">
        <v>116</v>
      </c>
      <c r="C14" s="7" t="n">
        <v>62131.76</v>
      </c>
      <c r="D14" s="7" t="n">
        <v>12426.35</v>
      </c>
      <c r="E14" s="7" t="n">
        <v>74558.11</v>
      </c>
      <c r="F14" s="7" t="n">
        <v>94.31999999999999</v>
      </c>
      <c r="G14" s="7" t="n">
        <v>74463.78999999999</v>
      </c>
      <c r="H14" s="5" t="inlineStr">
        <is>
          <t>АКТИВНИ ВЗЕМАНИЯ</t>
        </is>
      </c>
    </row>
    <row r="15" ht="20" customHeight="1">
      <c r="A15" s="6" t="inlineStr">
        <is>
          <t>Кредитни известия към клиенти/партньори</t>
        </is>
      </c>
      <c r="B15" s="5" t="n">
        <v>4</v>
      </c>
      <c r="C15" s="7" t="n">
        <v>-450</v>
      </c>
      <c r="D15" s="7" t="n">
        <v>-90</v>
      </c>
      <c r="E15" s="7" t="n">
        <v>-540</v>
      </c>
      <c r="F15" s="7" t="n">
        <v>0</v>
      </c>
      <c r="G15" s="7" t="n">
        <v>-540</v>
      </c>
      <c r="H15" s="5" t="inlineStr">
        <is>
          <t>ПРИХВАЩАНИЯ</t>
        </is>
      </c>
    </row>
    <row r="16" ht="20" customHeight="1">
      <c r="A16" s="27" t="inlineStr">
        <is>
          <t>НЕТНО САЛДО ЗА СЪБИРАНЕ ЗА М. АВГУСТ:</t>
        </is>
      </c>
      <c r="B16" s="28" t="n">
        <v>120</v>
      </c>
      <c r="C16" s="29" t="n">
        <v>61681.76</v>
      </c>
      <c r="D16" s="29" t="n">
        <v>12336.35</v>
      </c>
      <c r="E16" s="29" t="n">
        <v>74018.11</v>
      </c>
      <c r="F16" s="29" t="n">
        <v>94.31999999999999</v>
      </c>
      <c r="G16" s="29" t="n">
        <v>73923.78999999999</v>
      </c>
      <c r="H16" s="28" t="inlineStr">
        <is>
          <t>СТРИКТЕН КОНТРОЛ</t>
        </is>
      </c>
    </row>
    <row r="19">
      <c r="A19" s="30" t="inlineStr">
        <is>
          <t>⚠️ ЗЛАТНО ПРАВИЛО НА CREDIT CONTROL: Задължително спиране на плащания за стока към партньори с просрочени фактури за БО над 10 дни!</t>
        </is>
      </c>
    </row>
  </sheetData>
  <mergeCells count="3">
    <mergeCell ref="A19:H19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18" customWidth="1" min="2" max="2"/>
    <col width="22" customWidth="1" min="3" max="3"/>
    <col width="22" customWidth="1" min="4" max="4"/>
    <col width="18" customWidth="1" min="5" max="5"/>
    <col width="30" customWidth="1" min="6" max="6"/>
    <col width="22" customWidth="1" min="7" max="7"/>
  </cols>
  <sheetData>
    <row r="1">
      <c r="A1" s="1" t="inlineStr">
        <is>
          <t>МАРКЕТИНГОВИ ТАКСИ, БРОШУРИ И ОПЕРАТИВНИ РАЗХОДИ ЗА М. АВГУСТ 2026 Г.</t>
        </is>
      </c>
    </row>
    <row r="2">
      <c r="A2" s="2" t="inlineStr">
        <is>
          <t>Отчети от Търговски отдел (Деница Карагенова) и Договорени търговски условия (ДТУ)</t>
        </is>
      </c>
    </row>
    <row r="4">
      <c r="A4" s="21" t="inlineStr">
        <is>
          <t>1. МАРКЕТИНГОВИ ТАКСИ ЗА БРОШУРИ И ВТОРИЧНИ ИЗЛАГАНИЯ (М. АВГУСТ 2026)</t>
        </is>
      </c>
    </row>
    <row r="5" ht="24" customHeight="1">
      <c r="A5" s="4" t="inlineStr">
        <is>
          <t>Партньор / Контрагент</t>
        </is>
      </c>
      <c r="B5" s="4" t="inlineStr">
        <is>
          <t>Такса Брошура (€)</t>
        </is>
      </c>
      <c r="C5" s="4" t="inlineStr">
        <is>
          <t>Вторични / Палетни места (€)</t>
        </is>
      </c>
      <c r="D5" s="4" t="inlineStr">
        <is>
          <t>Договорен % от оборот (€)</t>
        </is>
      </c>
      <c r="E5" s="4" t="inlineStr">
        <is>
          <t>ОБЩО ТАКСА (€)</t>
        </is>
      </c>
      <c r="F5" s="4" t="inlineStr">
        <is>
          <t>Основание / ДТУ споразумение</t>
        </is>
      </c>
      <c r="G5" s="4" t="inlineStr">
        <is>
          <t>Статус на фактуриране</t>
        </is>
      </c>
    </row>
    <row r="6" ht="20" customHeight="1">
      <c r="A6" s="6" t="inlineStr">
        <is>
          <t>Престиж 96 АД</t>
        </is>
      </c>
      <c r="B6" s="7" t="n">
        <v>91.67</v>
      </c>
      <c r="C6" s="7" t="n">
        <v>164.66</v>
      </c>
      <c r="D6" s="7" t="n">
        <v>271.53</v>
      </c>
      <c r="E6" s="7" t="n">
        <v>527.86</v>
      </c>
      <c r="F6" s="6" t="inlineStr">
        <is>
          <t>8% споразумение + брошура + 2-ри точки</t>
        </is>
      </c>
      <c r="G6" s="5" t="inlineStr">
        <is>
          <t>За фактуриране</t>
        </is>
      </c>
    </row>
    <row r="7" ht="20" customHeight="1">
      <c r="A7" s="9" t="inlineStr">
        <is>
          <t>Суит Плюс ООД</t>
        </is>
      </c>
      <c r="B7" s="10" t="n">
        <v>0</v>
      </c>
      <c r="C7" s="10" t="n">
        <v>0</v>
      </c>
      <c r="D7" s="10" t="n">
        <v>136.17</v>
      </c>
      <c r="E7" s="10" t="n">
        <v>136.17</v>
      </c>
      <c r="F7" s="9" t="inlineStr">
        <is>
          <t>15% от реализиран оборот</t>
        </is>
      </c>
      <c r="G7" s="8" t="inlineStr">
        <is>
          <t>За фактуриране</t>
        </is>
      </c>
    </row>
    <row r="8" ht="20" customHeight="1">
      <c r="A8" s="6" t="inlineStr">
        <is>
          <t>Кармела 2000 ООД</t>
        </is>
      </c>
      <c r="B8" s="7" t="n">
        <v>0</v>
      </c>
      <c r="C8" s="7" t="n">
        <v>0</v>
      </c>
      <c r="D8" s="7" t="n">
        <v>36.78</v>
      </c>
      <c r="E8" s="7" t="n">
        <v>36.78</v>
      </c>
      <c r="F8" s="6" t="inlineStr">
        <is>
          <t>15% от реализиран оборот</t>
        </is>
      </c>
      <c r="G8" s="5" t="inlineStr">
        <is>
          <t>За фактуриране</t>
        </is>
      </c>
    </row>
    <row r="9" ht="20" customHeight="1">
      <c r="A9" s="9" t="inlineStr">
        <is>
          <t>Фокус ООД</t>
        </is>
      </c>
      <c r="B9" s="10" t="n">
        <v>0</v>
      </c>
      <c r="C9" s="10" t="n">
        <v>0</v>
      </c>
      <c r="D9" s="10" t="n">
        <v>10.84</v>
      </c>
      <c r="E9" s="10" t="n">
        <v>10.84</v>
      </c>
      <c r="F9" s="9" t="inlineStr">
        <is>
          <t>15% от реализиран оборот</t>
        </is>
      </c>
      <c r="G9" s="8" t="inlineStr">
        <is>
          <t>За фактуриране</t>
        </is>
      </c>
    </row>
    <row r="10" ht="20" customHeight="1">
      <c r="A10" s="6" t="inlineStr">
        <is>
          <t>Итал Фууд Индъстри АД</t>
        </is>
      </c>
      <c r="B10" s="7" t="n">
        <v>91.67</v>
      </c>
      <c r="C10" s="7" t="n">
        <v>204.52</v>
      </c>
      <c r="D10" s="7" t="n">
        <v>0</v>
      </c>
      <c r="E10" s="7" t="n">
        <v>296.19</v>
      </c>
      <c r="F10" s="6" t="inlineStr">
        <is>
          <t>Брошура + палетно излагане</t>
        </is>
      </c>
      <c r="G10" s="5" t="inlineStr">
        <is>
          <t>За фактуриране</t>
        </is>
      </c>
    </row>
    <row r="11" ht="20" customHeight="1">
      <c r="A11" s="9" t="inlineStr">
        <is>
          <t>Победа АД</t>
        </is>
      </c>
      <c r="B11" s="10" t="n">
        <v>91.67</v>
      </c>
      <c r="C11" s="10" t="n">
        <v>0</v>
      </c>
      <c r="D11" s="10" t="n">
        <v>0</v>
      </c>
      <c r="E11" s="10" t="n">
        <v>91.67</v>
      </c>
      <c r="F11" s="9" t="inlineStr">
        <is>
          <t>1 брой участие в промо брошура</t>
        </is>
      </c>
      <c r="G11" s="8" t="inlineStr">
        <is>
          <t>За фактуриране</t>
        </is>
      </c>
    </row>
    <row r="12" ht="20" customHeight="1">
      <c r="A12" s="6" t="inlineStr">
        <is>
          <t>Юнилинкс ЕООД</t>
        </is>
      </c>
      <c r="B12" s="7" t="n">
        <v>91.67</v>
      </c>
      <c r="C12" s="7" t="n">
        <v>0</v>
      </c>
      <c r="D12" s="7" t="n">
        <v>0</v>
      </c>
      <c r="E12" s="7" t="n">
        <v>91.67</v>
      </c>
      <c r="F12" s="6" t="inlineStr">
        <is>
          <t>1 брой участие в промо брошура</t>
        </is>
      </c>
      <c r="G12" s="5" t="inlineStr">
        <is>
          <t>За фактуриране</t>
        </is>
      </c>
    </row>
    <row r="13" ht="20" customHeight="1">
      <c r="A13" s="9" t="inlineStr">
        <is>
          <t>Оптимо ООД</t>
        </is>
      </c>
      <c r="B13" s="10" t="n">
        <v>570</v>
      </c>
      <c r="C13" s="10" t="n">
        <v>0</v>
      </c>
      <c r="D13" s="10" t="n">
        <v>0</v>
      </c>
      <c r="E13" s="10" t="n">
        <v>570</v>
      </c>
      <c r="F13" s="9" t="inlineStr">
        <is>
          <t>Фиксиран месечен пакет по ДТУ</t>
        </is>
      </c>
      <c r="G13" s="8" t="inlineStr">
        <is>
          <t>За фактуриране</t>
        </is>
      </c>
    </row>
    <row r="14" ht="20" customHeight="1">
      <c r="A14" s="6" t="inlineStr">
        <is>
          <t>Смм Комерс ООД</t>
        </is>
      </c>
      <c r="B14" s="7" t="n">
        <v>440</v>
      </c>
      <c r="C14" s="7" t="n">
        <v>0</v>
      </c>
      <c r="D14" s="7" t="n">
        <v>0</v>
      </c>
      <c r="E14" s="7" t="n">
        <v>440</v>
      </c>
      <c r="F14" s="6" t="inlineStr">
        <is>
          <t>Фиксиран месечен пакет по ДТУ</t>
        </is>
      </c>
      <c r="G14" s="5" t="inlineStr">
        <is>
          <t>За фактуриране</t>
        </is>
      </c>
    </row>
    <row r="15" ht="20" customHeight="1">
      <c r="A15" s="9" t="inlineStr">
        <is>
          <t>Филикон 97 АД</t>
        </is>
      </c>
      <c r="B15" s="10" t="n">
        <v>220</v>
      </c>
      <c r="C15" s="10" t="n">
        <v>0</v>
      </c>
      <c r="D15" s="10" t="n">
        <v>0</v>
      </c>
      <c r="E15" s="10" t="n">
        <v>220</v>
      </c>
      <c r="F15" s="9" t="inlineStr">
        <is>
          <t>Фиксиран месечен пакет по ДТУ</t>
        </is>
      </c>
      <c r="G15" s="8" t="inlineStr">
        <is>
          <t>За фактуриране</t>
        </is>
      </c>
    </row>
    <row r="16" ht="20" customHeight="1">
      <c r="A16" s="6" t="inlineStr">
        <is>
          <t>Николов Дистрибюшън ООД</t>
        </is>
      </c>
      <c r="B16" s="7" t="n">
        <v>110</v>
      </c>
      <c r="C16" s="7" t="n">
        <v>0</v>
      </c>
      <c r="D16" s="7" t="n">
        <v>0</v>
      </c>
      <c r="E16" s="7" t="n">
        <v>110</v>
      </c>
      <c r="F16" s="6" t="inlineStr">
        <is>
          <t>Фиксиран месечен пакет по ДТУ</t>
        </is>
      </c>
      <c r="G16" s="5" t="inlineStr">
        <is>
          <t>За фактуриране</t>
        </is>
      </c>
    </row>
    <row r="17" ht="22" customHeight="1">
      <c r="A17" s="12" t="inlineStr">
        <is>
          <t>ОБЩО МАРКЕТИНГОВИ ТАКСИ:</t>
        </is>
      </c>
      <c r="B17" s="13">
        <f>SUM(B6:B16)</f>
        <v/>
      </c>
      <c r="C17" s="13">
        <f>SUM(C6:C16)</f>
        <v/>
      </c>
      <c r="D17" s="13">
        <f>SUM(D6:D16)</f>
        <v/>
      </c>
      <c r="E17" s="13">
        <f>SUM(E6:E16)</f>
        <v/>
      </c>
      <c r="F17" s="11" t="inlineStr"/>
      <c r="G17" s="14" t="inlineStr">
        <is>
          <t>За фактуриране</t>
        </is>
      </c>
    </row>
    <row r="20">
      <c r="A20" s="21" t="inlineStr">
        <is>
          <t>2. ПАРТНЬОРИ С 0.00 € ТАКСА БРОШУРА (КОМПЕНСИРАНО ПРЕЗ ВИСОК % БО ПО ДТУ)</t>
        </is>
      </c>
    </row>
    <row r="21">
      <c r="A21" s="31" t="inlineStr">
        <is>
          <t>Фронери България ЕООД</t>
        </is>
      </c>
      <c r="B21" s="32" t="inlineStr">
        <is>
          <t>35% БО върху реализиран оборот (0.00 € брошура)</t>
        </is>
      </c>
      <c r="C21" s="33" t="n"/>
      <c r="D21" s="33" t="n"/>
      <c r="E21" s="33" t="n"/>
      <c r="F21" s="33" t="n"/>
      <c r="G21" s="33" t="n"/>
    </row>
    <row r="22">
      <c r="A22" s="34" t="inlineStr">
        <is>
          <t>Селеста Трейдинг ООД</t>
        </is>
      </c>
      <c r="B22" s="35" t="inlineStr">
        <is>
          <t>20% БО върху реализиран оборот (0.00 € брошура)</t>
        </is>
      </c>
      <c r="C22" s="33" t="n"/>
      <c r="D22" s="33" t="n"/>
      <c r="E22" s="33" t="n"/>
      <c r="F22" s="33" t="n"/>
      <c r="G22" s="33" t="n"/>
    </row>
    <row r="23">
      <c r="A23" s="31" t="inlineStr">
        <is>
          <t>Нестле България АД</t>
        </is>
      </c>
      <c r="B23" s="32" t="inlineStr">
        <is>
          <t>14.7% БО върху реализиран оборот (0.00 € брошура)</t>
        </is>
      </c>
      <c r="C23" s="33" t="n"/>
      <c r="D23" s="33" t="n"/>
      <c r="E23" s="33" t="n"/>
      <c r="F23" s="33" t="n"/>
      <c r="G23" s="33" t="n"/>
    </row>
    <row r="24">
      <c r="A24" s="34" t="inlineStr">
        <is>
          <t>СуиКо ЕООД</t>
        </is>
      </c>
      <c r="B24" s="35" t="inlineStr">
        <is>
          <t>19% БО върху реализиран оборот (0.00 € брошура)</t>
        </is>
      </c>
      <c r="C24" s="33" t="n"/>
      <c r="D24" s="33" t="n"/>
      <c r="E24" s="33" t="n"/>
      <c r="F24" s="33" t="n"/>
      <c r="G24" s="33" t="n"/>
    </row>
    <row r="25">
      <c r="A25" s="31" t="inlineStr">
        <is>
          <t>Цветна Зора</t>
        </is>
      </c>
      <c r="B25" s="32" t="inlineStr">
        <is>
          <t>18% БО върху реализиран оборот (0.00 € брошура)</t>
        </is>
      </c>
      <c r="C25" s="33" t="n"/>
      <c r="D25" s="33" t="n"/>
      <c r="E25" s="33" t="n"/>
      <c r="F25" s="33" t="n"/>
      <c r="G25" s="33" t="n"/>
    </row>
    <row r="26">
      <c r="A26" s="34" t="inlineStr">
        <is>
          <t>Самако Импорт-Експорт (Неом Гардън)</t>
        </is>
      </c>
      <c r="B26" s="35" t="inlineStr">
        <is>
          <t>13% БО върху реализиран оборот (0.00 € брошура)</t>
        </is>
      </c>
      <c r="C26" s="33" t="n"/>
      <c r="D26" s="33" t="n"/>
      <c r="E26" s="33" t="n"/>
      <c r="F26" s="33" t="n"/>
      <c r="G26" s="33" t="n"/>
    </row>
    <row r="27">
      <c r="A27" s="31" t="inlineStr">
        <is>
          <t>Астра и Ко</t>
        </is>
      </c>
      <c r="B27" s="32" t="inlineStr">
        <is>
          <t>12% БО върху реализиран оборот (0.00 € брошура)</t>
        </is>
      </c>
      <c r="C27" s="33" t="n"/>
      <c r="D27" s="33" t="n"/>
      <c r="E27" s="33" t="n"/>
      <c r="F27" s="33" t="n"/>
      <c r="G27" s="33" t="n"/>
    </row>
    <row r="28">
      <c r="A28" s="34" t="inlineStr">
        <is>
          <t>Тимбарк, Топ Продъктс, Хами</t>
        </is>
      </c>
      <c r="B28" s="35" t="inlineStr">
        <is>
          <t>0.00 € такса брошура по споразумение</t>
        </is>
      </c>
      <c r="C28" s="33" t="n"/>
      <c r="D28" s="33" t="n"/>
      <c r="E28" s="33" t="n"/>
      <c r="F28" s="33" t="n"/>
      <c r="G28" s="33" t="n"/>
    </row>
    <row r="29">
      <c r="A29" s="31" t="inlineStr">
        <is>
          <t>Плодове и зеленчуци (Девекс, Веска, Крейзи)</t>
        </is>
      </c>
      <c r="B29" s="32" t="inlineStr">
        <is>
          <t>0.00 € брошура (седмични нетни ценови промоции)</t>
        </is>
      </c>
      <c r="C29" s="33" t="n"/>
      <c r="D29" s="33" t="n"/>
      <c r="E29" s="33" t="n"/>
      <c r="F29" s="33" t="n"/>
      <c r="G29" s="33" t="n"/>
    </row>
  </sheetData>
  <mergeCells count="11">
    <mergeCell ref="B24:G24"/>
    <mergeCell ref="A1:G1"/>
    <mergeCell ref="B28:G28"/>
    <mergeCell ref="B22:G22"/>
    <mergeCell ref="B23:G23"/>
    <mergeCell ref="B27:G27"/>
    <mergeCell ref="A2:G2"/>
    <mergeCell ref="B26:G26"/>
    <mergeCell ref="B21:G21"/>
    <mergeCell ref="B29:G29"/>
    <mergeCell ref="B25:G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6" customWidth="1" min="2" max="2"/>
    <col width="28" customWidth="1" min="3" max="3"/>
    <col width="32" customWidth="1" min="4" max="4"/>
    <col width="35" customWidth="1" min="5" max="5"/>
    <col width="14" customWidth="1" min="6" max="6"/>
    <col width="20" customWidth="1" min="7" max="7"/>
  </cols>
  <sheetData>
    <row r="1">
      <c r="A1" s="1" t="inlineStr">
        <is>
          <t>ПЪЛЕН РЕГИСТЪР НА ОБРАБОТЕНИТЕ 52 ИМЕЙЛА ЗА М. АВГУСТ 2026 Г.</t>
        </is>
      </c>
    </row>
    <row r="2">
      <c r="A2" s="2" t="inlineStr">
        <is>
          <t>Комуникация получена в отговор на официално запитване от 01.09.2026 г. 11:09 ч. в папки INBOX и Засичане оборот</t>
        </is>
      </c>
    </row>
    <row r="4" ht="24" customHeight="1">
      <c r="A4" s="4" t="inlineStr">
        <is>
          <t>№</t>
        </is>
      </c>
      <c r="B4" s="4" t="inlineStr">
        <is>
          <t>Дата и час</t>
        </is>
      </c>
      <c r="C4" s="4" t="inlineStr">
        <is>
          <t>Подател (Имейл адрес)</t>
        </is>
      </c>
      <c r="D4" s="4" t="inlineStr">
        <is>
          <t>Относно (Subject)</t>
        </is>
      </c>
      <c r="E4" s="4" t="inlineStr">
        <is>
          <t>Прикачени файлове</t>
        </is>
      </c>
      <c r="F4" s="4" t="inlineStr">
        <is>
          <t>Папка</t>
        </is>
      </c>
      <c r="G4" s="4" t="inlineStr">
        <is>
          <t>Статус на обработка</t>
        </is>
      </c>
    </row>
    <row r="5" ht="20" customHeight="1">
      <c r="A5" s="8" t="n">
        <v>1</v>
      </c>
      <c r="B5" s="8" t="inlineStr">
        <is>
          <t>2026-09-01 01:09:20-07:00</t>
        </is>
      </c>
      <c r="C5" s="9" t="inlineStr">
        <is>
          <t>Mail Delivery Subsystem &lt;mailer-daemon@googlemail.com&gt;</t>
        </is>
      </c>
      <c r="D5" s="9" t="inlineStr">
        <is>
          <t>Delivery Status Notification (Failure)</t>
        </is>
      </c>
      <c r="E5" s="9" t="inlineStr">
        <is>
          <t>warning_triangle.png</t>
        </is>
      </c>
      <c r="F5" s="8" t="inlineStr">
        <is>
          <t>INBOX</t>
        </is>
      </c>
      <c r="G5" s="36" t="inlineStr">
        <is>
          <t>Обработен и отчетен</t>
        </is>
      </c>
    </row>
    <row r="6" ht="20" customHeight="1">
      <c r="A6" s="5" t="n">
        <v>2</v>
      </c>
      <c r="B6" s="5" t="inlineStr">
        <is>
          <t>2026-09-01 08:09:57+00:00</t>
        </is>
      </c>
      <c r="C6" s="6" t="inlineStr">
        <is>
          <t>"myPOS (Support)" &lt;help@mypos.com&gt;</t>
        </is>
      </c>
      <c r="D6" s="6" t="inlineStr">
        <is>
          <t>[4298592] myPOS Устройство BAKALIA 2014 OOD</t>
        </is>
      </c>
      <c r="E6" s="6" t="inlineStr">
        <is>
          <t>—</t>
        </is>
      </c>
      <c r="F6" s="5" t="inlineStr">
        <is>
          <t>INBOX</t>
        </is>
      </c>
      <c r="G6" s="26" t="inlineStr">
        <is>
          <t>Обработен и отчетен</t>
        </is>
      </c>
    </row>
    <row r="7" ht="20" customHeight="1">
      <c r="A7" s="8" t="n">
        <v>3</v>
      </c>
      <c r="B7" s="8" t="inlineStr">
        <is>
          <t>2026-09-01 11:19:45+03:00</t>
        </is>
      </c>
      <c r="C7" s="9" t="inlineStr">
        <is>
          <t>"HAMI International Ltd." &lt;office@hami-eu.com&gt;</t>
        </is>
      </c>
      <c r="D7" s="9" t="inlineStr">
        <is>
          <t>Re: Справка Август</t>
        </is>
      </c>
      <c r="E7" s="9" t="inlineStr">
        <is>
          <t>Бакалия 082026.pdf</t>
        </is>
      </c>
      <c r="F7" s="8" t="inlineStr">
        <is>
          <t>INBOX</t>
        </is>
      </c>
      <c r="G7" s="36" t="inlineStr">
        <is>
          <t>Обработен и отчетен</t>
        </is>
      </c>
    </row>
    <row r="8" ht="20" customHeight="1">
      <c r="A8" s="5" t="n">
        <v>4</v>
      </c>
      <c r="B8" s="5" t="inlineStr">
        <is>
          <t>2026-09-01 08:28:12+00:00</t>
        </is>
      </c>
      <c r="C8" s="6" t="inlineStr">
        <is>
          <t>Борис Свиленов&lt;b.svilenov@victorianuts.com&gt;</t>
        </is>
      </c>
      <c r="D8" s="6" t="inlineStr">
        <is>
          <t>RE: Справка Август</t>
        </is>
      </c>
      <c r="E8" s="6" t="inlineStr">
        <is>
          <t>оборот Бакалия 08,2026.xls</t>
        </is>
      </c>
      <c r="F8" s="5" t="inlineStr">
        <is>
          <t>INBOX, Zasichane_Oborot</t>
        </is>
      </c>
      <c r="G8" s="26" t="inlineStr">
        <is>
          <t>Обработен и отчетен</t>
        </is>
      </c>
    </row>
    <row r="9" ht="20" customHeight="1">
      <c r="A9" s="8" t="n">
        <v>5</v>
      </c>
      <c r="B9" s="8" t="inlineStr">
        <is>
          <t>2026-09-01 08:50:33+00:00</t>
        </is>
      </c>
      <c r="C9" s="9" t="inlineStr">
        <is>
          <t>Iveta Ivanova &lt;iveta.ivanova@vistaawt.com&gt;</t>
        </is>
      </c>
      <c r="D9" s="9" t="inlineStr">
        <is>
          <t>RE: Справка Август</t>
        </is>
      </c>
      <c r="E9" s="9" t="inlineStr">
        <is>
          <t>Бонус оборот Бакалия-Август.xlsx</t>
        </is>
      </c>
      <c r="F9" s="8" t="inlineStr">
        <is>
          <t>INBOX, Zasichane_Oborot</t>
        </is>
      </c>
      <c r="G9" s="36" t="inlineStr">
        <is>
          <t>Обработен и отчетен</t>
        </is>
      </c>
    </row>
    <row r="10" ht="20" customHeight="1">
      <c r="A10" s="5" t="n">
        <v>6</v>
      </c>
      <c r="B10" s="5" t="inlineStr">
        <is>
          <t>2026-09-01 12:03:49+03:00</t>
        </is>
      </c>
      <c r="C10" s="6" t="inlineStr">
        <is>
          <t>Destan Sofia &lt;destan_sofia@abv.bg&gt;</t>
        </is>
      </c>
      <c r="D10" s="6" t="inlineStr">
        <is>
          <t>Re: Справка Август</t>
        </is>
      </c>
      <c r="E10" s="6" t="inlineStr">
        <is>
          <t>—</t>
        </is>
      </c>
      <c r="F10" s="5" t="inlineStr">
        <is>
          <t>INBOX, Zasichane_Oborot</t>
        </is>
      </c>
      <c r="G10" s="26" t="inlineStr">
        <is>
          <t>Обработен и отчетен</t>
        </is>
      </c>
    </row>
    <row r="11" ht="20" customHeight="1">
      <c r="A11" s="8" t="n">
        <v>7</v>
      </c>
      <c r="B11" s="8" t="inlineStr">
        <is>
          <t>2026-09-01 12:37:13+03:00</t>
        </is>
      </c>
      <c r="C11" s="9" t="inlineStr">
        <is>
          <t>"Anatoli Lubenov" &lt;alubenov@yasko.eu&gt;</t>
        </is>
      </c>
      <c r="D11" s="9" t="inlineStr">
        <is>
          <t>FW: Справка Август</t>
        </is>
      </c>
      <c r="E11" s="9" t="inlineStr">
        <is>
          <t>—</t>
        </is>
      </c>
      <c r="F11" s="8" t="inlineStr">
        <is>
          <t>INBOX</t>
        </is>
      </c>
      <c r="G11" s="36" t="inlineStr">
        <is>
          <t>Обработен и отчетен</t>
        </is>
      </c>
    </row>
    <row r="12" ht="20" customHeight="1">
      <c r="A12" s="5" t="n">
        <v>8</v>
      </c>
      <c r="B12" s="5" t="inlineStr">
        <is>
          <t>2026-09-01 12:37:27+03:00</t>
        </is>
      </c>
      <c r="C12" s="6" t="inlineStr">
        <is>
          <t>Stanislav Chaushev &lt;s.chaushev@effect.bg&gt;</t>
        </is>
      </c>
      <c r="D12" s="6" t="inlineStr">
        <is>
          <t>Re: Справка Август</t>
        </is>
      </c>
      <c r="E12" s="6" t="inlineStr">
        <is>
          <t>Продажби 8.2026.xlsx</t>
        </is>
      </c>
      <c r="F12" s="5" t="inlineStr">
        <is>
          <t>INBOX</t>
        </is>
      </c>
      <c r="G12" s="26" t="inlineStr">
        <is>
          <t>Обработен и отчетен</t>
        </is>
      </c>
    </row>
    <row r="13" ht="20" customHeight="1">
      <c r="A13" s="8" t="n">
        <v>9</v>
      </c>
      <c r="B13" s="8" t="inlineStr">
        <is>
          <t>2026-09-01 12:44:45+03:00</t>
        </is>
      </c>
      <c r="C13" s="9" t="inlineStr">
        <is>
          <t>Велислав Кирчев &lt;velislavkirchev@gmail.com&gt;</t>
        </is>
      </c>
      <c r="D13" s="9" t="inlineStr">
        <is>
          <t>Fwd: Fwd: Справка Август</t>
        </is>
      </c>
      <c r="E13" s="9" t="inlineStr">
        <is>
          <t>08.2026 г  - БАКАЛИЯ ОБОРОТ.ods</t>
        </is>
      </c>
      <c r="F13" s="8" t="inlineStr">
        <is>
          <t>INBOX, Zasichane_Oborot</t>
        </is>
      </c>
      <c r="G13" s="36" t="inlineStr">
        <is>
          <t>Обработен и отчетен</t>
        </is>
      </c>
    </row>
    <row r="14" ht="20" customHeight="1">
      <c r="A14" s="5" t="n">
        <v>10</v>
      </c>
      <c r="B14" s="5" t="inlineStr">
        <is>
          <t>2026-09-01 13:36:59+03:00</t>
        </is>
      </c>
      <c r="C14" s="6" t="inlineStr">
        <is>
          <t>Фактуристи Белла-София &lt;invoicesbella@freshlogic.bg&gt;</t>
        </is>
      </c>
      <c r="D14" s="6" t="inlineStr">
        <is>
          <t>СПРАВКА</t>
        </is>
      </c>
      <c r="E14" s="6" t="inlineStr">
        <is>
          <t>БАКАЛИЯ 24-31,08,26.xlsx</t>
        </is>
      </c>
      <c r="F14" s="5" t="inlineStr">
        <is>
          <t>INBOX</t>
        </is>
      </c>
      <c r="G14" s="26" t="inlineStr">
        <is>
          <t>Обработен и отчетен</t>
        </is>
      </c>
    </row>
    <row r="15" ht="20" customHeight="1">
      <c r="A15" s="8" t="n">
        <v>11</v>
      </c>
      <c r="B15" s="8" t="inlineStr">
        <is>
          <t>2026-09-01 11:03:28+00:00</t>
        </is>
      </c>
      <c r="C15" s="9" t="inlineStr">
        <is>
          <t>Support &lt;help@mypos.com&gt;</t>
        </is>
      </c>
      <c r="D15" s="9" t="inlineStr">
        <is>
          <t>Request #4298592: Как бихте оценили обслужването, което получихте?</t>
        </is>
      </c>
      <c r="E15" s="9" t="inlineStr">
        <is>
          <t>—</t>
        </is>
      </c>
      <c r="F15" s="8" t="inlineStr">
        <is>
          <t>INBOX</t>
        </is>
      </c>
      <c r="G15" s="36" t="inlineStr">
        <is>
          <t>Обработен и отчетен</t>
        </is>
      </c>
    </row>
    <row r="16" ht="20" customHeight="1">
      <c r="A16" s="5" t="n">
        <v>12</v>
      </c>
      <c r="B16" s="5" t="inlineStr">
        <is>
          <t>2026-09-01 14:02:55+03:00</t>
        </is>
      </c>
      <c r="C16" s="6" t="inlineStr">
        <is>
          <t>Фактуристи Белла-София &lt;invoicesbella@freshlogic.bg&gt;</t>
        </is>
      </c>
      <c r="D16" s="6" t="inlineStr">
        <is>
          <t>консолидация</t>
        </is>
      </c>
      <c r="E16" s="6" t="inlineStr">
        <is>
          <t>Ф-РА БАКАЛИЯ.pdf, КИ БАКАЛИЯ.pdf, БАКАЛИЯ 24-31,08,26.xlsx</t>
        </is>
      </c>
      <c r="F16" s="5" t="inlineStr">
        <is>
          <t>INBOX</t>
        </is>
      </c>
      <c r="G16" s="26" t="inlineStr">
        <is>
          <t>Обработен и отчетен</t>
        </is>
      </c>
    </row>
    <row r="17" ht="20" customHeight="1">
      <c r="A17" s="8" t="n">
        <v>13</v>
      </c>
      <c r="B17" s="8" t="inlineStr">
        <is>
          <t>2026-09-01 14:08:26+03:00</t>
        </is>
      </c>
      <c r="C17" s="9" t="inlineStr">
        <is>
          <t>Деница Карагенова &lt;sofiamilk.denitsak@gmail.com&gt;</t>
        </is>
      </c>
      <c r="D17" s="9" t="inlineStr">
        <is>
          <t>Re: консолидация</t>
        </is>
      </c>
      <c r="E17" s="9" t="inlineStr">
        <is>
          <t>—</t>
        </is>
      </c>
      <c r="F17" s="8" t="inlineStr">
        <is>
          <t>INBOX</t>
        </is>
      </c>
      <c r="G17" s="36" t="inlineStr">
        <is>
          <t>Обработен и отчетен</t>
        </is>
      </c>
    </row>
    <row r="18" ht="20" customHeight="1">
      <c r="A18" s="5" t="n">
        <v>14</v>
      </c>
      <c r="B18" s="5" t="inlineStr">
        <is>
          <t>2026-09-01 14:20:00+03:00</t>
        </is>
      </c>
      <c r="C18" s="6" t="inlineStr">
        <is>
          <t>Деница Карагенова &lt;sofiamilk.denitsak@gmail.com&gt;</t>
        </is>
      </c>
      <c r="D18" s="6" t="inlineStr">
        <is>
          <t>Re: Справка Август</t>
        </is>
      </c>
      <c r="E18" s="6" t="inlineStr">
        <is>
          <t>—</t>
        </is>
      </c>
      <c r="F18" s="5" t="inlineStr">
        <is>
          <t>INBOX</t>
        </is>
      </c>
      <c r="G18" s="26" t="inlineStr">
        <is>
          <t>Обработен и отчетен</t>
        </is>
      </c>
    </row>
    <row r="19" ht="20" customHeight="1">
      <c r="A19" s="8" t="n">
        <v>15</v>
      </c>
      <c r="B19" s="8" t="inlineStr">
        <is>
          <t>2026-09-01 14:25:49+03:00</t>
        </is>
      </c>
      <c r="C19" s="9" t="inlineStr">
        <is>
          <t>"HAMI International Ltd." &lt;office@hami-eu.com&gt;</t>
        </is>
      </c>
      <c r="D19" s="9" t="inlineStr">
        <is>
          <t>Re: Справка Август</t>
        </is>
      </c>
      <c r="E19" s="9" t="inlineStr">
        <is>
          <t>Бакалия 2014 м.082026.xls</t>
        </is>
      </c>
      <c r="F19" s="8" t="inlineStr">
        <is>
          <t>INBOX, Zasichane_Oborot</t>
        </is>
      </c>
      <c r="G19" s="36" t="inlineStr">
        <is>
          <t>Обработен и отчетен</t>
        </is>
      </c>
    </row>
    <row r="20" ht="20" customHeight="1">
      <c r="A20" s="5" t="n">
        <v>16</v>
      </c>
      <c r="B20" s="5" t="inlineStr">
        <is>
          <t>2026-09-01 20:27:31+03:00</t>
        </is>
      </c>
      <c r="C20" s="6" t="inlineStr">
        <is>
          <t>&lt;sstaikova@yasko.eu&gt;</t>
        </is>
      </c>
      <c r="D20" s="6" t="inlineStr">
        <is>
          <t>Бакалия-окончателно равняване.xlsx</t>
        </is>
      </c>
      <c r="E20" s="6" t="inlineStr">
        <is>
          <t>image001.png, Бакалия-окончателно равняване.xlsx</t>
        </is>
      </c>
      <c r="F20" s="5" t="inlineStr">
        <is>
          <t>INBOX</t>
        </is>
      </c>
      <c r="G20" s="26" t="inlineStr">
        <is>
          <t>Обработен и отчетен</t>
        </is>
      </c>
    </row>
    <row r="21" ht="20" customHeight="1">
      <c r="A21" s="8" t="n">
        <v>17</v>
      </c>
      <c r="B21" s="8" t="inlineStr">
        <is>
          <t>2026-09-01 08:25:30+00:00</t>
        </is>
      </c>
      <c r="C21" s="9" t="inlineStr">
        <is>
          <t>Rousanova Neli &lt;neli.rousanova@pepsiint.bg&gt;</t>
        </is>
      </c>
      <c r="D21" s="9" t="inlineStr">
        <is>
          <t>Фактура</t>
        </is>
      </c>
      <c r="E21" s="9" t="inlineStr">
        <is>
          <t>—</t>
        </is>
      </c>
      <c r="F21" s="8" t="inlineStr">
        <is>
          <t>INBOX</t>
        </is>
      </c>
      <c r="G21" s="36" t="inlineStr">
        <is>
          <t>Обработен и отчетен</t>
        </is>
      </c>
    </row>
    <row r="22" ht="20" customHeight="1">
      <c r="A22" s="5" t="n">
        <v>18</v>
      </c>
      <c r="B22" s="5" t="inlineStr">
        <is>
          <t>2026-09-02 09:46:48+03:00</t>
        </is>
      </c>
      <c r="C22" s="6" t="inlineStr">
        <is>
          <t>margarita ivanova &lt;margarita7@abv.bg&gt;</t>
        </is>
      </c>
      <c r="D22" s="6" t="inlineStr">
        <is>
          <t>Re: Справка Август-"МЕС-КО"ЕООД</t>
        </is>
      </c>
      <c r="E22" s="6" t="inlineStr">
        <is>
          <t>01.08.2026-31.08.2026.xlsx</t>
        </is>
      </c>
      <c r="F22" s="5" t="inlineStr">
        <is>
          <t>INBOX, Zasichane_Oborot</t>
        </is>
      </c>
      <c r="G22" s="26" t="inlineStr">
        <is>
          <t>Обработен и отчетен</t>
        </is>
      </c>
    </row>
    <row r="23" ht="20" customHeight="1">
      <c r="A23" s="8" t="n">
        <v>19</v>
      </c>
      <c r="B23" s="8" t="inlineStr">
        <is>
          <t>2026-09-02 10:00:18+03:00</t>
        </is>
      </c>
      <c r="C23" s="9" t="inlineStr">
        <is>
          <t>Деница Карагенова &lt;sofiamilk.denitsak@gmail.com&gt;</t>
        </is>
      </c>
      <c r="D23" s="9" t="inlineStr">
        <is>
          <t>Fwd: Справка Бакалия 2014 08,2026г.</t>
        </is>
      </c>
      <c r="E23" s="9" t="inlineStr">
        <is>
          <t>Справка Бакалия 2014 08,2026г..xlsx</t>
        </is>
      </c>
      <c r="F23" s="8" t="inlineStr">
        <is>
          <t>INBOX, Zasichane_Oborot</t>
        </is>
      </c>
      <c r="G23" s="36" t="inlineStr">
        <is>
          <t>Обработен и отчетен</t>
        </is>
      </c>
    </row>
    <row r="24" ht="20" customHeight="1">
      <c r="A24" s="5" t="n">
        <v>20</v>
      </c>
      <c r="B24" s="5" t="inlineStr">
        <is>
          <t>2026-09-02 12:08:29+03:00</t>
        </is>
      </c>
      <c r="C24" s="6" t="inlineStr">
        <is>
          <t>Румен Цветков &lt;sofia_kk@philicon.bg&gt;</t>
        </is>
      </c>
      <c r="D24" s="6" t="inlineStr">
        <is>
          <t>Обороти м.Август 2026г "ФИЛИКОН-97" АД</t>
        </is>
      </c>
      <c r="E24" s="6" t="inlineStr">
        <is>
          <t>БАКАЛИЯ 08.2026.xlsx</t>
        </is>
      </c>
      <c r="F24" s="5" t="inlineStr">
        <is>
          <t>INBOX, Zasichane_Oborot</t>
        </is>
      </c>
      <c r="G24" s="26" t="inlineStr">
        <is>
          <t>Обработен и отчетен</t>
        </is>
      </c>
    </row>
    <row r="25" ht="20" customHeight="1">
      <c r="A25" s="8" t="n">
        <v>21</v>
      </c>
      <c r="B25" s="8" t="inlineStr">
        <is>
          <t>2026-09-02 12:15:06+03:00</t>
        </is>
      </c>
      <c r="C25" s="9" t="inlineStr">
        <is>
          <t>&lt;sstaikova@yasko.eu&gt;</t>
        </is>
      </c>
      <c r="D25" s="9" t="inlineStr">
        <is>
          <t>RE: Бакалия-окончателно равняване.xlsx</t>
        </is>
      </c>
      <c r="E25" s="9" t="inlineStr">
        <is>
          <t>image002.png</t>
        </is>
      </c>
      <c r="F25" s="8" t="inlineStr">
        <is>
          <t>INBOX</t>
        </is>
      </c>
      <c r="G25" s="36" t="inlineStr">
        <is>
          <t>Обработен и отчетен</t>
        </is>
      </c>
    </row>
    <row r="26" ht="20" customHeight="1">
      <c r="A26" s="5" t="n">
        <v>22</v>
      </c>
      <c r="B26" s="5" t="inlineStr">
        <is>
          <t>2026-09-02 12:58:10+03:00</t>
        </is>
      </c>
      <c r="C26" s="6" t="inlineStr">
        <is>
          <t>Деница Карагенова &lt;sofiamilk.denitsak@gmail.com&gt;</t>
        </is>
      </c>
      <c r="D26" s="6" t="inlineStr">
        <is>
          <t>Re: Падежи 24,08-28,08</t>
        </is>
      </c>
      <c r="E26" s="6" t="inlineStr">
        <is>
          <t>—</t>
        </is>
      </c>
      <c r="F26" s="5" t="inlineStr">
        <is>
          <t>INBOX</t>
        </is>
      </c>
      <c r="G26" s="26" t="inlineStr">
        <is>
          <t>Обработен и отчетен</t>
        </is>
      </c>
    </row>
    <row r="27" ht="20" customHeight="1">
      <c r="A27" s="8" t="n">
        <v>23</v>
      </c>
      <c r="B27" s="8" t="inlineStr">
        <is>
          <t>2026-09-02 14:38:15+03:00</t>
        </is>
      </c>
      <c r="C27" s="9" t="inlineStr">
        <is>
          <t>Деница Карагенова &lt;sofiamilk.denitsak@gmail.com&gt;</t>
        </is>
      </c>
      <c r="D27" s="9" t="inlineStr">
        <is>
          <t>Fwd: справки за м.08</t>
        </is>
      </c>
      <c r="E27" s="9" t="inlineStr">
        <is>
          <t>Каменица м.08.2026.xls, Фактури и кредитни за м.08.2026.xls, Карлсберг м.08.2026.xls, Загорка м.08.2026.xls, Пещера м. 08.2026.xls, Карнобат м.08.2026.xls</t>
        </is>
      </c>
      <c r="F27" s="8" t="inlineStr">
        <is>
          <t>INBOX</t>
        </is>
      </c>
      <c r="G27" s="36" t="inlineStr">
        <is>
          <t>Обработен и отчетен</t>
        </is>
      </c>
    </row>
    <row r="28" ht="20" customHeight="1">
      <c r="A28" s="5" t="n">
        <v>24</v>
      </c>
      <c r="B28" s="5" t="inlineStr">
        <is>
          <t>2026-09-02 15:05:20+03:00</t>
        </is>
      </c>
      <c r="C28" s="6" t="inlineStr">
        <is>
          <t>Вергиния Петрова &lt;verginia@bio-bulgaria.com&gt;</t>
        </is>
      </c>
      <c r="D28" s="6" t="inlineStr">
        <is>
          <t>Fwd: Справка</t>
        </is>
      </c>
      <c r="E28" s="6" t="inlineStr">
        <is>
          <t>—</t>
        </is>
      </c>
      <c r="F28" s="5" t="inlineStr">
        <is>
          <t>INBOX, Zasichane_Oborot</t>
        </is>
      </c>
      <c r="G28" s="26" t="inlineStr">
        <is>
          <t>Обработен и отчетен</t>
        </is>
      </c>
    </row>
    <row r="29" ht="20" customHeight="1">
      <c r="A29" s="8" t="n">
        <v>25</v>
      </c>
      <c r="B29" s="8" t="inlineStr">
        <is>
          <t>2026-09-02 12:06:27+00:00</t>
        </is>
      </c>
      <c r="C29" s="9" t="inlineStr">
        <is>
          <t>Orders1 &lt;orders1@sirius2005.com&gt;</t>
        </is>
      </c>
      <c r="D29" s="9" t="inlineStr">
        <is>
          <t>СПРАВКИ М.8</t>
        </is>
      </c>
      <c r="E29" s="9" t="inlineStr">
        <is>
          <t>ЕС МАРТ М.8 ПЧЕЛИН.xls, ЕС МАРТ М. 8 КФМ.xls, ЕС МАРТ  М.8 ТЕРТЕР.xls, ЕС МАРТ М.8 БОР ЧВОР.xls, ЕС МАРТ -М.8 БОЖЕНЦИ.xls</t>
        </is>
      </c>
      <c r="F29" s="8" t="inlineStr">
        <is>
          <t>INBOX, Zasichane_Oborot</t>
        </is>
      </c>
      <c r="G29" s="36" t="inlineStr">
        <is>
          <t>Обработен и отчетен</t>
        </is>
      </c>
    </row>
    <row r="30" ht="20" customHeight="1">
      <c r="A30" s="5" t="n">
        <v>26</v>
      </c>
      <c r="B30" s="5" t="inlineStr">
        <is>
          <t>2026-09-02 15:27:35+03:00</t>
        </is>
      </c>
      <c r="C30" s="6" t="inlineStr">
        <is>
          <t>Николета Талева&lt;n.taleva@effect.bg&gt;</t>
        </is>
      </c>
      <c r="D30" s="6" t="inlineStr">
        <is>
          <t>Re: Справка Август</t>
        </is>
      </c>
      <c r="E30" s="6" t="inlineStr">
        <is>
          <t>обороти по месеци 2026.xls</t>
        </is>
      </c>
      <c r="F30" s="5" t="inlineStr">
        <is>
          <t>INBOX, Zasichane_Oborot</t>
        </is>
      </c>
      <c r="G30" s="26" t="inlineStr">
        <is>
          <t>Обработен и отчетен</t>
        </is>
      </c>
    </row>
    <row r="31" ht="20" customHeight="1">
      <c r="A31" s="8" t="n">
        <v>27</v>
      </c>
      <c r="B31" s="8" t="inlineStr">
        <is>
          <t>2026-09-02 15:52:15+03:00</t>
        </is>
      </c>
      <c r="C31" s="9" t="inlineStr">
        <is>
          <t>Деница Карагенова &lt;sofiamilk.denitsak@gmail.com&gt;</t>
        </is>
      </c>
      <c r="D31" s="9" t="inlineStr">
        <is>
          <t>Fwd: Маркетинг2026.xls</t>
        </is>
      </c>
      <c r="E31" s="9" t="inlineStr">
        <is>
          <t>Маркетинг2026.xls</t>
        </is>
      </c>
      <c r="F31" s="8" t="inlineStr">
        <is>
          <t>INBOX</t>
        </is>
      </c>
      <c r="G31" s="36" t="inlineStr">
        <is>
          <t>Обработен и отчетен</t>
        </is>
      </c>
    </row>
    <row r="32" ht="20" customHeight="1">
      <c r="A32" s="5" t="n">
        <v>28</v>
      </c>
      <c r="B32" s="5" t="inlineStr">
        <is>
          <t>2026-09-01 13:58:03+03:00</t>
        </is>
      </c>
      <c r="C32" s="6" t="inlineStr">
        <is>
          <t>Antoaneta Fudulska &lt;emg.komersial@gmail.com&gt;</t>
        </is>
      </c>
      <c r="D32" s="6" t="inlineStr">
        <is>
          <t>Оборот и спровка 16-31/08/2026</t>
        </is>
      </c>
      <c r="E32" s="6" t="inlineStr">
        <is>
          <t>sof milk 16.08 31.08.2026.xls</t>
        </is>
      </c>
      <c r="F32" s="5" t="inlineStr">
        <is>
          <t>INBOX, Zasichane_Oborot</t>
        </is>
      </c>
      <c r="G32" s="26" t="inlineStr">
        <is>
          <t>Обработен и отчетен</t>
        </is>
      </c>
    </row>
    <row r="33" ht="20" customHeight="1">
      <c r="A33" s="8" t="n">
        <v>29</v>
      </c>
      <c r="B33" s="8" t="inlineStr">
        <is>
          <t>2026-09-02 11:30:44+03:00</t>
        </is>
      </c>
      <c r="C33" s="9" t="inlineStr">
        <is>
          <t>Розен Йораданов &lt;r.yordanov@murgash.com&gt;</t>
        </is>
      </c>
      <c r="D33" s="9" t="inlineStr">
        <is>
          <t>Справка обороти Август</t>
        </is>
      </c>
      <c r="E33" s="9" t="inlineStr">
        <is>
          <t>1132ef0e.jpeg, БАКАЛИЯ Месец Август 2026г..xls</t>
        </is>
      </c>
      <c r="F33" s="8" t="inlineStr">
        <is>
          <t>INBOX, Zasichane_Oborot</t>
        </is>
      </c>
      <c r="G33" s="36" t="inlineStr">
        <is>
          <t>Обработен и отчетен</t>
        </is>
      </c>
    </row>
    <row r="34" ht="20" customHeight="1">
      <c r="A34" s="5" t="n">
        <v>30</v>
      </c>
      <c r="B34" s="5" t="inlineStr">
        <is>
          <t>2026-09-01 08:30:55+00:00</t>
        </is>
      </c>
      <c r="C34" s="6" t="inlineStr">
        <is>
          <t>Марина Михайлова&lt;mihaylova@tandem.bg&gt;</t>
        </is>
      </c>
      <c r="D34" s="6" t="inlineStr">
        <is>
          <t>Тандем-В ООД RE: Справка Август</t>
        </is>
      </c>
      <c r="E34" s="6" t="inlineStr">
        <is>
          <t>Бакалия 2014 издадени документи от Тандем-В за 08.2026г..xlsx</t>
        </is>
      </c>
      <c r="F34" s="5" t="inlineStr">
        <is>
          <t>INBOX, Zasichane_Oborot</t>
        </is>
      </c>
      <c r="G34" s="26" t="inlineStr">
        <is>
          <t>Обработен и отчетен</t>
        </is>
      </c>
    </row>
    <row r="35" ht="20" customHeight="1">
      <c r="A35" s="8" t="n">
        <v>31</v>
      </c>
      <c r="B35" s="8" t="inlineStr">
        <is>
          <t>2026-09-02 07:08:47+00:00</t>
        </is>
      </c>
      <c r="C35" s="9" t="inlineStr">
        <is>
          <t>Salesfood Sofia &lt;salesfood@axxon-bg.com&gt;</t>
        </is>
      </c>
      <c r="D35" s="9" t="inlineStr">
        <is>
          <t>Бакалия оборот 2025_2026_.xlsx</t>
        </is>
      </c>
      <c r="E35" s="9" t="inlineStr">
        <is>
          <t>Бакалия оборот 2025_2026_.xlsx</t>
        </is>
      </c>
      <c r="F35" s="8" t="inlineStr">
        <is>
          <t>INBOX, Zasichane_Oborot</t>
        </is>
      </c>
      <c r="G35" s="36" t="inlineStr">
        <is>
          <t>Обработен и отчетен</t>
        </is>
      </c>
    </row>
    <row r="36" ht="20" customHeight="1">
      <c r="A36" s="5" t="n">
        <v>32</v>
      </c>
      <c r="B36" s="5" t="inlineStr">
        <is>
          <t>2026-09-02 10:32:10+03:00</t>
        </is>
      </c>
      <c r="C36" s="6" t="inlineStr">
        <is>
          <t>&lt;kpetrova@aspasia.bg&gt;</t>
        </is>
      </c>
      <c r="D36" s="6" t="inlineStr">
        <is>
          <t>Справка  оборот м.Август /26г</t>
        </is>
      </c>
      <c r="E36" s="6" t="inlineStr">
        <is>
          <t>—</t>
        </is>
      </c>
      <c r="F36" s="5" t="inlineStr">
        <is>
          <t>INBOX, Zasichane_Oborot</t>
        </is>
      </c>
      <c r="G36" s="26" t="inlineStr">
        <is>
          <t>Обработен и отчетен</t>
        </is>
      </c>
    </row>
    <row r="37" ht="20" customHeight="1">
      <c r="A37" s="8" t="n">
        <v>33</v>
      </c>
      <c r="B37" s="8" t="inlineStr">
        <is>
          <t>2026-09-02 12:26:29+03:00</t>
        </is>
      </c>
      <c r="C37" s="9" t="inlineStr">
        <is>
          <t>Румен Цветков &lt;sofia_kk@philicon.bg&gt;</t>
        </is>
      </c>
      <c r="D37" s="9" t="inlineStr">
        <is>
          <t>Обороти м.Август 2026г "ФИЛИКОН-97" АД - корекция</t>
        </is>
      </c>
      <c r="E37" s="9" t="inlineStr">
        <is>
          <t>БАКАЛИЯ 08.2026.xlsx</t>
        </is>
      </c>
      <c r="F37" s="8" t="inlineStr">
        <is>
          <t>INBOX, Zasichane_Oborot</t>
        </is>
      </c>
      <c r="G37" s="36" t="inlineStr">
        <is>
          <t>Обработен и отчетен</t>
        </is>
      </c>
    </row>
    <row r="38" ht="20" customHeight="1">
      <c r="A38" s="5" t="n">
        <v>34</v>
      </c>
      <c r="B38" s="5" t="inlineStr">
        <is>
          <t>2026-09-03 05:48:37+00:00</t>
        </is>
      </c>
      <c r="C38" s="6" t="inlineStr">
        <is>
          <t>Tsvetelin Tselev &lt;tsvetelin.tselev@bg.froneri.com&gt;</t>
        </is>
      </c>
      <c r="D38" s="6" t="inlineStr">
        <is>
          <t>RE: Справка Август</t>
        </is>
      </c>
      <c r="E38" s="6" t="inlineStr">
        <is>
          <t>OLAP Bakalia_20260902.xlsx</t>
        </is>
      </c>
      <c r="F38" s="5" t="inlineStr">
        <is>
          <t>INBOX, Zasichane_Oborot</t>
        </is>
      </c>
      <c r="G38" s="26" t="inlineStr">
        <is>
          <t>Обработен и отчетен</t>
        </is>
      </c>
    </row>
    <row r="39" ht="20" customHeight="1">
      <c r="A39" s="8" t="n">
        <v>35</v>
      </c>
      <c r="B39" s="8" t="inlineStr">
        <is>
          <t>2026-09-03 09:13:37+03:00</t>
        </is>
      </c>
      <c r="C39" s="9" t="inlineStr">
        <is>
          <t>"Anatoli Lubenov" &lt;alubenov@yasko.eu&gt;</t>
        </is>
      </c>
      <c r="D39" s="9" t="inlineStr">
        <is>
          <t>Предложение за вътрешна активност на продуктите с период на доставна цена от 14.09 до 30.09.2026г.  за м. септември</t>
        </is>
      </c>
      <c r="E39" s="9" t="inlineStr">
        <is>
          <t>Вътрешна акция  София Милк -2026г.xlsx</t>
        </is>
      </c>
      <c r="F39" s="8" t="inlineStr">
        <is>
          <t>INBOX</t>
        </is>
      </c>
      <c r="G39" s="36" t="inlineStr">
        <is>
          <t>Обработен и отчетен</t>
        </is>
      </c>
    </row>
    <row r="40" ht="20" customHeight="1">
      <c r="A40" s="5" t="n">
        <v>36</v>
      </c>
      <c r="B40" s="5" t="inlineStr">
        <is>
          <t>2026-09-03 09:27:09+03:00</t>
        </is>
      </c>
      <c r="C40" s="6" t="inlineStr">
        <is>
          <t>"Anatoli Lubenov" &lt;alubenov@yasko.eu&gt;</t>
        </is>
      </c>
      <c r="D40" s="6" t="inlineStr">
        <is>
          <t xml:space="preserve">МОСТРИ </t>
        </is>
      </c>
      <c r="E40" s="6" t="inlineStr">
        <is>
          <t>—</t>
        </is>
      </c>
      <c r="F40" s="5" t="inlineStr">
        <is>
          <t>INBOX</t>
        </is>
      </c>
      <c r="G40" s="26" t="inlineStr">
        <is>
          <t>Обработен и отчетен</t>
        </is>
      </c>
    </row>
    <row r="41" ht="20" customHeight="1">
      <c r="A41" s="8" t="n">
        <v>37</v>
      </c>
      <c r="B41" s="8" t="inlineStr">
        <is>
          <t>2026-09-03 11:12:14+03:00</t>
        </is>
      </c>
      <c r="C41" s="9" t="inlineStr">
        <is>
          <t>Darina Marinova &lt;darina.h.marinova@gmail.com&gt;</t>
        </is>
      </c>
      <c r="D41" s="9" t="inlineStr">
        <is>
          <t>Fwd: Фактура м07/26</t>
        </is>
      </c>
      <c r="E41" s="9" t="inlineStr">
        <is>
          <t>—</t>
        </is>
      </c>
      <c r="F41" s="8" t="inlineStr">
        <is>
          <t>INBOX</t>
        </is>
      </c>
      <c r="G41" s="36" t="inlineStr">
        <is>
          <t>Обработен и отчетен</t>
        </is>
      </c>
    </row>
    <row r="42" ht="20" customHeight="1">
      <c r="A42" s="5" t="n">
        <v>38</v>
      </c>
      <c r="B42" s="5" t="inlineStr">
        <is>
          <t>2026-09-03 11:17:14+03:00</t>
        </is>
      </c>
      <c r="C42" s="6" t="inlineStr">
        <is>
          <t>&lt;rmihaylov@amperel.net&gt;</t>
        </is>
      </c>
      <c r="D42" s="6" t="inlineStr">
        <is>
          <t>RE: Справка Август</t>
        </is>
      </c>
      <c r="E42" s="6" t="inlineStr">
        <is>
          <t>—</t>
        </is>
      </c>
      <c r="F42" s="5" t="inlineStr">
        <is>
          <t>INBOX, Zasichane_Oborot</t>
        </is>
      </c>
      <c r="G42" s="26" t="inlineStr">
        <is>
          <t>Обработен и отчетен</t>
        </is>
      </c>
    </row>
    <row r="43" ht="20" customHeight="1">
      <c r="A43" s="8" t="n">
        <v>39</v>
      </c>
      <c r="B43" s="8" t="inlineStr">
        <is>
          <t>2026-09-03 12:12:45+03:00</t>
        </is>
      </c>
      <c r="C43" s="9" t="inlineStr">
        <is>
          <t>Finance ExDi &lt;finance@exdi.bg&gt;</t>
        </is>
      </c>
      <c r="D43" s="9" t="inlineStr">
        <is>
          <t>Re: Справка Август</t>
        </is>
      </c>
      <c r="E43" s="9" t="inlineStr">
        <is>
          <t>бакалия 08м26.xls</t>
        </is>
      </c>
      <c r="F43" s="8" t="inlineStr">
        <is>
          <t>INBOX, Zasichane_Oborot</t>
        </is>
      </c>
      <c r="G43" s="36" t="inlineStr">
        <is>
          <t>Обработен и отчетен</t>
        </is>
      </c>
    </row>
    <row r="44" ht="20" customHeight="1">
      <c r="A44" s="5" t="n">
        <v>40</v>
      </c>
      <c r="B44" s="5" t="inlineStr">
        <is>
          <t>2026-09-03 10:35:44+00:00</t>
        </is>
      </c>
      <c r="C44" s="6" t="inlineStr">
        <is>
          <t>myPOS &lt;noreply@mypos.com&gt;</t>
        </is>
      </c>
      <c r="D44" s="6" t="inlineStr">
        <is>
          <t>Получи до 75000.00 EUR  за бизнеса си</t>
        </is>
      </c>
      <c r="E44" s="6" t="inlineStr">
        <is>
          <t>—</t>
        </is>
      </c>
      <c r="F44" s="5" t="inlineStr">
        <is>
          <t>INBOX</t>
        </is>
      </c>
      <c r="G44" s="26" t="inlineStr">
        <is>
          <t>Обработен и отчетен</t>
        </is>
      </c>
    </row>
    <row r="45" ht="20" customHeight="1">
      <c r="A45" s="8" t="n">
        <v>41</v>
      </c>
      <c r="B45" s="8" t="inlineStr">
        <is>
          <t>2026-09-03 15:14:19+03:00</t>
        </is>
      </c>
      <c r="C45" s="9" t="inlineStr">
        <is>
          <t>Maria Radkova &lt;radkovamaria8@gmail.com&gt;</t>
        </is>
      </c>
      <c r="D45" s="9" t="inlineStr">
        <is>
          <t>Re: Справка Август</t>
        </is>
      </c>
      <c r="E45" s="9" t="inlineStr">
        <is>
          <t>IMG_6832.jpeg</t>
        </is>
      </c>
      <c r="F45" s="8" t="inlineStr">
        <is>
          <t>INBOX</t>
        </is>
      </c>
      <c r="G45" s="36" t="inlineStr">
        <is>
          <t>Обработен и отчетен</t>
        </is>
      </c>
    </row>
    <row r="46" ht="20" customHeight="1">
      <c r="A46" s="5" t="n">
        <v>42</v>
      </c>
      <c r="B46" s="5" t="inlineStr">
        <is>
          <t>2026-09-03 16:51:18+03:00</t>
        </is>
      </c>
      <c r="C46" s="6" t="inlineStr">
        <is>
          <t>&lt;gergana.grigorova@compass-bg.com&gt;</t>
        </is>
      </c>
      <c r="D46" s="6" t="inlineStr">
        <is>
          <t>RE: Справка Август</t>
        </is>
      </c>
      <c r="E46" s="6" t="inlineStr">
        <is>
          <t>Оборот месец август 2026.xlsx</t>
        </is>
      </c>
      <c r="F46" s="5" t="inlineStr">
        <is>
          <t>INBOX, Zasichane_Oborot</t>
        </is>
      </c>
      <c r="G46" s="26" t="inlineStr">
        <is>
          <t>Обработен и отчетен</t>
        </is>
      </c>
    </row>
    <row r="47" ht="20" customHeight="1">
      <c r="A47" s="8" t="n">
        <v>43</v>
      </c>
      <c r="B47" s="8" t="inlineStr">
        <is>
          <t>2026-09-03 17:02:24+03:00</t>
        </is>
      </c>
      <c r="C47" s="9" t="inlineStr">
        <is>
          <t>Liliya Vardova &lt;liliya.vardova@selesta-trading.bg&gt;</t>
        </is>
      </c>
      <c r="D47" s="9" t="inlineStr">
        <is>
          <t>ОПИС ФАКТУРИ БАКАЛИЯ 2014 00Д - АВГУСТ</t>
        </is>
      </c>
      <c r="E47" s="9" t="inlineStr">
        <is>
          <t>СПРАВКА БАКАЛИЯ 2014 ООД__АВГУСТ.xls</t>
        </is>
      </c>
      <c r="F47" s="8" t="inlineStr">
        <is>
          <t>INBOX, Zasichane_Oborot</t>
        </is>
      </c>
      <c r="G47" s="36" t="inlineStr">
        <is>
          <t>Обработен и отчетен</t>
        </is>
      </c>
    </row>
    <row r="48" ht="20" customHeight="1">
      <c r="A48" s="5" t="n">
        <v>44</v>
      </c>
      <c r="B48" s="5" t="inlineStr">
        <is>
          <t>2026-09-02 20:10:24+03:00</t>
        </is>
      </c>
      <c r="C48" s="6" t="inlineStr">
        <is>
          <t>"Георги Г. Гайдов" &lt;gg@gaidov.bg&gt;</t>
        </is>
      </c>
      <c r="D48" s="6" t="inlineStr">
        <is>
          <t>КИ -Компенсации Пиринско кен 01.06 - 31.07</t>
        </is>
      </c>
      <c r="E48" s="6" t="inlineStr">
        <is>
          <t>4033CFCD24454A6CB701540B099905DD.png, КИПрод_002-99058_2_09_2026_Бакалия_2014_ООД_ОТ_МЯСТО.pdf</t>
        </is>
      </c>
      <c r="F48" s="5" t="inlineStr">
        <is>
          <t>INBOX</t>
        </is>
      </c>
      <c r="G48" s="26" t="inlineStr">
        <is>
          <t>Обработен и отчетен</t>
        </is>
      </c>
    </row>
    <row r="49" ht="20" customHeight="1">
      <c r="A49" s="8" t="n">
        <v>45</v>
      </c>
      <c r="B49" s="8" t="inlineStr">
        <is>
          <t>2026-09-04 09:31:52+03:00</t>
        </is>
      </c>
      <c r="C49" s="9" t="inlineStr">
        <is>
          <t>"Arvanitidis, Sonya" &lt;s.arvanitidis@powermark.bg&gt;</t>
        </is>
      </c>
      <c r="D49" s="9" t="inlineStr">
        <is>
          <t>справка 0409</t>
        </is>
      </c>
      <c r="E49" s="9" t="inlineStr">
        <is>
          <t>Книга1.xlsx, Кредитно известие 1100769687.pdf, Кредитно известие 1100769643.pdf, Фактура 1200079488.pdf, Фактура 1100769187 (2).pdf</t>
        </is>
      </c>
      <c r="F49" s="8" t="inlineStr">
        <is>
          <t>INBOX</t>
        </is>
      </c>
      <c r="G49" s="36" t="inlineStr">
        <is>
          <t>Обработен и отчетен</t>
        </is>
      </c>
    </row>
    <row r="50" ht="20" customHeight="1">
      <c r="A50" s="5" t="n">
        <v>46</v>
      </c>
      <c r="B50" s="5" t="inlineStr">
        <is>
          <t>2026-09-04 11:42:11+03:00</t>
        </is>
      </c>
      <c r="C50" s="6" t="inlineStr">
        <is>
          <t>"Anatoli Lubenov" &lt;alubenov@yasko.eu&gt;</t>
        </is>
      </c>
      <c r="D50" s="6" t="inlineStr">
        <is>
          <t>Милка 100.xlsx</t>
        </is>
      </c>
      <c r="E50" s="6" t="inlineStr">
        <is>
          <t>Милка 100.xlsx</t>
        </is>
      </c>
      <c r="F50" s="5" t="inlineStr">
        <is>
          <t>INBOX</t>
        </is>
      </c>
      <c r="G50" s="26" t="inlineStr">
        <is>
          <t>Обработен и отчетен</t>
        </is>
      </c>
    </row>
    <row r="51" ht="20" customHeight="1">
      <c r="A51" s="8" t="n">
        <v>47</v>
      </c>
      <c r="B51" s="8" t="inlineStr">
        <is>
          <t>2026-09-04 11:56:05+03:00</t>
        </is>
      </c>
      <c r="C51" s="9" t="inlineStr">
        <is>
          <t>ELVI MARKETING &lt;marketing@elvimilk.com&gt;</t>
        </is>
      </c>
      <c r="D51" s="9" t="inlineStr">
        <is>
          <t>Re: Справка Август</t>
        </is>
      </c>
      <c r="E51" s="9" t="inlineStr">
        <is>
          <t>Оборот Август 2026.xlsx</t>
        </is>
      </c>
      <c r="F51" s="8" t="inlineStr">
        <is>
          <t>INBOX, Zasichane_Oborot</t>
        </is>
      </c>
      <c r="G51" s="36" t="inlineStr">
        <is>
          <t>Обработен и отчетен</t>
        </is>
      </c>
    </row>
    <row r="52" ht="20" customHeight="1">
      <c r="A52" s="5" t="n">
        <v>48</v>
      </c>
      <c r="B52" s="5" t="inlineStr">
        <is>
          <t>2026-09-04 12:38:42+03:00</t>
        </is>
      </c>
      <c r="C52" s="6" t="inlineStr">
        <is>
          <t>Tihomir Ivanov &lt;sofiamilk@gmail.com&gt;</t>
        </is>
      </c>
      <c r="D52" s="6" t="inlineStr">
        <is>
          <t>Fwd: apartamen ovcha kupel</t>
        </is>
      </c>
      <c r="E52" s="6" t="inlineStr">
        <is>
          <t>—</t>
        </is>
      </c>
      <c r="F52" s="5" t="inlineStr">
        <is>
          <t>INBOX</t>
        </is>
      </c>
      <c r="G52" s="26" t="inlineStr">
        <is>
          <t>Обработен и отчетен</t>
        </is>
      </c>
    </row>
    <row r="53" ht="20" customHeight="1">
      <c r="A53" s="8" t="n">
        <v>49</v>
      </c>
      <c r="B53" s="8" t="inlineStr">
        <is>
          <t>2026-09-04 13:03:35+03:00</t>
        </is>
      </c>
      <c r="C53" s="9" t="inlineStr">
        <is>
          <t>Tihomir Ivanov &lt;sofiamilk@gmail.com&gt;</t>
        </is>
      </c>
      <c r="D53" s="9" t="inlineStr">
        <is>
          <t>Re: apartamen ovcha kupel</t>
        </is>
      </c>
      <c r="E53" s="9" t="inlineStr">
        <is>
          <t>протокол овча купел.pdf</t>
        </is>
      </c>
      <c r="F53" s="8" t="inlineStr">
        <is>
          <t>INBOX</t>
        </is>
      </c>
      <c r="G53" s="36" t="inlineStr">
        <is>
          <t>Обработен и отчетен</t>
        </is>
      </c>
    </row>
    <row r="54" ht="20" customHeight="1">
      <c r="A54" s="5" t="n">
        <v>50</v>
      </c>
      <c r="B54" s="5" t="inlineStr">
        <is>
          <t>2026-09-04 13:09:57+03:00</t>
        </is>
      </c>
      <c r="C54" s="6" t="inlineStr">
        <is>
          <t>office@eliaz-bg.com</t>
        </is>
      </c>
      <c r="D54" s="6" t="inlineStr">
        <is>
          <t>БО м.08.2026г</t>
        </is>
      </c>
      <c r="E54" s="6" t="inlineStr">
        <is>
          <t>Scanned-image_10-08-2009-032622.pdf</t>
        </is>
      </c>
      <c r="F54" s="5" t="inlineStr">
        <is>
          <t>INBOX, Zasichane_Oborot</t>
        </is>
      </c>
      <c r="G54" s="26" t="inlineStr">
        <is>
          <t>Обработен и отчетен</t>
        </is>
      </c>
    </row>
    <row r="55" ht="20" customHeight="1">
      <c r="A55" s="8" t="n">
        <v>51</v>
      </c>
      <c r="B55" s="8" t="inlineStr">
        <is>
          <t>2026-09-04 13:35:42+03:00</t>
        </is>
      </c>
      <c r="C55" s="9" t="inlineStr">
        <is>
          <t>"Anatoli Lubenov" &lt;alubenov@yasko.eu&gt;</t>
        </is>
      </c>
      <c r="D55" s="9" t="inlineStr">
        <is>
          <t>RE: Милка 100.xlsx</t>
        </is>
      </c>
      <c r="E55" s="9" t="inlineStr">
        <is>
          <t>Copy of Милка 100.xlsx</t>
        </is>
      </c>
      <c r="F55" s="8" t="inlineStr">
        <is>
          <t>INBOX</t>
        </is>
      </c>
      <c r="G55" s="36" t="inlineStr">
        <is>
          <t>Обработен и отчетен</t>
        </is>
      </c>
    </row>
    <row r="56" ht="20" customHeight="1">
      <c r="A56" s="5" t="n">
        <v>52</v>
      </c>
      <c r="B56" s="5" t="inlineStr">
        <is>
          <t>2026-09-04 17:06:00+03:00</t>
        </is>
      </c>
      <c r="C56" s="6" t="inlineStr">
        <is>
          <t>Tihomir Ivanov &lt;sofiamilk@gmail.com&gt;</t>
        </is>
      </c>
      <c r="D56" s="6" t="inlineStr">
        <is>
          <t>Fwd: Приемай плащания с карти Diners Club® и Discover® Network с myPOS</t>
        </is>
      </c>
      <c r="E56" s="6" t="inlineStr">
        <is>
          <t>—</t>
        </is>
      </c>
      <c r="F56" s="5" t="inlineStr">
        <is>
          <t>INBOX</t>
        </is>
      </c>
      <c r="G56" s="26" t="inlineStr">
        <is>
          <t>Обработен и отчетен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2026-09-05T10:36:08Z</dcterms:created>
  <dcterms:modified xmlns:dcterms="http://purl.org/dc/terms/" xmlns:xsi="http://www.w3.org/2001/XMLSchema-instance" xsi:type="dcterms:W3CDTF">2026-09-05T10:36:09Z</dcterms:modified>
</cp:coreProperties>
</file>