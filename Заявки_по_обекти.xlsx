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общение" sheetId="1" state="visible" r:id="rId1"/>
    <sheet xmlns:r="http://schemas.openxmlformats.org/officeDocument/2006/relationships" name="Захарни заводи" sheetId="2" state="visible" r:id="rId2"/>
    <sheet xmlns:r="http://schemas.openxmlformats.org/officeDocument/2006/relationships" name="Победа" sheetId="3" state="visible" r:id="rId3"/>
    <sheet xmlns:r="http://schemas.openxmlformats.org/officeDocument/2006/relationships" name="Итал фуудс" sheetId="4" state="visible" r:id="rId4"/>
    <sheet xmlns:r="http://schemas.openxmlformats.org/officeDocument/2006/relationships" name="Престиж" sheetId="5" state="visible" r:id="rId5"/>
    <sheet xmlns:r="http://schemas.openxmlformats.org/officeDocument/2006/relationships" name="Всички заяв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0 &quot;€&quot;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5"/>
    </font>
    <font>
      <name val="Segoe UI"/>
      <i val="1"/>
      <color rgb="00595959"/>
      <sz val="10"/>
    </font>
    <font>
      <name val="Segoe UI"/>
      <b val="1"/>
      <color rgb="001F4E79"/>
      <sz val="12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color rgb="00B0B0B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AEEF3"/>
        <bgColor rgb="00EAEEF3"/>
      </patternFill>
    </fill>
    <fill>
      <patternFill patternType="solid">
        <fgColor rgb="00D9E1F2"/>
        <bgColor rgb="00D9E1F2"/>
      </patternFill>
    </fill>
    <fill>
      <patternFill patternType="solid">
        <fgColor rgb="00F9FAFC"/>
        <bgColor rgb="00F9FAFC"/>
      </patternFill>
    </fill>
    <fill>
      <patternFill patternType="solid">
        <fgColor rgb="002C3E50"/>
        <bgColor rgb="002C3E50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F4E7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6" fillId="0" borderId="2" pivotButton="0" quotePrefix="0" xfId="0"/>
    <xf numFmtId="164" fontId="5" fillId="0" borderId="2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5" fillId="3" borderId="3" pivotButton="0" quotePrefix="0" xfId="0"/>
    <xf numFmtId="164" fontId="5" fillId="3" borderId="3" applyAlignment="1" pivotButton="0" quotePrefix="0" xfId="0">
      <alignment horizontal="right" vertical="center"/>
    </xf>
    <xf numFmtId="3" fontId="5" fillId="3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center" vertical="center"/>
    </xf>
    <xf numFmtId="3" fontId="6" fillId="0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5" fillId="5" borderId="2" pivotButton="0" quotePrefix="0" xfId="0"/>
    <xf numFmtId="164" fontId="6" fillId="5" borderId="2" applyAlignment="1" pivotButton="0" quotePrefix="0" xfId="0">
      <alignment horizontal="right" vertical="center"/>
    </xf>
    <xf numFmtId="3" fontId="6" fillId="5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165" fontId="6" fillId="5" borderId="2" applyAlignment="1" pivotButton="0" quotePrefix="0" xfId="0">
      <alignment horizontal="right" vertical="center"/>
    </xf>
    <xf numFmtId="3" fontId="7" fillId="5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38" customWidth="1" min="2" max="2"/>
    <col width="26" customWidth="1" min="3" max="3"/>
    <col width="21" customWidth="1" min="4" max="4"/>
    <col width="24" customWidth="1" min="5" max="5"/>
    <col width="24" customWidth="1" min="6" max="6"/>
    <col width="28" customWidth="1" min="7" max="7"/>
    <col width="25" customWidth="1" min="8" max="8"/>
    <col width="21" customWidth="1" min="9" max="9"/>
    <col width="21" customWidth="1" min="10" max="10"/>
  </cols>
  <sheetData>
    <row r="1">
      <c r="A1" s="1" t="inlineStr">
        <is>
          <t>ВЕРИГА ЗА ХРАНИТЕЛНИ СТОКИ „БАКАЛИЯ“</t>
        </is>
      </c>
    </row>
    <row r="2">
      <c r="A2" s="2" t="inlineStr">
        <is>
          <t>СВОДНА СПРАВКА: Оптимизирани заявки по търговски обекти на база наличности и продажби</t>
        </is>
      </c>
    </row>
    <row r="3">
      <c r="A3" s="2" t="inlineStr">
        <is>
          <t>Анализиран базов период: 1 месец продажби | Валутен режим: 100% суми в ЕВРО (€) без превалутиране</t>
        </is>
      </c>
    </row>
    <row r="4"/>
    <row r="5">
      <c r="A5" s="3" t="inlineStr">
        <is>
          <t>1. Обобщение по доставчици и постигнати целеви параметри</t>
        </is>
      </c>
    </row>
    <row r="6" ht="28" customHeight="1">
      <c r="A6" s="4" t="inlineStr">
        <is>
          <t>Доставчик</t>
        </is>
      </c>
      <c r="B6" s="4" t="inlineStr">
        <is>
          <t>Целеви параметър</t>
        </is>
      </c>
      <c r="C6" s="4" t="inlineStr">
        <is>
          <t>Изчислена стойност (€)</t>
        </is>
      </c>
      <c r="D6" s="4" t="inlineStr">
        <is>
          <t>Общо бройки (бр.)</t>
        </is>
      </c>
      <c r="E6" s="4" t="inlineStr">
        <is>
          <t>Месечни продажби (€)</t>
        </is>
      </c>
      <c r="F6" s="4" t="inlineStr">
        <is>
          <t>Текуща наличност (€)</t>
        </is>
      </c>
      <c r="G6" s="4" t="inlineStr">
        <is>
          <t>Целево покритие (месеци)</t>
        </is>
      </c>
      <c r="H6" s="4" t="inlineStr">
        <is>
          <t>Целево покритие (дни)</t>
        </is>
      </c>
    </row>
    <row r="7">
      <c r="A7" s="5" t="inlineStr">
        <is>
          <t>Захарни заводи</t>
        </is>
      </c>
      <c r="B7" s="6" t="inlineStr">
        <is>
          <t>Цел ~1200 € (~58 дни покритие)</t>
        </is>
      </c>
      <c r="C7" s="7" t="n">
        <v>1200</v>
      </c>
      <c r="D7" s="8" t="n">
        <v>1938</v>
      </c>
      <c r="E7" s="9" t="n">
        <v>866.96</v>
      </c>
      <c r="F7" s="9" t="n">
        <v>583.9400000000001</v>
      </c>
      <c r="G7" s="10" t="inlineStr">
        <is>
          <t>1.92 мес.</t>
        </is>
      </c>
      <c r="H7" s="10" t="inlineStr">
        <is>
          <t>~58 дни</t>
        </is>
      </c>
    </row>
    <row r="8">
      <c r="A8" s="5" t="inlineStr">
        <is>
          <t>Победа</t>
        </is>
      </c>
      <c r="B8" s="6" t="inlineStr">
        <is>
          <t>Цел ~1200 € (~27 дни покритие)</t>
        </is>
      </c>
      <c r="C8" s="7" t="n">
        <v>1202.56</v>
      </c>
      <c r="D8" s="8" t="n">
        <v>1232</v>
      </c>
      <c r="E8" s="9" t="n">
        <v>2368.62</v>
      </c>
      <c r="F8" s="9" t="n">
        <v>1351.41</v>
      </c>
      <c r="G8" s="10" t="inlineStr">
        <is>
          <t>0.89 мес.</t>
        </is>
      </c>
      <c r="H8" s="10" t="inlineStr">
        <is>
          <t>~27 дни</t>
        </is>
      </c>
    </row>
    <row r="9">
      <c r="A9" s="5" t="inlineStr">
        <is>
          <t>Итал фуудс</t>
        </is>
      </c>
      <c r="B9" s="6" t="inlineStr">
        <is>
          <t>Цел ~2000 € (~58 дни покритие)</t>
        </is>
      </c>
      <c r="C9" s="7" t="n">
        <v>1997.53</v>
      </c>
      <c r="D9" s="8" t="n">
        <v>2554</v>
      </c>
      <c r="E9" s="9" t="n">
        <v>1615.49</v>
      </c>
      <c r="F9" s="9" t="n">
        <v>1439.36</v>
      </c>
      <c r="G9" s="10" t="inlineStr">
        <is>
          <t>1.92 мес.</t>
        </is>
      </c>
      <c r="H9" s="10" t="inlineStr">
        <is>
          <t>~57 дни</t>
        </is>
      </c>
    </row>
    <row r="10">
      <c r="A10" s="5" t="inlineStr">
        <is>
          <t>Престиж</t>
        </is>
      </c>
      <c r="B10" s="6" t="inlineStr">
        <is>
          <t>Цел 1.5 месеца покритие (45 дни)</t>
        </is>
      </c>
      <c r="C10" s="11" t="inlineStr">
        <is>
          <t>-</t>
        </is>
      </c>
      <c r="D10" s="8" t="n">
        <v>3278</v>
      </c>
      <c r="E10" s="12" t="inlineStr">
        <is>
          <t>4,793.0 бр.</t>
        </is>
      </c>
      <c r="F10" s="12" t="inlineStr">
        <is>
          <t>7,353.0 бр.</t>
        </is>
      </c>
      <c r="G10" s="10" t="inlineStr">
        <is>
          <t>1.50 мес.</t>
        </is>
      </c>
      <c r="H10" s="10" t="inlineStr">
        <is>
          <t>~45 дни</t>
        </is>
      </c>
    </row>
    <row r="11">
      <c r="A11" s="13" t="inlineStr">
        <is>
          <t>ОБЩО / TOTAL</t>
        </is>
      </c>
      <c r="B11" s="13" t="inlineStr">
        <is>
          <t>4 доставчика</t>
        </is>
      </c>
      <c r="C11" s="14">
        <f>SUM(C7:C9)</f>
        <v/>
      </c>
      <c r="D11" s="15">
        <f>SUM(D7:D10)</f>
        <v/>
      </c>
      <c r="E11" s="16" t="inlineStr">
        <is>
          <t>-</t>
        </is>
      </c>
      <c r="F11" s="16" t="inlineStr">
        <is>
          <t>-</t>
        </is>
      </c>
      <c r="G11" s="16" t="inlineStr">
        <is>
          <t>-</t>
        </is>
      </c>
      <c r="H11" s="16" t="inlineStr">
        <is>
          <t>-</t>
        </is>
      </c>
    </row>
    <row r="12"/>
    <row r="13"/>
    <row r="14">
      <c r="A14" s="3" t="inlineStr">
        <is>
          <t>2. Разпределение на заявените количества и стойности по търговски обекти</t>
        </is>
      </c>
    </row>
    <row r="15" ht="28" customHeight="1">
      <c r="A15" s="4" t="inlineStr">
        <is>
          <t>Търговски обект (Магазин)</t>
        </is>
      </c>
      <c r="B15" s="4" t="inlineStr">
        <is>
          <t>Захарни зав. (€)</t>
        </is>
      </c>
      <c r="C15" s="4" t="inlineStr">
        <is>
          <t>Захарни зав. (бр.)</t>
        </is>
      </c>
      <c r="D15" s="4" t="inlineStr">
        <is>
          <t>Победа (€)</t>
        </is>
      </c>
      <c r="E15" s="4" t="inlineStr">
        <is>
          <t>Победа (бр.)</t>
        </is>
      </c>
      <c r="F15" s="4" t="inlineStr">
        <is>
          <t>Итал фуудс (€)</t>
        </is>
      </c>
      <c r="G15" s="4" t="inlineStr">
        <is>
          <t>Итал фуудс (бр.)</t>
        </is>
      </c>
      <c r="H15" s="4" t="inlineStr">
        <is>
          <t>Престиж (бр.)</t>
        </is>
      </c>
      <c r="I15" s="4" t="inlineStr">
        <is>
          <t>ОБЩО СТОЙНОСТ (€)</t>
        </is>
      </c>
      <c r="J15" s="4" t="inlineStr">
        <is>
          <t>ОБЩО БРОЙКИ (бр.)</t>
        </is>
      </c>
    </row>
    <row r="16">
      <c r="A16" s="5" t="inlineStr">
        <is>
          <t>АРСЕНАЛСКИ</t>
        </is>
      </c>
      <c r="B16" s="9" t="n">
        <v>151.53</v>
      </c>
      <c r="C16" s="17" t="n">
        <v>271</v>
      </c>
      <c r="D16" s="9" t="n">
        <v>45.74</v>
      </c>
      <c r="E16" s="17" t="n">
        <v>29</v>
      </c>
      <c r="F16" s="9" t="n">
        <v>203</v>
      </c>
      <c r="G16" s="17" t="n">
        <v>258</v>
      </c>
      <c r="H16" s="17" t="n">
        <v>153</v>
      </c>
      <c r="I16" s="18">
        <f>B16+D16+F16</f>
        <v/>
      </c>
      <c r="J16" s="19">
        <f>C16+E16+G16+H16</f>
        <v/>
      </c>
    </row>
    <row r="17">
      <c r="A17" s="20" t="inlineStr">
        <is>
          <t>БАНКЯ</t>
        </is>
      </c>
      <c r="B17" s="21" t="n">
        <v>64.56</v>
      </c>
      <c r="C17" s="22" t="n">
        <v>98</v>
      </c>
      <c r="D17" s="21" t="n">
        <v>41.69</v>
      </c>
      <c r="E17" s="22" t="n">
        <v>60</v>
      </c>
      <c r="F17" s="21" t="n">
        <v>111.94</v>
      </c>
      <c r="G17" s="22" t="n">
        <v>153</v>
      </c>
      <c r="H17" s="22" t="n">
        <v>314</v>
      </c>
      <c r="I17" s="18">
        <f>B17+D17+F17</f>
        <v/>
      </c>
      <c r="J17" s="19">
        <f>C17+E17+G17+H17</f>
        <v/>
      </c>
    </row>
    <row r="18">
      <c r="A18" s="5" t="inlineStr">
        <is>
          <t>ВЕЛЧО АТАНАСОВ</t>
        </is>
      </c>
      <c r="B18" s="9" t="n">
        <v>135.22</v>
      </c>
      <c r="C18" s="17" t="n">
        <v>194</v>
      </c>
      <c r="D18" s="9" t="n">
        <v>162.85</v>
      </c>
      <c r="E18" s="17" t="n">
        <v>165</v>
      </c>
      <c r="F18" s="9" t="n">
        <v>248.3</v>
      </c>
      <c r="G18" s="17" t="n">
        <v>223</v>
      </c>
      <c r="H18" s="17" t="n">
        <v>186</v>
      </c>
      <c r="I18" s="18">
        <f>B18+D18+F18</f>
        <v/>
      </c>
      <c r="J18" s="19">
        <f>C18+E18+G18+H18</f>
        <v/>
      </c>
    </row>
    <row r="19">
      <c r="A19" s="20" t="inlineStr">
        <is>
          <t>ЛОЗЕНЕЦ</t>
        </is>
      </c>
      <c r="B19" s="21" t="n">
        <v>113.72</v>
      </c>
      <c r="C19" s="22" t="n">
        <v>169</v>
      </c>
      <c r="D19" s="21" t="n">
        <v>164.91</v>
      </c>
      <c r="E19" s="22" t="n">
        <v>163</v>
      </c>
      <c r="F19" s="21" t="n">
        <v>263.94</v>
      </c>
      <c r="G19" s="22" t="n">
        <v>301</v>
      </c>
      <c r="H19" s="22" t="n">
        <v>512</v>
      </c>
      <c r="I19" s="18">
        <f>B19+D19+F19</f>
        <v/>
      </c>
      <c r="J19" s="19">
        <f>C19+E19+G19+H19</f>
        <v/>
      </c>
    </row>
    <row r="20">
      <c r="A20" s="5" t="inlineStr">
        <is>
          <t>ЛЮЛИН 7</t>
        </is>
      </c>
      <c r="B20" s="9" t="n">
        <v>128.44</v>
      </c>
      <c r="C20" s="17" t="n">
        <v>170</v>
      </c>
      <c r="D20" s="9" t="n">
        <v>102.66</v>
      </c>
      <c r="E20" s="17" t="n">
        <v>107</v>
      </c>
      <c r="F20" s="9" t="n">
        <v>207.07</v>
      </c>
      <c r="G20" s="17" t="n">
        <v>309</v>
      </c>
      <c r="H20" s="17" t="n">
        <v>349</v>
      </c>
      <c r="I20" s="18">
        <f>B20+D20+F20</f>
        <v/>
      </c>
      <c r="J20" s="19">
        <f>C20+E20+G20+H20</f>
        <v/>
      </c>
    </row>
    <row r="21">
      <c r="A21" s="20" t="inlineStr">
        <is>
          <t>МАНАСТИРСКИ ЛИВАДИ</t>
        </is>
      </c>
      <c r="B21" s="21" t="n">
        <v>45.41</v>
      </c>
      <c r="C21" s="22" t="n">
        <v>67</v>
      </c>
      <c r="D21" s="21" t="n">
        <v>62.36</v>
      </c>
      <c r="E21" s="22" t="n">
        <v>44</v>
      </c>
      <c r="F21" s="21" t="n">
        <v>55.77</v>
      </c>
      <c r="G21" s="22" t="n">
        <v>77</v>
      </c>
      <c r="H21" s="22" t="n">
        <v>257</v>
      </c>
      <c r="I21" s="18">
        <f>B21+D21+F21</f>
        <v/>
      </c>
      <c r="J21" s="19">
        <f>C21+E21+G21+H21</f>
        <v/>
      </c>
    </row>
    <row r="22">
      <c r="A22" s="5" t="inlineStr">
        <is>
          <t>НАДЕЖДА</t>
        </is>
      </c>
      <c r="B22" s="9" t="n">
        <v>105.16</v>
      </c>
      <c r="C22" s="17" t="n">
        <v>231</v>
      </c>
      <c r="D22" s="9" t="n">
        <v>171.22</v>
      </c>
      <c r="E22" s="17" t="n">
        <v>246</v>
      </c>
      <c r="F22" s="9" t="n">
        <v>184.38</v>
      </c>
      <c r="G22" s="17" t="n">
        <v>219</v>
      </c>
      <c r="H22" s="17" t="n">
        <v>219</v>
      </c>
      <c r="I22" s="18">
        <f>B22+D22+F22</f>
        <v/>
      </c>
      <c r="J22" s="19">
        <f>C22+E22+G22+H22</f>
        <v/>
      </c>
    </row>
    <row r="23">
      <c r="A23" s="20" t="inlineStr">
        <is>
          <t>ОБЕЛЯ 2</t>
        </is>
      </c>
      <c r="B23" s="21" t="n">
        <v>54.71</v>
      </c>
      <c r="C23" s="22" t="n">
        <v>145</v>
      </c>
      <c r="D23" s="21" t="n">
        <v>72.70999999999999</v>
      </c>
      <c r="E23" s="22" t="n">
        <v>65</v>
      </c>
      <c r="F23" s="21" t="n">
        <v>366.14</v>
      </c>
      <c r="G23" s="22" t="n">
        <v>518</v>
      </c>
      <c r="H23" s="22" t="n">
        <v>336</v>
      </c>
      <c r="I23" s="18">
        <f>B23+D23+F23</f>
        <v/>
      </c>
      <c r="J23" s="19">
        <f>C23+E23+G23+H23</f>
        <v/>
      </c>
    </row>
    <row r="24">
      <c r="A24" s="5" t="inlineStr">
        <is>
          <t>РЕДУТА</t>
        </is>
      </c>
      <c r="B24" s="9" t="n">
        <v>14.53</v>
      </c>
      <c r="C24" s="17" t="n">
        <v>22</v>
      </c>
      <c r="D24" s="9" t="n">
        <v>30.87</v>
      </c>
      <c r="E24" s="17" t="n">
        <v>20</v>
      </c>
      <c r="F24" s="9" t="n">
        <v>23.43</v>
      </c>
      <c r="G24" s="17" t="n">
        <v>34</v>
      </c>
      <c r="H24" s="17" t="n">
        <v>93</v>
      </c>
      <c r="I24" s="18">
        <f>B24+D24+F24</f>
        <v/>
      </c>
      <c r="J24" s="19">
        <f>C24+E24+G24+H24</f>
        <v/>
      </c>
    </row>
    <row r="25">
      <c r="A25" s="20" t="inlineStr">
        <is>
          <t>СВОБОДА</t>
        </is>
      </c>
      <c r="B25" s="21" t="n">
        <v>82.77</v>
      </c>
      <c r="C25" s="22" t="n">
        <v>130</v>
      </c>
      <c r="D25" s="21" t="n">
        <v>92.27</v>
      </c>
      <c r="E25" s="22" t="n">
        <v>63</v>
      </c>
      <c r="F25" s="21" t="n">
        <v>125.7</v>
      </c>
      <c r="G25" s="22" t="n">
        <v>180</v>
      </c>
      <c r="H25" s="22" t="n">
        <v>176</v>
      </c>
      <c r="I25" s="18">
        <f>B25+D25+F25</f>
        <v/>
      </c>
      <c r="J25" s="19">
        <f>C25+E25+G25+H25</f>
        <v/>
      </c>
    </row>
    <row r="26">
      <c r="A26" s="5" t="inlineStr">
        <is>
          <t>ХАЛИ ОКРЪЖНА</t>
        </is>
      </c>
      <c r="B26" s="9" t="n">
        <v>303.95</v>
      </c>
      <c r="C26" s="17" t="n">
        <v>441</v>
      </c>
      <c r="D26" s="9" t="n">
        <v>255.28</v>
      </c>
      <c r="E26" s="17" t="n">
        <v>270</v>
      </c>
      <c r="F26" s="9" t="n">
        <v>207.86</v>
      </c>
      <c r="G26" s="17" t="n">
        <v>282</v>
      </c>
      <c r="H26" s="17" t="n">
        <v>683</v>
      </c>
      <c r="I26" s="18">
        <f>B26+D26+F26</f>
        <v/>
      </c>
      <c r="J26" s="19">
        <f>C26+E26+G26+H26</f>
        <v/>
      </c>
    </row>
    <row r="27">
      <c r="A27" s="13" t="inlineStr">
        <is>
          <t>ОБЩО / TOTAL</t>
        </is>
      </c>
      <c r="B27" s="14">
        <f>SUM(B16:B26)</f>
        <v/>
      </c>
      <c r="C27" s="15">
        <f>SUM(C16:C26)</f>
        <v/>
      </c>
      <c r="D27" s="14">
        <f>SUM(D16:D26)</f>
        <v/>
      </c>
      <c r="E27" s="15">
        <f>SUM(E16:E26)</f>
        <v/>
      </c>
      <c r="F27" s="14">
        <f>SUM(F16:F26)</f>
        <v/>
      </c>
      <c r="G27" s="15">
        <f>SUM(G16:G26)</f>
        <v/>
      </c>
      <c r="H27" s="15">
        <f>SUM(H16:H26)</f>
        <v/>
      </c>
      <c r="I27" s="14">
        <f>SUM(I16:I26)</f>
        <v/>
      </c>
      <c r="J27" s="15">
        <f>SUM(J16:J26)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21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2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1" customWidth="1" min="16" max="16"/>
  </cols>
  <sheetData>
    <row r="1">
      <c r="A1" s="1" t="inlineStr">
        <is>
          <t>ЗАЯВКА ПО ОБЕКТИ: ЗАХАРНИ ЗАВОДИ</t>
        </is>
      </c>
    </row>
    <row r="2">
      <c r="A2" s="2" t="inlineStr">
        <is>
          <t>Целева стойност: 1,200.00 € | Изчислена: 1,200.00 € | Покритие: 1.92 мес.</t>
        </is>
      </c>
    </row>
    <row r="3"/>
    <row r="4" ht="28" customHeight="1">
      <c r="A4" s="4" t="inlineStr">
        <is>
          <t>№</t>
        </is>
      </c>
      <c r="B4" s="4" t="inlineStr">
        <is>
          <t>Артикул / Номенклатура</t>
        </is>
      </c>
      <c r="C4" s="4" t="inlineStr">
        <is>
          <t>Доставна цена (€)</t>
        </is>
      </c>
      <c r="D4" s="4" t="inlineStr">
        <is>
          <t>АРСЕНАЛСКИ</t>
        </is>
      </c>
      <c r="E4" s="4" t="inlineStr">
        <is>
          <t>БАНКЯ</t>
        </is>
      </c>
      <c r="F4" s="4" t="inlineStr">
        <is>
          <t>ВЕЛЧО АТАНАСОВ</t>
        </is>
      </c>
      <c r="G4" s="4" t="inlineStr">
        <is>
          <t>ЛОЗЕНЕЦ</t>
        </is>
      </c>
      <c r="H4" s="4" t="inlineStr">
        <is>
          <t>ЛЮЛИН 7</t>
        </is>
      </c>
      <c r="I4" s="4" t="inlineStr">
        <is>
          <t>МАНАСТИРСКИ ЛИВАДИ</t>
        </is>
      </c>
      <c r="J4" s="4" t="inlineStr">
        <is>
          <t>НАДЕЖДА</t>
        </is>
      </c>
      <c r="K4" s="4" t="inlineStr">
        <is>
          <t>ОБЕЛЯ 2</t>
        </is>
      </c>
      <c r="L4" s="4" t="inlineStr">
        <is>
          <t>РЕДУТА</t>
        </is>
      </c>
      <c r="M4" s="4" t="inlineStr">
        <is>
          <t>СВОБОДА</t>
        </is>
      </c>
      <c r="N4" s="4" t="inlineStr">
        <is>
          <t>ХАЛИ ОКРЪЖНА</t>
        </is>
      </c>
      <c r="O4" s="4" t="inlineStr">
        <is>
          <t>ОБЩО (бр.)</t>
        </is>
      </c>
      <c r="P4" s="4" t="inlineStr">
        <is>
          <t>ОБЩА СТОЙНОСТ (€)</t>
        </is>
      </c>
    </row>
    <row r="5">
      <c r="A5" s="10" t="n">
        <v>1</v>
      </c>
      <c r="B5" s="23" t="inlineStr">
        <is>
          <t>Зах. заводи Бонбони Карамел Му класик плик 100</t>
        </is>
      </c>
      <c r="C5" s="24" t="n">
        <v>0.76</v>
      </c>
      <c r="D5" s="8" t="n">
        <v>9</v>
      </c>
      <c r="E5" s="25" t="n">
        <v>0</v>
      </c>
      <c r="F5" s="8" t="n">
        <v>7</v>
      </c>
      <c r="G5" s="25" t="n">
        <v>0</v>
      </c>
      <c r="H5" s="8" t="n">
        <v>27</v>
      </c>
      <c r="I5" s="25" t="n">
        <v>0</v>
      </c>
      <c r="J5" s="25" t="n">
        <v>0</v>
      </c>
      <c r="K5" s="25" t="n">
        <v>0</v>
      </c>
      <c r="L5" s="25" t="n">
        <v>0</v>
      </c>
      <c r="M5" s="8" t="n">
        <v>1</v>
      </c>
      <c r="N5" s="8" t="n">
        <v>28</v>
      </c>
      <c r="O5" s="19">
        <f>SUM(D5:N5)</f>
        <v/>
      </c>
      <c r="P5" s="18">
        <f>O5*C5</f>
        <v/>
      </c>
    </row>
    <row r="6">
      <c r="A6" s="26" t="n">
        <v>2</v>
      </c>
      <c r="B6" s="27" t="inlineStr">
        <is>
          <t>Зах. заводи Бонбони Кръц Кръц 150</t>
        </is>
      </c>
      <c r="C6" s="28" t="n">
        <v>0.93</v>
      </c>
      <c r="D6" s="29" t="n">
        <v>0</v>
      </c>
      <c r="E6" s="30" t="n">
        <v>6</v>
      </c>
      <c r="F6" s="29" t="n">
        <v>0</v>
      </c>
      <c r="G6" s="29" t="n">
        <v>0</v>
      </c>
      <c r="H6" s="29" t="n">
        <v>0</v>
      </c>
      <c r="I6" s="30" t="n">
        <v>1</v>
      </c>
      <c r="J6" s="29" t="n">
        <v>0</v>
      </c>
      <c r="K6" s="29" t="n">
        <v>0</v>
      </c>
      <c r="L6" s="29" t="n">
        <v>0</v>
      </c>
      <c r="M6" s="30" t="n">
        <v>6</v>
      </c>
      <c r="N6" s="30" t="n">
        <v>4</v>
      </c>
      <c r="O6" s="19">
        <f>SUM(D6:N6)</f>
        <v/>
      </c>
      <c r="P6" s="18">
        <f>O6*C6</f>
        <v/>
      </c>
    </row>
    <row r="7">
      <c r="A7" s="10" t="n">
        <v>3</v>
      </c>
      <c r="B7" s="23" t="inlineStr">
        <is>
          <t>Зах. заводи Бонбони Лакта тофина 0.120</t>
        </is>
      </c>
      <c r="C7" s="24" t="n">
        <v>0.72</v>
      </c>
      <c r="D7" s="8" t="n">
        <v>17</v>
      </c>
      <c r="E7" s="8" t="n">
        <v>12</v>
      </c>
      <c r="F7" s="25" t="n">
        <v>0</v>
      </c>
      <c r="G7" s="8" t="n">
        <v>3</v>
      </c>
      <c r="H7" s="25" t="n">
        <v>0</v>
      </c>
      <c r="I7" s="8" t="n">
        <v>14</v>
      </c>
      <c r="J7" s="25" t="n">
        <v>0</v>
      </c>
      <c r="K7" s="25" t="n">
        <v>0</v>
      </c>
      <c r="L7" s="25" t="n">
        <v>0</v>
      </c>
      <c r="M7" s="25" t="n">
        <v>0</v>
      </c>
      <c r="N7" s="8" t="n">
        <v>15</v>
      </c>
      <c r="O7" s="19">
        <f>SUM(D7:N7)</f>
        <v/>
      </c>
      <c r="P7" s="18">
        <f>O7*C7</f>
        <v/>
      </c>
    </row>
    <row r="8">
      <c r="A8" s="26" t="n">
        <v>4</v>
      </c>
      <c r="B8" s="27" t="inlineStr">
        <is>
          <t>Зах. заводи Бонбони дропс Къпина 90</t>
        </is>
      </c>
      <c r="C8" s="28" t="n">
        <v>0.46</v>
      </c>
      <c r="D8" s="29" t="n">
        <v>0</v>
      </c>
      <c r="E8" s="30" t="n">
        <v>2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30" t="n">
        <v>8</v>
      </c>
      <c r="N8" s="29" t="n">
        <v>0</v>
      </c>
      <c r="O8" s="19">
        <f>SUM(D8:N8)</f>
        <v/>
      </c>
      <c r="P8" s="18">
        <f>O8*C8</f>
        <v/>
      </c>
    </row>
    <row r="9">
      <c r="A9" s="10" t="n">
        <v>5</v>
      </c>
      <c r="B9" s="23" t="inlineStr">
        <is>
          <t>Зах. заводи Бонбони дропс Малина 90гр</t>
        </is>
      </c>
      <c r="C9" s="24" t="n">
        <v>0.46</v>
      </c>
      <c r="D9" s="25" t="n">
        <v>0</v>
      </c>
      <c r="E9" s="8" t="n">
        <v>2</v>
      </c>
      <c r="F9" s="25" t="n">
        <v>0</v>
      </c>
      <c r="G9" s="25" t="n">
        <v>0</v>
      </c>
      <c r="H9" s="8" t="n">
        <v>1</v>
      </c>
      <c r="I9" s="25" t="n">
        <v>0</v>
      </c>
      <c r="J9" s="25" t="n">
        <v>0</v>
      </c>
      <c r="K9" s="8" t="n">
        <v>1</v>
      </c>
      <c r="L9" s="25" t="n">
        <v>0</v>
      </c>
      <c r="M9" s="8" t="n">
        <v>5</v>
      </c>
      <c r="N9" s="8" t="n">
        <v>3</v>
      </c>
      <c r="O9" s="19">
        <f>SUM(D9:N9)</f>
        <v/>
      </c>
      <c r="P9" s="18">
        <f>O9*C9</f>
        <v/>
      </c>
    </row>
    <row r="10">
      <c r="A10" s="26" t="n">
        <v>6</v>
      </c>
      <c r="B10" s="27" t="inlineStr">
        <is>
          <t>Зах. заводи Бонбони дропс Теменужка 90</t>
        </is>
      </c>
      <c r="C10" s="28" t="n">
        <v>0.46</v>
      </c>
      <c r="D10" s="30" t="n">
        <v>28</v>
      </c>
      <c r="E10" s="30" t="n">
        <v>18</v>
      </c>
      <c r="F10" s="30" t="n">
        <v>13</v>
      </c>
      <c r="G10" s="30" t="n">
        <v>4</v>
      </c>
      <c r="H10" s="30" t="n">
        <v>1</v>
      </c>
      <c r="I10" s="30" t="n">
        <v>3</v>
      </c>
      <c r="J10" s="29" t="n">
        <v>0</v>
      </c>
      <c r="K10" s="29" t="n">
        <v>0</v>
      </c>
      <c r="L10" s="29" t="n">
        <v>0</v>
      </c>
      <c r="M10" s="30" t="n">
        <v>15</v>
      </c>
      <c r="N10" s="30" t="n">
        <v>27</v>
      </c>
      <c r="O10" s="19">
        <f>SUM(D10:N10)</f>
        <v/>
      </c>
      <c r="P10" s="18">
        <f>O10*C10</f>
        <v/>
      </c>
    </row>
    <row r="11">
      <c r="A11" s="10" t="n">
        <v>7</v>
      </c>
      <c r="B11" s="23" t="inlineStr">
        <is>
          <t>Зах. заводи Вафли Чайка 50гр</t>
        </is>
      </c>
      <c r="C11" s="24" t="n">
        <v>0.3</v>
      </c>
      <c r="D11" s="8" t="n">
        <v>1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  <c r="N11" s="25" t="n">
        <v>0</v>
      </c>
      <c r="O11" s="19">
        <f>SUM(D11:N11)</f>
        <v/>
      </c>
      <c r="P11" s="18">
        <f>O11*C11</f>
        <v/>
      </c>
    </row>
    <row r="12">
      <c r="A12" s="26" t="n">
        <v>8</v>
      </c>
      <c r="B12" s="27" t="inlineStr">
        <is>
          <t>Зах. заводи Вафли Чайка 60гр</t>
        </is>
      </c>
      <c r="C12" s="28" t="n">
        <v>0.42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19">
        <f>SUM(D12:N12)</f>
        <v/>
      </c>
      <c r="P12" s="18">
        <f>O12*C12</f>
        <v/>
      </c>
    </row>
    <row r="13">
      <c r="A13" s="10" t="n">
        <v>9</v>
      </c>
      <c r="B13" s="23" t="inlineStr">
        <is>
          <t>Зах. заводи Вафли Чайка 6бр</t>
        </is>
      </c>
      <c r="C13" s="24" t="n">
        <v>0.6899999999999999</v>
      </c>
      <c r="D13" s="8" t="n">
        <v>6</v>
      </c>
      <c r="E13" s="25" t="n">
        <v>0</v>
      </c>
      <c r="F13" s="25" t="n">
        <v>0</v>
      </c>
      <c r="G13" s="8" t="n">
        <v>3</v>
      </c>
      <c r="H13" s="25" t="n">
        <v>0</v>
      </c>
      <c r="I13" s="25" t="n">
        <v>0</v>
      </c>
      <c r="J13" s="25" t="n">
        <v>0</v>
      </c>
      <c r="K13" s="25" t="n">
        <v>0</v>
      </c>
      <c r="L13" s="25" t="n">
        <v>0</v>
      </c>
      <c r="M13" s="25" t="n">
        <v>0</v>
      </c>
      <c r="N13" s="25" t="n">
        <v>0</v>
      </c>
      <c r="O13" s="19">
        <f>SUM(D13:N13)</f>
        <v/>
      </c>
      <c r="P13" s="18">
        <f>O13*C13</f>
        <v/>
      </c>
    </row>
    <row r="14">
      <c r="A14" s="26" t="n">
        <v>10</v>
      </c>
      <c r="B14" s="27" t="inlineStr">
        <is>
          <t>Зах. заводи Желе бонбони ментина 90гр</t>
        </is>
      </c>
      <c r="C14" s="28" t="n">
        <v>0.61</v>
      </c>
      <c r="D14" s="30" t="n">
        <v>39</v>
      </c>
      <c r="E14" s="29" t="n">
        <v>0</v>
      </c>
      <c r="F14" s="29" t="n">
        <v>0</v>
      </c>
      <c r="G14" s="30" t="n">
        <v>11</v>
      </c>
      <c r="H14" s="30" t="n">
        <v>14</v>
      </c>
      <c r="I14" s="30" t="n">
        <v>8</v>
      </c>
      <c r="J14" s="30" t="n">
        <v>23</v>
      </c>
      <c r="K14" s="30" t="n">
        <v>1</v>
      </c>
      <c r="L14" s="29" t="n">
        <v>0</v>
      </c>
      <c r="M14" s="30" t="n">
        <v>28</v>
      </c>
      <c r="N14" s="30" t="n">
        <v>25</v>
      </c>
      <c r="O14" s="19">
        <f>SUM(D14:N14)</f>
        <v/>
      </c>
      <c r="P14" s="18">
        <f>O14*C14</f>
        <v/>
      </c>
    </row>
    <row r="15">
      <c r="A15" s="10" t="n">
        <v>11</v>
      </c>
      <c r="B15" s="23" t="inlineStr">
        <is>
          <t>Зах. заводи Лукчета 75/85 гр</t>
        </is>
      </c>
      <c r="C15" s="24" t="n">
        <v>0.65</v>
      </c>
      <c r="D15" s="8" t="n">
        <v>79</v>
      </c>
      <c r="E15" s="8" t="n">
        <v>39</v>
      </c>
      <c r="F15" s="8" t="n">
        <v>148</v>
      </c>
      <c r="G15" s="8" t="n">
        <v>106</v>
      </c>
      <c r="H15" s="8" t="n">
        <v>72</v>
      </c>
      <c r="I15" s="8" t="n">
        <v>36</v>
      </c>
      <c r="J15" s="8" t="n">
        <v>110</v>
      </c>
      <c r="K15" s="8" t="n">
        <v>20</v>
      </c>
      <c r="L15" s="8" t="n">
        <v>12</v>
      </c>
      <c r="M15" s="8" t="n">
        <v>44</v>
      </c>
      <c r="N15" s="8" t="n">
        <v>200</v>
      </c>
      <c r="O15" s="19">
        <f>SUM(D15:N15)</f>
        <v/>
      </c>
      <c r="P15" s="18">
        <f>O15*C15</f>
        <v/>
      </c>
    </row>
    <row r="16">
      <c r="A16" s="26" t="n">
        <v>12</v>
      </c>
      <c r="B16" s="27" t="inlineStr">
        <is>
          <t>Зах. заводи Ментина с шоколад 80гр</t>
        </is>
      </c>
      <c r="C16" s="28" t="n">
        <v>1.04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30" t="n">
        <v>10</v>
      </c>
      <c r="O16" s="19">
        <f>SUM(D16:N16)</f>
        <v/>
      </c>
      <c r="P16" s="18">
        <f>O16*C16</f>
        <v/>
      </c>
    </row>
    <row r="17">
      <c r="A17" s="10" t="n">
        <v>13</v>
      </c>
      <c r="B17" s="23" t="inlineStr">
        <is>
          <t>Зах. заводи Халва Златея 380/400гр</t>
        </is>
      </c>
      <c r="C17" s="24" t="n">
        <v>2.21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5" t="n">
        <v>0</v>
      </c>
      <c r="L17" s="25" t="n">
        <v>0</v>
      </c>
      <c r="M17" s="25" t="n">
        <v>0</v>
      </c>
      <c r="N17" s="25" t="n">
        <v>0</v>
      </c>
      <c r="O17" s="19">
        <f>SUM(D17:N17)</f>
        <v/>
      </c>
      <c r="P17" s="18">
        <f>O17*C17</f>
        <v/>
      </c>
    </row>
    <row r="18">
      <c r="A18" s="26" t="n">
        <v>14</v>
      </c>
      <c r="B18" s="27" t="inlineStr">
        <is>
          <t>Зах. заводи Чай Лукчета</t>
        </is>
      </c>
      <c r="C18" s="28" t="n">
        <v>0.79</v>
      </c>
      <c r="D18" s="30" t="n">
        <v>13</v>
      </c>
      <c r="E18" s="30" t="n">
        <v>8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30" t="n">
        <v>10</v>
      </c>
      <c r="L18" s="30" t="n">
        <v>1</v>
      </c>
      <c r="M18" s="30" t="n">
        <v>10</v>
      </c>
      <c r="N18" s="30" t="n">
        <v>12</v>
      </c>
      <c r="O18" s="19">
        <f>SUM(D18:N18)</f>
        <v/>
      </c>
      <c r="P18" s="18">
        <f>O18*C18</f>
        <v/>
      </c>
    </row>
    <row r="19">
      <c r="A19" s="10" t="n">
        <v>15</v>
      </c>
      <c r="B19" s="23" t="inlineStr">
        <is>
          <t>Зах. заводи Шоколадов десерт Чайка 18гр</t>
        </is>
      </c>
      <c r="C19" s="24" t="n">
        <v>0.13</v>
      </c>
      <c r="D19" s="8" t="n">
        <v>39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8" t="n">
        <v>85</v>
      </c>
      <c r="K19" s="8" t="n">
        <v>88</v>
      </c>
      <c r="L19" s="25" t="n">
        <v>0</v>
      </c>
      <c r="M19" s="25" t="n">
        <v>0</v>
      </c>
      <c r="N19" s="25" t="n">
        <v>0</v>
      </c>
      <c r="O19" s="19">
        <f>SUM(D19:N19)</f>
        <v/>
      </c>
      <c r="P19" s="18">
        <f>O19*C19</f>
        <v/>
      </c>
    </row>
    <row r="20">
      <c r="A20" s="26" t="n">
        <v>16</v>
      </c>
      <c r="B20" s="27" t="inlineStr">
        <is>
          <t>Зах.заводи Лимонови Резaнки 180</t>
        </is>
      </c>
      <c r="C20" s="28" t="n">
        <v>1.14</v>
      </c>
      <c r="D20" s="29" t="n">
        <v>0</v>
      </c>
      <c r="E20" s="30" t="n">
        <v>3</v>
      </c>
      <c r="F20" s="30" t="n">
        <v>22</v>
      </c>
      <c r="G20" s="30" t="n">
        <v>9</v>
      </c>
      <c r="H20" s="30" t="n">
        <v>32</v>
      </c>
      <c r="I20" s="30" t="n">
        <v>3</v>
      </c>
      <c r="J20" s="29" t="n">
        <v>0</v>
      </c>
      <c r="K20" s="30" t="n">
        <v>10</v>
      </c>
      <c r="L20" s="29" t="n">
        <v>0</v>
      </c>
      <c r="M20" s="30" t="n">
        <v>3</v>
      </c>
      <c r="N20" s="30" t="n">
        <v>25</v>
      </c>
      <c r="O20" s="19">
        <f>SUM(D20:N20)</f>
        <v/>
      </c>
      <c r="P20" s="18">
        <f>O20*C20</f>
        <v/>
      </c>
    </row>
    <row r="21">
      <c r="A21" s="10" t="n">
        <v>17</v>
      </c>
      <c r="B21" s="23" t="inlineStr">
        <is>
          <t>Зах.заводи Лимонови Резaнки Мини 15*80гр</t>
        </is>
      </c>
      <c r="C21" s="24" t="n">
        <v>0.61</v>
      </c>
      <c r="D21" s="8" t="n">
        <v>35</v>
      </c>
      <c r="E21" s="8" t="n">
        <v>3</v>
      </c>
      <c r="F21" s="25" t="n">
        <v>0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0</v>
      </c>
      <c r="L21" s="25" t="n">
        <v>0</v>
      </c>
      <c r="M21" s="8" t="n">
        <v>1</v>
      </c>
      <c r="N21" s="25" t="n">
        <v>0</v>
      </c>
      <c r="O21" s="19">
        <f>SUM(D21:N21)</f>
        <v/>
      </c>
      <c r="P21" s="18">
        <f>O21*C21</f>
        <v/>
      </c>
    </row>
    <row r="22">
      <c r="A22" s="26" t="n">
        <v>18</v>
      </c>
      <c r="B22" s="27" t="inlineStr">
        <is>
          <t>Зах.заводи Локум видове 100гр</t>
        </is>
      </c>
      <c r="C22" s="28" t="n">
        <v>0.66</v>
      </c>
      <c r="D22" s="29" t="n">
        <v>0</v>
      </c>
      <c r="E22" s="29" t="n">
        <v>0</v>
      </c>
      <c r="F22" s="29" t="n">
        <v>0</v>
      </c>
      <c r="G22" s="30" t="n">
        <v>20</v>
      </c>
      <c r="H22" s="29" t="n">
        <v>0</v>
      </c>
      <c r="I22" s="29" t="n">
        <v>0</v>
      </c>
      <c r="J22" s="29" t="n">
        <v>0</v>
      </c>
      <c r="K22" s="30" t="n">
        <v>2</v>
      </c>
      <c r="L22" s="29" t="n">
        <v>0</v>
      </c>
      <c r="M22" s="30" t="n">
        <v>6</v>
      </c>
      <c r="N22" s="30" t="n">
        <v>19</v>
      </c>
      <c r="O22" s="19">
        <f>SUM(D22:N22)</f>
        <v/>
      </c>
      <c r="P22" s="18">
        <f>O22*C22</f>
        <v/>
      </c>
    </row>
    <row r="23">
      <c r="A23" s="10" t="n">
        <v>19</v>
      </c>
      <c r="B23" s="23" t="inlineStr">
        <is>
          <t>Зах.заводи Локум видове 140</t>
        </is>
      </c>
      <c r="C23" s="24" t="n">
        <v>0.66</v>
      </c>
      <c r="D23" s="8" t="n">
        <v>5</v>
      </c>
      <c r="E23" s="8" t="n">
        <v>5</v>
      </c>
      <c r="F23" s="8" t="n">
        <v>4</v>
      </c>
      <c r="G23" s="8" t="n">
        <v>13</v>
      </c>
      <c r="H23" s="8" t="n">
        <v>23</v>
      </c>
      <c r="I23" s="8" t="n">
        <v>2</v>
      </c>
      <c r="J23" s="8" t="n">
        <v>13</v>
      </c>
      <c r="K23" s="8" t="n">
        <v>13</v>
      </c>
      <c r="L23" s="8" t="n">
        <v>9</v>
      </c>
      <c r="M23" s="8" t="n">
        <v>3</v>
      </c>
      <c r="N23" s="8" t="n">
        <v>73</v>
      </c>
      <c r="O23" s="19">
        <f>SUM(D23:N23)</f>
        <v/>
      </c>
      <c r="P23" s="18">
        <f>O23*C23</f>
        <v/>
      </c>
    </row>
    <row r="24">
      <c r="A24" s="13" t="inlineStr"/>
      <c r="B24" s="13" t="inlineStr">
        <is>
          <t>ОБЩО КОЛИЧЕСТВО (бр.)</t>
        </is>
      </c>
      <c r="C24" s="16" t="inlineStr">
        <is>
          <t>-</t>
        </is>
      </c>
      <c r="D24" s="15">
        <f>SUM(D5:D23)</f>
        <v/>
      </c>
      <c r="E24" s="15">
        <f>SUM(E5:E23)</f>
        <v/>
      </c>
      <c r="F24" s="15">
        <f>SUM(F5:F23)</f>
        <v/>
      </c>
      <c r="G24" s="15">
        <f>SUM(G5:G23)</f>
        <v/>
      </c>
      <c r="H24" s="15">
        <f>SUM(H5:H23)</f>
        <v/>
      </c>
      <c r="I24" s="15">
        <f>SUM(I5:I23)</f>
        <v/>
      </c>
      <c r="J24" s="15">
        <f>SUM(J5:J23)</f>
        <v/>
      </c>
      <c r="K24" s="15">
        <f>SUM(K5:K23)</f>
        <v/>
      </c>
      <c r="L24" s="15">
        <f>SUM(L5:L23)</f>
        <v/>
      </c>
      <c r="M24" s="15">
        <f>SUM(M5:M23)</f>
        <v/>
      </c>
      <c r="N24" s="15">
        <f>SUM(N5:N23)</f>
        <v/>
      </c>
      <c r="O24" s="15">
        <f>SUM(O5:O23)</f>
        <v/>
      </c>
      <c r="P24" s="14">
        <f>SUM(P5:P23)</f>
        <v/>
      </c>
    </row>
    <row r="25">
      <c r="A25" s="13" t="inlineStr"/>
      <c r="B25" s="13" t="inlineStr">
        <is>
          <t>ОБЩА СТОЙНОСТ (€)</t>
        </is>
      </c>
      <c r="C25" s="16" t="inlineStr">
        <is>
          <t>-</t>
        </is>
      </c>
      <c r="D25" s="14">
        <f>SUMPRODUCT($C$5:$C$23, D$5:D$23)</f>
        <v/>
      </c>
      <c r="E25" s="14">
        <f>SUMPRODUCT($C$5:$C$23, E$5:E$23)</f>
        <v/>
      </c>
      <c r="F25" s="14">
        <f>SUMPRODUCT($C$5:$C$23, F$5:F$23)</f>
        <v/>
      </c>
      <c r="G25" s="14">
        <f>SUMPRODUCT($C$5:$C$23, G$5:G$23)</f>
        <v/>
      </c>
      <c r="H25" s="14">
        <f>SUMPRODUCT($C$5:$C$23, H$5:H$23)</f>
        <v/>
      </c>
      <c r="I25" s="14">
        <f>SUMPRODUCT($C$5:$C$23, I$5:I$23)</f>
        <v/>
      </c>
      <c r="J25" s="14">
        <f>SUMPRODUCT($C$5:$C$23, J$5:J$23)</f>
        <v/>
      </c>
      <c r="K25" s="14">
        <f>SUMPRODUCT($C$5:$C$23, K$5:K$23)</f>
        <v/>
      </c>
      <c r="L25" s="14">
        <f>SUMPRODUCT($C$5:$C$23, L$5:L$23)</f>
        <v/>
      </c>
      <c r="M25" s="14">
        <f>SUMPRODUCT($C$5:$C$23, M$5:M$23)</f>
        <v/>
      </c>
      <c r="N25" s="14">
        <f>SUMPRODUCT($C$5:$C$23, N$5:N$23)</f>
        <v/>
      </c>
      <c r="O25" s="16" t="inlineStr">
        <is>
          <t>-</t>
        </is>
      </c>
      <c r="P25" s="14">
        <f>P24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8" customWidth="1" min="2" max="2"/>
    <col width="21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2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1" customWidth="1" min="16" max="16"/>
  </cols>
  <sheetData>
    <row r="1">
      <c r="A1" s="1" t="inlineStr">
        <is>
          <t>ЗАЯВКА ПО ОБЕКТИ: ПОБЕДА</t>
        </is>
      </c>
    </row>
    <row r="2">
      <c r="A2" s="2" t="inlineStr">
        <is>
          <t>Целева стойност: 1,200.00 € | Изчислена: 1,202.56 € | Покритие: 0.89 мес.</t>
        </is>
      </c>
    </row>
    <row r="3"/>
    <row r="4" ht="28" customHeight="1">
      <c r="A4" s="4" t="inlineStr">
        <is>
          <t>№</t>
        </is>
      </c>
      <c r="B4" s="4" t="inlineStr">
        <is>
          <t>Артикул / Номенклатура</t>
        </is>
      </c>
      <c r="C4" s="4" t="inlineStr">
        <is>
          <t>Доставна цена (€)</t>
        </is>
      </c>
      <c r="D4" s="4" t="inlineStr">
        <is>
          <t>АРСЕНАЛСКИ</t>
        </is>
      </c>
      <c r="E4" s="4" t="inlineStr">
        <is>
          <t>БАНКЯ</t>
        </is>
      </c>
      <c r="F4" s="4" t="inlineStr">
        <is>
          <t>ВЕЛЧО АТАНАСОВ</t>
        </is>
      </c>
      <c r="G4" s="4" t="inlineStr">
        <is>
          <t>ЛОЗЕНЕЦ</t>
        </is>
      </c>
      <c r="H4" s="4" t="inlineStr">
        <is>
          <t>ЛЮЛИН 7</t>
        </is>
      </c>
      <c r="I4" s="4" t="inlineStr">
        <is>
          <t>МАНАСТИРСКИ ЛИВАДИ</t>
        </is>
      </c>
      <c r="J4" s="4" t="inlineStr">
        <is>
          <t>НАДЕЖДА</t>
        </is>
      </c>
      <c r="K4" s="4" t="inlineStr">
        <is>
          <t>ОБЕЛЯ 2</t>
        </is>
      </c>
      <c r="L4" s="4" t="inlineStr">
        <is>
          <t>РЕДУТА</t>
        </is>
      </c>
      <c r="M4" s="4" t="inlineStr">
        <is>
          <t>СВОБОДА</t>
        </is>
      </c>
      <c r="N4" s="4" t="inlineStr">
        <is>
          <t>ХАЛИ ОКРЪЖНА</t>
        </is>
      </c>
      <c r="O4" s="4" t="inlineStr">
        <is>
          <t>ОБЩО (бр.)</t>
        </is>
      </c>
      <c r="P4" s="4" t="inlineStr">
        <is>
          <t>ОБЩА СТОЙНОСТ (€)</t>
        </is>
      </c>
    </row>
    <row r="5">
      <c r="A5" s="10" t="n">
        <v>1</v>
      </c>
      <c r="B5" s="23" t="inlineStr">
        <is>
          <t>Победа Бар Черноморец 47гр</t>
        </is>
      </c>
      <c r="C5" s="24" t="n">
        <v>0.53</v>
      </c>
      <c r="D5" s="25" t="n">
        <v>0</v>
      </c>
      <c r="E5" s="8" t="n">
        <v>3</v>
      </c>
      <c r="F5" s="8" t="n">
        <v>39</v>
      </c>
      <c r="G5" s="8" t="n">
        <v>29</v>
      </c>
      <c r="H5" s="8" t="n">
        <v>47</v>
      </c>
      <c r="I5" s="25" t="n">
        <v>0</v>
      </c>
      <c r="J5" s="8" t="n">
        <v>185</v>
      </c>
      <c r="K5" s="8" t="n">
        <v>17</v>
      </c>
      <c r="L5" s="25" t="n">
        <v>0</v>
      </c>
      <c r="M5" s="25" t="n">
        <v>0</v>
      </c>
      <c r="N5" s="8" t="n">
        <v>94</v>
      </c>
      <c r="O5" s="19">
        <f>SUM(D5:N5)</f>
        <v/>
      </c>
      <c r="P5" s="18">
        <f>O5*C5</f>
        <v/>
      </c>
    </row>
    <row r="6">
      <c r="A6" s="26" t="n">
        <v>2</v>
      </c>
      <c r="B6" s="27" t="inlineStr">
        <is>
          <t>Победа Бисквити Анелия какао 182гр</t>
        </is>
      </c>
      <c r="C6" s="28" t="n">
        <v>1.31</v>
      </c>
      <c r="D6" s="30" t="n">
        <v>1</v>
      </c>
      <c r="E6" s="29" t="n">
        <v>0</v>
      </c>
      <c r="F6" s="30" t="n">
        <v>8</v>
      </c>
      <c r="G6" s="29" t="n">
        <v>0</v>
      </c>
      <c r="H6" s="30" t="n">
        <v>1</v>
      </c>
      <c r="I6" s="30" t="n">
        <v>7</v>
      </c>
      <c r="J6" s="29" t="n">
        <v>0</v>
      </c>
      <c r="K6" s="29" t="n">
        <v>0</v>
      </c>
      <c r="L6" s="30" t="n">
        <v>3</v>
      </c>
      <c r="M6" s="30" t="n">
        <v>4</v>
      </c>
      <c r="N6" s="30" t="n">
        <v>2</v>
      </c>
      <c r="O6" s="19">
        <f>SUM(D6:N6)</f>
        <v/>
      </c>
      <c r="P6" s="18">
        <f>O6*C6</f>
        <v/>
      </c>
    </row>
    <row r="7">
      <c r="A7" s="10" t="n">
        <v>3</v>
      </c>
      <c r="B7" s="23" t="inlineStr">
        <is>
          <t>Победа Бисквити Анелия мляко 188гр</t>
        </is>
      </c>
      <c r="C7" s="24" t="n">
        <v>1.31</v>
      </c>
      <c r="D7" s="25" t="n">
        <v>0</v>
      </c>
      <c r="E7" s="8" t="n">
        <v>5</v>
      </c>
      <c r="F7" s="8" t="n">
        <v>3</v>
      </c>
      <c r="G7" s="8" t="n">
        <v>2</v>
      </c>
      <c r="H7" s="25" t="n">
        <v>0</v>
      </c>
      <c r="I7" s="8" t="n">
        <v>4</v>
      </c>
      <c r="J7" s="25" t="n">
        <v>0</v>
      </c>
      <c r="K7" s="25" t="n">
        <v>0</v>
      </c>
      <c r="L7" s="25" t="n">
        <v>0</v>
      </c>
      <c r="M7" s="8" t="n">
        <v>6</v>
      </c>
      <c r="N7" s="25" t="n">
        <v>0</v>
      </c>
      <c r="O7" s="19">
        <f>SUM(D7:N7)</f>
        <v/>
      </c>
      <c r="P7" s="18">
        <f>O7*C7</f>
        <v/>
      </c>
    </row>
    <row r="8">
      <c r="A8" s="26" t="n">
        <v>4</v>
      </c>
      <c r="B8" s="27" t="inlineStr">
        <is>
          <t>Победа Бисквити Еверест какао 215гр</t>
        </is>
      </c>
      <c r="C8" s="28" t="n">
        <v>1.15</v>
      </c>
      <c r="D8" s="29" t="n">
        <v>0</v>
      </c>
      <c r="E8" s="30" t="n">
        <v>2</v>
      </c>
      <c r="F8" s="29" t="n">
        <v>0</v>
      </c>
      <c r="G8" s="30" t="n">
        <v>6</v>
      </c>
      <c r="H8" s="30" t="n">
        <v>1</v>
      </c>
      <c r="I8" s="29" t="n">
        <v>0</v>
      </c>
      <c r="J8" s="30" t="n">
        <v>3</v>
      </c>
      <c r="K8" s="29" t="n">
        <v>0</v>
      </c>
      <c r="L8" s="29" t="n">
        <v>0</v>
      </c>
      <c r="M8" s="29" t="n">
        <v>0</v>
      </c>
      <c r="N8" s="30" t="n">
        <v>5</v>
      </c>
      <c r="O8" s="19">
        <f>SUM(D8:N8)</f>
        <v/>
      </c>
      <c r="P8" s="18">
        <f>O8*C8</f>
        <v/>
      </c>
    </row>
    <row r="9">
      <c r="A9" s="10" t="n">
        <v>5</v>
      </c>
      <c r="B9" s="23" t="inlineStr">
        <is>
          <t>Победа Бисквити Еверест какао без захар 210гр</t>
        </is>
      </c>
      <c r="C9" s="24" t="n">
        <v>1.23</v>
      </c>
      <c r="D9" s="25" t="n">
        <v>0</v>
      </c>
      <c r="E9" s="25" t="n">
        <v>0</v>
      </c>
      <c r="F9" s="25" t="n">
        <v>0</v>
      </c>
      <c r="G9" s="25" t="n">
        <v>0</v>
      </c>
      <c r="H9" s="25" t="n">
        <v>0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0</v>
      </c>
      <c r="N9" s="8" t="n">
        <v>3</v>
      </c>
      <c r="O9" s="19">
        <f>SUM(D9:N9)</f>
        <v/>
      </c>
      <c r="P9" s="18">
        <f>O9*C9</f>
        <v/>
      </c>
    </row>
    <row r="10">
      <c r="A10" s="26" t="n">
        <v>6</v>
      </c>
      <c r="B10" s="27" t="inlineStr">
        <is>
          <t>Победа Бисквити Еверест масло 220гр</t>
        </is>
      </c>
      <c r="C10" s="28" t="n">
        <v>1.15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30" t="n">
        <v>3</v>
      </c>
      <c r="K10" s="29" t="n">
        <v>0</v>
      </c>
      <c r="L10" s="29" t="n">
        <v>0</v>
      </c>
      <c r="M10" s="29" t="n">
        <v>0</v>
      </c>
      <c r="N10" s="30" t="n">
        <v>9</v>
      </c>
      <c r="O10" s="19">
        <f>SUM(D10:N10)</f>
        <v/>
      </c>
      <c r="P10" s="18">
        <f>O10*C10</f>
        <v/>
      </c>
    </row>
    <row r="11">
      <c r="A11" s="10" t="n">
        <v>7</v>
      </c>
      <c r="B11" s="23" t="inlineStr">
        <is>
          <t>Победа Бисквити Еверест мляко 215гр</t>
        </is>
      </c>
      <c r="C11" s="24" t="n">
        <v>1.15</v>
      </c>
      <c r="D11" s="8" t="n">
        <v>1</v>
      </c>
      <c r="E11" s="25" t="n">
        <v>0</v>
      </c>
      <c r="F11" s="8" t="n">
        <v>9</v>
      </c>
      <c r="G11" s="8" t="n">
        <v>1</v>
      </c>
      <c r="H11" s="25" t="n">
        <v>0</v>
      </c>
      <c r="I11" s="8" t="n">
        <v>2</v>
      </c>
      <c r="J11" s="8" t="n">
        <v>1</v>
      </c>
      <c r="K11" s="8" t="n">
        <v>1</v>
      </c>
      <c r="L11" s="8" t="n">
        <v>1</v>
      </c>
      <c r="M11" s="25" t="n">
        <v>0</v>
      </c>
      <c r="N11" s="8" t="n">
        <v>7</v>
      </c>
      <c r="O11" s="19">
        <f>SUM(D11:N11)</f>
        <v/>
      </c>
      <c r="P11" s="18">
        <f>O11*C11</f>
        <v/>
      </c>
    </row>
    <row r="12">
      <c r="A12" s="26" t="n">
        <v>8</v>
      </c>
      <c r="B12" s="27" t="inlineStr">
        <is>
          <t>Победа Бисквити Еверест мляко без захар 210гр</t>
        </is>
      </c>
      <c r="C12" s="28" t="n">
        <v>1.23</v>
      </c>
      <c r="D12" s="29" t="n">
        <v>0</v>
      </c>
      <c r="E12" s="30" t="n">
        <v>1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30" t="n">
        <v>2</v>
      </c>
      <c r="L12" s="29" t="n">
        <v>0</v>
      </c>
      <c r="M12" s="29" t="n">
        <v>0</v>
      </c>
      <c r="N12" s="30" t="n">
        <v>3</v>
      </c>
      <c r="O12" s="19">
        <f>SUM(D12:N12)</f>
        <v/>
      </c>
      <c r="P12" s="18">
        <f>O12*C12</f>
        <v/>
      </c>
    </row>
    <row r="13">
      <c r="A13" s="10" t="n">
        <v>9</v>
      </c>
      <c r="B13" s="23" t="inlineStr">
        <is>
          <t>Победа Бисквити Еверест орехи 215гр</t>
        </is>
      </c>
      <c r="C13" s="24" t="n">
        <v>1.15</v>
      </c>
      <c r="D13" s="8" t="n">
        <v>3</v>
      </c>
      <c r="E13" s="8" t="n">
        <v>2</v>
      </c>
      <c r="F13" s="25" t="n">
        <v>0</v>
      </c>
      <c r="G13" s="25" t="n">
        <v>0</v>
      </c>
      <c r="H13" s="8" t="n">
        <v>2</v>
      </c>
      <c r="I13" s="8" t="n">
        <v>4</v>
      </c>
      <c r="J13" s="8" t="n">
        <v>3</v>
      </c>
      <c r="K13" s="8" t="n">
        <v>1</v>
      </c>
      <c r="L13" s="25" t="n">
        <v>0</v>
      </c>
      <c r="M13" s="25" t="n">
        <v>0</v>
      </c>
      <c r="N13" s="8" t="n">
        <v>5</v>
      </c>
      <c r="O13" s="19">
        <f>SUM(D13:N13)</f>
        <v/>
      </c>
      <c r="P13" s="18">
        <f>O13*C13</f>
        <v/>
      </c>
    </row>
    <row r="14">
      <c r="A14" s="26" t="n">
        <v>10</v>
      </c>
      <c r="B14" s="27" t="inlineStr">
        <is>
          <t>Победа Бисквити Закуска голяма бяла 315гр</t>
        </is>
      </c>
      <c r="C14" s="28" t="n">
        <v>1.32</v>
      </c>
      <c r="D14" s="30" t="n">
        <v>8</v>
      </c>
      <c r="E14" s="29" t="n">
        <v>0</v>
      </c>
      <c r="F14" s="30" t="n">
        <v>16</v>
      </c>
      <c r="G14" s="30" t="n">
        <v>6</v>
      </c>
      <c r="H14" s="30" t="n">
        <v>9</v>
      </c>
      <c r="I14" s="30" t="n">
        <v>3</v>
      </c>
      <c r="J14" s="30" t="n">
        <v>3</v>
      </c>
      <c r="K14" s="30" t="n">
        <v>7</v>
      </c>
      <c r="L14" s="29" t="n">
        <v>0</v>
      </c>
      <c r="M14" s="30" t="n">
        <v>3</v>
      </c>
      <c r="N14" s="30" t="n">
        <v>10</v>
      </c>
      <c r="O14" s="19">
        <f>SUM(D14:N14)</f>
        <v/>
      </c>
      <c r="P14" s="18">
        <f>O14*C14</f>
        <v/>
      </c>
    </row>
    <row r="15">
      <c r="A15" s="10" t="n">
        <v>11</v>
      </c>
      <c r="B15" s="23" t="inlineStr">
        <is>
          <t>Победа Бисквити Закуска какао 290гр</t>
        </is>
      </c>
      <c r="C15" s="24" t="n">
        <v>1.31</v>
      </c>
      <c r="D15" s="25" t="n">
        <v>0</v>
      </c>
      <c r="E15" s="25" t="n">
        <v>0</v>
      </c>
      <c r="F15" s="25" t="n">
        <v>0</v>
      </c>
      <c r="G15" s="8" t="n">
        <v>4</v>
      </c>
      <c r="H15" s="25" t="n">
        <v>0</v>
      </c>
      <c r="I15" s="25" t="n">
        <v>0</v>
      </c>
      <c r="J15" s="25" t="n">
        <v>0</v>
      </c>
      <c r="K15" s="25" t="n">
        <v>0</v>
      </c>
      <c r="L15" s="25" t="n">
        <v>0</v>
      </c>
      <c r="M15" s="8" t="n">
        <v>3</v>
      </c>
      <c r="N15" s="25" t="n">
        <v>0</v>
      </c>
      <c r="O15" s="19">
        <f>SUM(D15:N15)</f>
        <v/>
      </c>
      <c r="P15" s="18">
        <f>O15*C15</f>
        <v/>
      </c>
    </row>
    <row r="16">
      <c r="A16" s="26" t="n">
        <v>12</v>
      </c>
      <c r="B16" s="27" t="inlineStr">
        <is>
          <t>Победа Бисквити Закуска какао 355гр</t>
        </is>
      </c>
      <c r="C16" s="28" t="n">
        <v>1.6</v>
      </c>
      <c r="D16" s="30" t="n">
        <v>4</v>
      </c>
      <c r="E16" s="29" t="n">
        <v>0</v>
      </c>
      <c r="F16" s="30" t="n">
        <v>1</v>
      </c>
      <c r="G16" s="30" t="n">
        <v>4</v>
      </c>
      <c r="H16" s="29" t="n">
        <v>0</v>
      </c>
      <c r="I16" s="30" t="n">
        <v>5</v>
      </c>
      <c r="J16" s="30" t="n">
        <v>3</v>
      </c>
      <c r="K16" s="30" t="n">
        <v>2</v>
      </c>
      <c r="L16" s="29" t="n">
        <v>0</v>
      </c>
      <c r="M16" s="30" t="n">
        <v>2</v>
      </c>
      <c r="N16" s="30" t="n">
        <v>1</v>
      </c>
      <c r="O16" s="19">
        <f>SUM(D16:N16)</f>
        <v/>
      </c>
      <c r="P16" s="18">
        <f>O16*C16</f>
        <v/>
      </c>
    </row>
    <row r="17">
      <c r="A17" s="10" t="n">
        <v>13</v>
      </c>
      <c r="B17" s="23" t="inlineStr">
        <is>
          <t>Победа Бисквити Закуска малка бяла 255гр</t>
        </is>
      </c>
      <c r="C17" s="24" t="n">
        <v>1.15</v>
      </c>
      <c r="D17" s="8" t="n">
        <v>1</v>
      </c>
      <c r="E17" s="8" t="n">
        <v>2</v>
      </c>
      <c r="F17" s="25" t="n">
        <v>0</v>
      </c>
      <c r="G17" s="8" t="n">
        <v>4</v>
      </c>
      <c r="H17" s="25" t="n">
        <v>0</v>
      </c>
      <c r="I17" s="8" t="n">
        <v>1</v>
      </c>
      <c r="J17" s="25" t="n">
        <v>0</v>
      </c>
      <c r="K17" s="25" t="n">
        <v>0</v>
      </c>
      <c r="L17" s="25" t="n">
        <v>0</v>
      </c>
      <c r="M17" s="8" t="n">
        <v>3</v>
      </c>
      <c r="N17" s="8" t="n">
        <v>3</v>
      </c>
      <c r="O17" s="19">
        <f>SUM(D17:N17)</f>
        <v/>
      </c>
      <c r="P17" s="18">
        <f>O17*C17</f>
        <v/>
      </c>
    </row>
    <row r="18">
      <c r="A18" s="26" t="n">
        <v>14</v>
      </c>
      <c r="B18" s="27" t="inlineStr">
        <is>
          <t>Победа Бисквити Руми какао тунквани 155гр</t>
        </is>
      </c>
      <c r="C18" s="28" t="n">
        <v>1.35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30" t="n">
        <v>2</v>
      </c>
      <c r="L18" s="29" t="n">
        <v>0</v>
      </c>
      <c r="M18" s="29" t="n">
        <v>0</v>
      </c>
      <c r="N18" s="30" t="n">
        <v>1</v>
      </c>
      <c r="O18" s="19">
        <f>SUM(D18:N18)</f>
        <v/>
      </c>
      <c r="P18" s="18">
        <f>O18*C18</f>
        <v/>
      </c>
    </row>
    <row r="19">
      <c r="A19" s="10" t="n">
        <v>15</v>
      </c>
      <c r="B19" s="23" t="inlineStr">
        <is>
          <t>Победа Бисквити Руми мляко тунквани 155гр</t>
        </is>
      </c>
      <c r="C19" s="24" t="n">
        <v>1.35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8" t="n">
        <v>1</v>
      </c>
      <c r="L19" s="25" t="n">
        <v>0</v>
      </c>
      <c r="M19" s="25" t="n">
        <v>0</v>
      </c>
      <c r="N19" s="8" t="n">
        <v>3</v>
      </c>
      <c r="O19" s="19">
        <f>SUM(D19:N19)</f>
        <v/>
      </c>
      <c r="P19" s="18">
        <f>O19*C19</f>
        <v/>
      </c>
    </row>
    <row r="20">
      <c r="A20" s="26" t="n">
        <v>16</v>
      </c>
      <c r="B20" s="27" t="inlineStr">
        <is>
          <t>Победа Бисквити Черноморец 120гр</t>
        </is>
      </c>
      <c r="C20" s="28" t="n">
        <v>1.54</v>
      </c>
      <c r="D20" s="30" t="n">
        <v>1</v>
      </c>
      <c r="E20" s="30" t="n">
        <v>2</v>
      </c>
      <c r="F20" s="29" t="n">
        <v>0</v>
      </c>
      <c r="G20" s="29" t="n">
        <v>0</v>
      </c>
      <c r="H20" s="30" t="n">
        <v>11</v>
      </c>
      <c r="I20" s="30" t="n">
        <v>3</v>
      </c>
      <c r="J20" s="29" t="n">
        <v>0</v>
      </c>
      <c r="K20" s="29" t="n">
        <v>0</v>
      </c>
      <c r="L20" s="30" t="n">
        <v>3</v>
      </c>
      <c r="M20" s="30" t="n">
        <v>11</v>
      </c>
      <c r="N20" s="29" t="n">
        <v>0</v>
      </c>
      <c r="O20" s="19">
        <f>SUM(D20:N20)</f>
        <v/>
      </c>
      <c r="P20" s="18">
        <f>O20*C20</f>
        <v/>
      </c>
    </row>
    <row r="21">
      <c r="A21" s="10" t="n">
        <v>17</v>
      </c>
      <c r="B21" s="23" t="inlineStr">
        <is>
          <t>Победа Бисквити за торта 400гр</t>
        </is>
      </c>
      <c r="C21" s="24" t="n">
        <v>1.84</v>
      </c>
      <c r="D21" s="25" t="n">
        <v>0</v>
      </c>
      <c r="E21" s="25" t="n">
        <v>0</v>
      </c>
      <c r="F21" s="25" t="n">
        <v>0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0</v>
      </c>
      <c r="N21" s="25" t="n">
        <v>0</v>
      </c>
      <c r="O21" s="19">
        <f>SUM(D21:N21)</f>
        <v/>
      </c>
      <c r="P21" s="18">
        <f>O21*C21</f>
        <v/>
      </c>
    </row>
    <row r="22">
      <c r="A22" s="26" t="n">
        <v>18</v>
      </c>
      <c r="B22" s="27" t="inlineStr">
        <is>
          <t>Победа Бисквитиера Selection 305гр</t>
        </is>
      </c>
      <c r="C22" s="28" t="n">
        <v>3.93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30" t="n">
        <v>4</v>
      </c>
      <c r="O22" s="19">
        <f>SUM(D22:N22)</f>
        <v/>
      </c>
      <c r="P22" s="18">
        <f>O22*C22</f>
        <v/>
      </c>
    </row>
    <row r="23">
      <c r="A23" s="10" t="n">
        <v>19</v>
      </c>
      <c r="B23" s="23" t="inlineStr">
        <is>
          <t>Победа Бонбони Черноморец 172гр</t>
        </is>
      </c>
      <c r="C23" s="24" t="n">
        <v>2.5</v>
      </c>
      <c r="D23" s="8" t="n">
        <v>5</v>
      </c>
      <c r="E23" s="25" t="n">
        <v>0</v>
      </c>
      <c r="F23" s="8" t="n">
        <v>13</v>
      </c>
      <c r="G23" s="8" t="n">
        <v>17</v>
      </c>
      <c r="H23" s="8" t="n">
        <v>12</v>
      </c>
      <c r="I23" s="8" t="n">
        <v>4</v>
      </c>
      <c r="J23" s="8" t="n">
        <v>7</v>
      </c>
      <c r="K23" s="8" t="n">
        <v>5</v>
      </c>
      <c r="L23" s="8" t="n">
        <v>5</v>
      </c>
      <c r="M23" s="8" t="n">
        <v>6</v>
      </c>
      <c r="N23" s="8" t="n">
        <v>14</v>
      </c>
      <c r="O23" s="19">
        <f>SUM(D23:N23)</f>
        <v/>
      </c>
      <c r="P23" s="18">
        <f>O23*C23</f>
        <v/>
      </c>
    </row>
    <row r="24">
      <c r="A24" s="26" t="n">
        <v>20</v>
      </c>
      <c r="B24" s="27" t="inlineStr">
        <is>
          <t>Победа Бонбони Черноморец 94гр</t>
        </is>
      </c>
      <c r="C24" s="28" t="n">
        <v>1.39</v>
      </c>
      <c r="D24" s="30" t="n">
        <v>3</v>
      </c>
      <c r="E24" s="29" t="n">
        <v>0</v>
      </c>
      <c r="F24" s="30" t="n">
        <v>9</v>
      </c>
      <c r="G24" s="30" t="n">
        <v>3</v>
      </c>
      <c r="H24" s="30" t="n">
        <v>2</v>
      </c>
      <c r="I24" s="30" t="n">
        <v>3</v>
      </c>
      <c r="J24" s="30" t="n">
        <v>4</v>
      </c>
      <c r="K24" s="29" t="n">
        <v>0</v>
      </c>
      <c r="L24" s="30" t="n">
        <v>1</v>
      </c>
      <c r="M24" s="30" t="n">
        <v>8</v>
      </c>
      <c r="N24" s="30" t="n">
        <v>14</v>
      </c>
      <c r="O24" s="19">
        <f>SUM(D24:N24)</f>
        <v/>
      </c>
      <c r="P24" s="18">
        <f>O24*C24</f>
        <v/>
      </c>
    </row>
    <row r="25">
      <c r="A25" s="10" t="n">
        <v>21</v>
      </c>
      <c r="B25" s="23" t="inlineStr">
        <is>
          <t>Победа Вафлен десерт Черноморец 75гр</t>
        </is>
      </c>
      <c r="C25" s="24" t="n">
        <v>0.52</v>
      </c>
      <c r="D25" s="25" t="n">
        <v>0</v>
      </c>
      <c r="E25" s="8" t="n">
        <v>6</v>
      </c>
      <c r="F25" s="8" t="n">
        <v>30</v>
      </c>
      <c r="G25" s="8" t="n">
        <v>14</v>
      </c>
      <c r="H25" s="8" t="n">
        <v>1</v>
      </c>
      <c r="I25" s="25" t="n">
        <v>0</v>
      </c>
      <c r="J25" s="8" t="n">
        <v>9</v>
      </c>
      <c r="K25" s="25" t="n">
        <v>0</v>
      </c>
      <c r="L25" s="8" t="n">
        <v>3</v>
      </c>
      <c r="M25" s="8" t="n">
        <v>1</v>
      </c>
      <c r="N25" s="8" t="n">
        <v>20</v>
      </c>
      <c r="O25" s="19">
        <f>SUM(D25:N25)</f>
        <v/>
      </c>
      <c r="P25" s="18">
        <f>O25*C25</f>
        <v/>
      </c>
    </row>
    <row r="26">
      <c r="A26" s="26" t="n">
        <v>22</v>
      </c>
      <c r="B26" s="27" t="inlineStr">
        <is>
          <t>Победа Кекс Couple cake фемили 200гр</t>
        </is>
      </c>
      <c r="C26" s="28" t="n">
        <v>2.08</v>
      </c>
      <c r="D26" s="30" t="n">
        <v>1</v>
      </c>
      <c r="E26" s="29" t="n">
        <v>0</v>
      </c>
      <c r="F26" s="29" t="n">
        <v>0</v>
      </c>
      <c r="G26" s="30" t="n">
        <v>3</v>
      </c>
      <c r="H26" s="29" t="n">
        <v>0</v>
      </c>
      <c r="I26" s="29" t="n">
        <v>0</v>
      </c>
      <c r="J26" s="29" t="n">
        <v>0</v>
      </c>
      <c r="K26" s="29" t="n">
        <v>0</v>
      </c>
      <c r="L26" s="29" t="n">
        <v>0</v>
      </c>
      <c r="M26" s="30" t="n">
        <v>4</v>
      </c>
      <c r="N26" s="30" t="n">
        <v>12</v>
      </c>
      <c r="O26" s="19">
        <f>SUM(D26:N26)</f>
        <v/>
      </c>
      <c r="P26" s="18">
        <f>O26*C26</f>
        <v/>
      </c>
    </row>
    <row r="27">
      <c r="A27" s="10" t="n">
        <v>23</v>
      </c>
      <c r="B27" s="23" t="inlineStr">
        <is>
          <t>Победа Навона с какаов крем 200гр.</t>
        </is>
      </c>
      <c r="C27" s="24" t="n">
        <v>1.43</v>
      </c>
      <c r="D27" s="25" t="n">
        <v>0</v>
      </c>
      <c r="E27" s="25" t="n">
        <v>0</v>
      </c>
      <c r="F27" s="25" t="n">
        <v>0</v>
      </c>
      <c r="G27" s="8" t="n">
        <v>3</v>
      </c>
      <c r="H27" s="25" t="n">
        <v>0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0</v>
      </c>
      <c r="N27" s="25" t="n">
        <v>0</v>
      </c>
      <c r="O27" s="19">
        <f>SUM(D27:N27)</f>
        <v/>
      </c>
      <c r="P27" s="18">
        <f>O27*C27</f>
        <v/>
      </c>
    </row>
    <row r="28">
      <c r="A28" s="26" t="n">
        <v>24</v>
      </c>
      <c r="B28" s="27" t="inlineStr">
        <is>
          <t>Победа Навона с фъстъчен крем 200гр</t>
        </is>
      </c>
      <c r="C28" s="28" t="n">
        <v>1.43</v>
      </c>
      <c r="D28" s="30" t="n">
        <v>1</v>
      </c>
      <c r="E28" s="30" t="n">
        <v>2</v>
      </c>
      <c r="F28" s="30" t="n">
        <v>13</v>
      </c>
      <c r="G28" s="30" t="n">
        <v>12</v>
      </c>
      <c r="H28" s="29" t="n">
        <v>0</v>
      </c>
      <c r="I28" s="30" t="n">
        <v>1</v>
      </c>
      <c r="J28" s="29" t="n">
        <v>0</v>
      </c>
      <c r="K28" s="30" t="n">
        <v>10</v>
      </c>
      <c r="L28" s="30" t="n">
        <v>4</v>
      </c>
      <c r="M28" s="30" t="n">
        <v>6</v>
      </c>
      <c r="N28" s="30" t="n">
        <v>3</v>
      </c>
      <c r="O28" s="19">
        <f>SUM(D28:N28)</f>
        <v/>
      </c>
      <c r="P28" s="18">
        <f>O28*C28</f>
        <v/>
      </c>
    </row>
    <row r="29">
      <c r="A29" s="10" t="n">
        <v>25</v>
      </c>
      <c r="B29" s="23" t="inlineStr">
        <is>
          <t>Победа Обикновени бисквити Изгрев 120гр</t>
        </is>
      </c>
      <c r="C29" s="24" t="n">
        <v>0.58</v>
      </c>
      <c r="D29" s="25" t="n">
        <v>0</v>
      </c>
      <c r="E29" s="8" t="n">
        <v>1</v>
      </c>
      <c r="F29" s="25" t="n">
        <v>0</v>
      </c>
      <c r="G29" s="25" t="n">
        <v>0</v>
      </c>
      <c r="H29" s="25" t="n">
        <v>0</v>
      </c>
      <c r="I29" s="25" t="n">
        <v>0</v>
      </c>
      <c r="J29" s="8" t="n">
        <v>7</v>
      </c>
      <c r="K29" s="8" t="n">
        <v>8</v>
      </c>
      <c r="L29" s="25" t="n">
        <v>0</v>
      </c>
      <c r="M29" s="25" t="n">
        <v>0</v>
      </c>
      <c r="N29" s="25" t="n">
        <v>0</v>
      </c>
      <c r="O29" s="19">
        <f>SUM(D29:N29)</f>
        <v/>
      </c>
      <c r="P29" s="18">
        <f>O29*C29</f>
        <v/>
      </c>
    </row>
    <row r="30">
      <c r="A30" s="26" t="n">
        <v>26</v>
      </c>
      <c r="B30" s="27" t="inlineStr">
        <is>
          <t>Победа Обикновени бисквити Изгрев 182гр</t>
        </is>
      </c>
      <c r="C30" s="28" t="n">
        <v>0.83</v>
      </c>
      <c r="D30" s="29" t="n">
        <v>0</v>
      </c>
      <c r="E30" s="30" t="n">
        <v>1</v>
      </c>
      <c r="F30" s="30" t="n">
        <v>4</v>
      </c>
      <c r="G30" s="29" t="n">
        <v>0</v>
      </c>
      <c r="H30" s="29" t="n">
        <v>0</v>
      </c>
      <c r="I30" s="29" t="n">
        <v>0</v>
      </c>
      <c r="J30" s="30" t="n">
        <v>2</v>
      </c>
      <c r="K30" s="29" t="n">
        <v>0</v>
      </c>
      <c r="L30" s="29" t="n">
        <v>0</v>
      </c>
      <c r="M30" s="29" t="n">
        <v>0</v>
      </c>
      <c r="N30" s="29" t="n">
        <v>0</v>
      </c>
      <c r="O30" s="19">
        <f>SUM(D30:N30)</f>
        <v/>
      </c>
      <c r="P30" s="18">
        <f>O30*C30</f>
        <v/>
      </c>
    </row>
    <row r="31">
      <c r="A31" s="10" t="n">
        <v>27</v>
      </c>
      <c r="B31" s="23" t="inlineStr">
        <is>
          <t>Победа Обикновени вафли Черноморец 105гр</t>
        </is>
      </c>
      <c r="C31" s="24" t="n">
        <v>0.53</v>
      </c>
      <c r="D31" s="25" t="n">
        <v>0</v>
      </c>
      <c r="E31" s="25" t="n">
        <v>0</v>
      </c>
      <c r="F31" s="25" t="n">
        <v>0</v>
      </c>
      <c r="G31" s="8" t="n">
        <v>3</v>
      </c>
      <c r="H31" s="8" t="n">
        <v>7</v>
      </c>
      <c r="I31" s="8" t="n">
        <v>3</v>
      </c>
      <c r="J31" s="8" t="n">
        <v>5</v>
      </c>
      <c r="K31" s="25" t="n">
        <v>0</v>
      </c>
      <c r="L31" s="25" t="n">
        <v>0</v>
      </c>
      <c r="M31" s="25" t="n">
        <v>0</v>
      </c>
      <c r="N31" s="8" t="n">
        <v>12</v>
      </c>
      <c r="O31" s="19">
        <f>SUM(D31:N31)</f>
        <v/>
      </c>
      <c r="P31" s="18">
        <f>O31*C31</f>
        <v/>
      </c>
    </row>
    <row r="32">
      <c r="A32" s="26" t="n">
        <v>28</v>
      </c>
      <c r="B32" s="27" t="inlineStr">
        <is>
          <t>Победа Обикновени вафли Черноморец 210гр</t>
        </is>
      </c>
      <c r="C32" s="28" t="n">
        <v>1.12</v>
      </c>
      <c r="D32" s="29" t="n">
        <v>0</v>
      </c>
      <c r="E32" s="30" t="n">
        <v>1</v>
      </c>
      <c r="F32" s="30" t="n">
        <v>6</v>
      </c>
      <c r="G32" s="30" t="n">
        <v>4</v>
      </c>
      <c r="H32" s="30" t="n">
        <v>2</v>
      </c>
      <c r="I32" s="30" t="n">
        <v>1</v>
      </c>
      <c r="J32" s="30" t="n">
        <v>7</v>
      </c>
      <c r="K32" s="29" t="n">
        <v>0</v>
      </c>
      <c r="L32" s="29" t="n">
        <v>0</v>
      </c>
      <c r="M32" s="30" t="n">
        <v>1</v>
      </c>
      <c r="N32" s="29" t="n">
        <v>0</v>
      </c>
      <c r="O32" s="19">
        <f>SUM(D32:N32)</f>
        <v/>
      </c>
      <c r="P32" s="18">
        <f>O32*C32</f>
        <v/>
      </c>
    </row>
    <row r="33">
      <c r="A33" s="10" t="n">
        <v>29</v>
      </c>
      <c r="B33" s="23" t="inlineStr">
        <is>
          <t>Победа Обикновени вафли Черноморец 420гр</t>
        </is>
      </c>
      <c r="C33" s="24" t="n">
        <v>2.24</v>
      </c>
      <c r="D33" s="25" t="n">
        <v>0</v>
      </c>
      <c r="E33" s="25" t="n">
        <v>0</v>
      </c>
      <c r="F33" s="25" t="n">
        <v>0</v>
      </c>
      <c r="G33" s="8" t="n">
        <v>4</v>
      </c>
      <c r="H33" s="25" t="n">
        <v>0</v>
      </c>
      <c r="I33" s="8" t="n">
        <v>2</v>
      </c>
      <c r="J33" s="8" t="n">
        <v>4</v>
      </c>
      <c r="K33" s="8" t="n">
        <v>4</v>
      </c>
      <c r="L33" s="25" t="n">
        <v>0</v>
      </c>
      <c r="M33" s="25" t="n">
        <v>0</v>
      </c>
      <c r="N33" s="8" t="n">
        <v>3</v>
      </c>
      <c r="O33" s="19">
        <f>SUM(D33:N33)</f>
        <v/>
      </c>
      <c r="P33" s="18">
        <f>O33*C33</f>
        <v/>
      </c>
    </row>
    <row r="34">
      <c r="A34" s="26" t="n">
        <v>30</v>
      </c>
      <c r="B34" s="27" t="inlineStr">
        <is>
          <t>Победа Обикновени вафли Черноморец какао и кокос 196гр</t>
        </is>
      </c>
      <c r="C34" s="28" t="n">
        <v>1.12</v>
      </c>
      <c r="D34" s="29" t="n">
        <v>0</v>
      </c>
      <c r="E34" s="30" t="n">
        <v>1</v>
      </c>
      <c r="F34" s="30" t="n">
        <v>1</v>
      </c>
      <c r="G34" s="30" t="n">
        <v>3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30" t="n">
        <v>1</v>
      </c>
      <c r="N34" s="30" t="n">
        <v>2</v>
      </c>
      <c r="O34" s="19">
        <f>SUM(D34:N34)</f>
        <v/>
      </c>
      <c r="P34" s="18">
        <f>O34*C34</f>
        <v/>
      </c>
    </row>
    <row r="35">
      <c r="A35" s="10" t="n">
        <v>31</v>
      </c>
      <c r="B35" s="23" t="inlineStr">
        <is>
          <t>Победа Обикновени вафли Черноморец какао и кокос 98гр</t>
        </is>
      </c>
      <c r="C35" s="24" t="n">
        <v>0.53</v>
      </c>
      <c r="D35" s="25" t="n">
        <v>0</v>
      </c>
      <c r="E35" s="25" t="n">
        <v>0</v>
      </c>
      <c r="F35" s="25" t="n">
        <v>0</v>
      </c>
      <c r="G35" s="8" t="n">
        <v>4</v>
      </c>
      <c r="H35" s="25" t="n">
        <v>0</v>
      </c>
      <c r="I35" s="8" t="n">
        <v>1</v>
      </c>
      <c r="J35" s="25" t="n">
        <v>0</v>
      </c>
      <c r="K35" s="25" t="n">
        <v>0</v>
      </c>
      <c r="L35" s="25" t="n">
        <v>0</v>
      </c>
      <c r="M35" s="8" t="n">
        <v>3</v>
      </c>
      <c r="N35" s="8" t="n">
        <v>9</v>
      </c>
      <c r="O35" s="19">
        <f>SUM(D35:N35)</f>
        <v/>
      </c>
      <c r="P35" s="18">
        <f>O35*C35</f>
        <v/>
      </c>
    </row>
    <row r="36">
      <c r="A36" s="26" t="n">
        <v>32</v>
      </c>
      <c r="B36" s="27" t="inlineStr">
        <is>
          <t>Победа Суха паста  Черноморец 70гр</t>
        </is>
      </c>
      <c r="C36" s="28" t="n">
        <v>0.41</v>
      </c>
      <c r="D36" s="29" t="n">
        <v>0</v>
      </c>
      <c r="E36" s="30" t="n">
        <v>31</v>
      </c>
      <c r="F36" s="30" t="n">
        <v>2</v>
      </c>
      <c r="G36" s="30" t="n">
        <v>8</v>
      </c>
      <c r="H36" s="30" t="n">
        <v>12</v>
      </c>
      <c r="I36" s="29" t="n">
        <v>0</v>
      </c>
      <c r="J36" s="29" t="n">
        <v>0</v>
      </c>
      <c r="K36" s="30" t="n">
        <v>5</v>
      </c>
      <c r="L36" s="29" t="n">
        <v>0</v>
      </c>
      <c r="M36" s="29" t="n">
        <v>0</v>
      </c>
      <c r="N36" s="30" t="n">
        <v>23</v>
      </c>
      <c r="O36" s="19">
        <f>SUM(D36:N36)</f>
        <v/>
      </c>
      <c r="P36" s="18">
        <f>O36*C36</f>
        <v/>
      </c>
    </row>
    <row r="37">
      <c r="A37" s="10" t="n">
        <v>33</v>
      </c>
      <c r="B37" s="23" t="inlineStr">
        <is>
          <t>Победа вафли Черноморец 48гр</t>
        </is>
      </c>
      <c r="C37" s="24" t="n">
        <v>0.32</v>
      </c>
      <c r="D37" s="25" t="n">
        <v>0</v>
      </c>
      <c r="E37" s="25" t="n">
        <v>0</v>
      </c>
      <c r="F37" s="8" t="n">
        <v>11</v>
      </c>
      <c r="G37" s="8" t="n">
        <v>29</v>
      </c>
      <c r="H37" s="25" t="n">
        <v>0</v>
      </c>
      <c r="I37" s="25" t="n">
        <v>0</v>
      </c>
      <c r="J37" s="25" t="n">
        <v>0</v>
      </c>
      <c r="K37" s="25" t="n">
        <v>0</v>
      </c>
      <c r="L37" s="25" t="n">
        <v>0</v>
      </c>
      <c r="M37" s="8" t="n">
        <v>1</v>
      </c>
      <c r="N37" s="8" t="n">
        <v>8</v>
      </c>
      <c r="O37" s="19">
        <f>SUM(D37:N37)</f>
        <v/>
      </c>
      <c r="P37" s="18">
        <f>O37*C37</f>
        <v/>
      </c>
    </row>
    <row r="38">
      <c r="A38" s="13" t="inlineStr"/>
      <c r="B38" s="13" t="inlineStr">
        <is>
          <t>ОБЩО КОЛИЧЕСТВО (бр.)</t>
        </is>
      </c>
      <c r="C38" s="16" t="inlineStr">
        <is>
          <t>-</t>
        </is>
      </c>
      <c r="D38" s="15">
        <f>SUM(D5:D37)</f>
        <v/>
      </c>
      <c r="E38" s="15">
        <f>SUM(E5:E37)</f>
        <v/>
      </c>
      <c r="F38" s="15">
        <f>SUM(F5:F37)</f>
        <v/>
      </c>
      <c r="G38" s="15">
        <f>SUM(G5:G37)</f>
        <v/>
      </c>
      <c r="H38" s="15">
        <f>SUM(H5:H37)</f>
        <v/>
      </c>
      <c r="I38" s="15">
        <f>SUM(I5:I37)</f>
        <v/>
      </c>
      <c r="J38" s="15">
        <f>SUM(J5:J37)</f>
        <v/>
      </c>
      <c r="K38" s="15">
        <f>SUM(K5:K37)</f>
        <v/>
      </c>
      <c r="L38" s="15">
        <f>SUM(L5:L37)</f>
        <v/>
      </c>
      <c r="M38" s="15">
        <f>SUM(M5:M37)</f>
        <v/>
      </c>
      <c r="N38" s="15">
        <f>SUM(N5:N37)</f>
        <v/>
      </c>
      <c r="O38" s="15">
        <f>SUM(O5:O37)</f>
        <v/>
      </c>
      <c r="P38" s="14">
        <f>SUM(P5:P37)</f>
        <v/>
      </c>
    </row>
    <row r="39">
      <c r="A39" s="13" t="inlineStr"/>
      <c r="B39" s="13" t="inlineStr">
        <is>
          <t>ОБЩА СТОЙНОСТ (€)</t>
        </is>
      </c>
      <c r="C39" s="16" t="inlineStr">
        <is>
          <t>-</t>
        </is>
      </c>
      <c r="D39" s="14">
        <f>SUMPRODUCT($C$5:$C$37, D$5:D$37)</f>
        <v/>
      </c>
      <c r="E39" s="14">
        <f>SUMPRODUCT($C$5:$C$37, E$5:E$37)</f>
        <v/>
      </c>
      <c r="F39" s="14">
        <f>SUMPRODUCT($C$5:$C$37, F$5:F$37)</f>
        <v/>
      </c>
      <c r="G39" s="14">
        <f>SUMPRODUCT($C$5:$C$37, G$5:G$37)</f>
        <v/>
      </c>
      <c r="H39" s="14">
        <f>SUMPRODUCT($C$5:$C$37, H$5:H$37)</f>
        <v/>
      </c>
      <c r="I39" s="14">
        <f>SUMPRODUCT($C$5:$C$37, I$5:I$37)</f>
        <v/>
      </c>
      <c r="J39" s="14">
        <f>SUMPRODUCT($C$5:$C$37, J$5:J$37)</f>
        <v/>
      </c>
      <c r="K39" s="14">
        <f>SUMPRODUCT($C$5:$C$37, K$5:K$37)</f>
        <v/>
      </c>
      <c r="L39" s="14">
        <f>SUMPRODUCT($C$5:$C$37, L$5:L$37)</f>
        <v/>
      </c>
      <c r="M39" s="14">
        <f>SUMPRODUCT($C$5:$C$37, M$5:M$37)</f>
        <v/>
      </c>
      <c r="N39" s="14">
        <f>SUMPRODUCT($C$5:$C$37, N$5:N$37)</f>
        <v/>
      </c>
      <c r="O39" s="16" t="inlineStr">
        <is>
          <t>-</t>
        </is>
      </c>
      <c r="P39" s="14">
        <f>P38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21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2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1" customWidth="1" min="16" max="16"/>
  </cols>
  <sheetData>
    <row r="1">
      <c r="A1" s="1" t="inlineStr">
        <is>
          <t>ЗАЯВКА ПО ОБЕКТИ: ИТАЛ ФУУДС</t>
        </is>
      </c>
    </row>
    <row r="2">
      <c r="A2" s="2" t="inlineStr">
        <is>
          <t>Целева стойност: 2,000.00 € | Изчислена: 1,997.53 € | Покритие: 1.92 мес.</t>
        </is>
      </c>
    </row>
    <row r="3"/>
    <row r="4" ht="28" customHeight="1">
      <c r="A4" s="4" t="inlineStr">
        <is>
          <t>№</t>
        </is>
      </c>
      <c r="B4" s="4" t="inlineStr">
        <is>
          <t>Артикул / Номенклатура</t>
        </is>
      </c>
      <c r="C4" s="4" t="inlineStr">
        <is>
          <t>Доставна цена (€)</t>
        </is>
      </c>
      <c r="D4" s="4" t="inlineStr">
        <is>
          <t>АРСЕНАЛСКИ</t>
        </is>
      </c>
      <c r="E4" s="4" t="inlineStr">
        <is>
          <t>БАНКЯ</t>
        </is>
      </c>
      <c r="F4" s="4" t="inlineStr">
        <is>
          <t>ВЕЛЧО АТАНАСОВ</t>
        </is>
      </c>
      <c r="G4" s="4" t="inlineStr">
        <is>
          <t>ЛОЗЕНЕЦ</t>
        </is>
      </c>
      <c r="H4" s="4" t="inlineStr">
        <is>
          <t>ЛЮЛИН 7</t>
        </is>
      </c>
      <c r="I4" s="4" t="inlineStr">
        <is>
          <t>МАНАСТИРСКИ ЛИВАДИ</t>
        </is>
      </c>
      <c r="J4" s="4" t="inlineStr">
        <is>
          <t>НАДЕЖДА</t>
        </is>
      </c>
      <c r="K4" s="4" t="inlineStr">
        <is>
          <t>ОБЕЛЯ 2</t>
        </is>
      </c>
      <c r="L4" s="4" t="inlineStr">
        <is>
          <t>РЕДУТА</t>
        </is>
      </c>
      <c r="M4" s="4" t="inlineStr">
        <is>
          <t>СВОБОДА</t>
        </is>
      </c>
      <c r="N4" s="4" t="inlineStr">
        <is>
          <t>ХАЛИ ОКРЪЖНА</t>
        </is>
      </c>
      <c r="O4" s="4" t="inlineStr">
        <is>
          <t>ОБЩО (бр.)</t>
        </is>
      </c>
      <c r="P4" s="4" t="inlineStr">
        <is>
          <t>ОБЩА СТОЙНОСТ (€)</t>
        </is>
      </c>
    </row>
    <row r="5">
      <c r="A5" s="10" t="n">
        <v>1</v>
      </c>
      <c r="B5" s="23" t="inlineStr">
        <is>
          <t>Брускети Маретти 140гр</t>
        </is>
      </c>
      <c r="C5" s="24" t="n">
        <v>1.01</v>
      </c>
      <c r="D5" s="8" t="n">
        <v>90</v>
      </c>
      <c r="E5" s="8" t="n">
        <v>33</v>
      </c>
      <c r="F5" s="8" t="n">
        <v>57</v>
      </c>
      <c r="G5" s="8" t="n">
        <v>15</v>
      </c>
      <c r="H5" s="8" t="n">
        <v>55</v>
      </c>
      <c r="I5" s="8" t="n">
        <v>15</v>
      </c>
      <c r="J5" s="8" t="n">
        <v>65</v>
      </c>
      <c r="K5" s="8" t="n">
        <v>5</v>
      </c>
      <c r="L5" s="8" t="n">
        <v>4</v>
      </c>
      <c r="M5" s="8" t="n">
        <v>5</v>
      </c>
      <c r="N5" s="8" t="n">
        <v>116</v>
      </c>
      <c r="O5" s="19">
        <f>SUM(D5:N5)</f>
        <v/>
      </c>
      <c r="P5" s="18">
        <f>O5*C5</f>
        <v/>
      </c>
    </row>
    <row r="6">
      <c r="A6" s="26" t="n">
        <v>2</v>
      </c>
      <c r="B6" s="27" t="inlineStr">
        <is>
          <t>Брускети Маретти 70гр</t>
        </is>
      </c>
      <c r="C6" s="28" t="n">
        <v>0.61</v>
      </c>
      <c r="D6" s="30" t="n">
        <v>107</v>
      </c>
      <c r="E6" s="30" t="n">
        <v>74</v>
      </c>
      <c r="F6" s="30" t="n">
        <v>22</v>
      </c>
      <c r="G6" s="30" t="n">
        <v>69</v>
      </c>
      <c r="H6" s="30" t="n">
        <v>139</v>
      </c>
      <c r="I6" s="30" t="n">
        <v>39</v>
      </c>
      <c r="J6" s="30" t="n">
        <v>80</v>
      </c>
      <c r="K6" s="30" t="n">
        <v>115</v>
      </c>
      <c r="L6" s="30" t="n">
        <v>19</v>
      </c>
      <c r="M6" s="30" t="n">
        <v>52</v>
      </c>
      <c r="N6" s="30" t="n">
        <v>34</v>
      </c>
      <c r="O6" s="19">
        <f>SUM(D6:N6)</f>
        <v/>
      </c>
      <c r="P6" s="18">
        <f>O6*C6</f>
        <v/>
      </c>
    </row>
    <row r="7">
      <c r="A7" s="10" t="n">
        <v>3</v>
      </c>
      <c r="B7" s="23" t="inlineStr">
        <is>
          <t>Кубети 35гр</t>
        </is>
      </c>
      <c r="C7" s="24" t="n">
        <v>0.28</v>
      </c>
      <c r="D7" s="8" t="n">
        <v>19</v>
      </c>
      <c r="E7" s="25" t="n">
        <v>0</v>
      </c>
      <c r="F7" s="8" t="n">
        <v>3</v>
      </c>
      <c r="G7" s="8" t="n">
        <v>66</v>
      </c>
      <c r="H7" s="8" t="n">
        <v>48</v>
      </c>
      <c r="I7" s="8" t="n">
        <v>2</v>
      </c>
      <c r="J7" s="8" t="n">
        <v>21</v>
      </c>
      <c r="K7" s="8" t="n">
        <v>123</v>
      </c>
      <c r="L7" s="25" t="n">
        <v>0</v>
      </c>
      <c r="M7" s="8" t="n">
        <v>67</v>
      </c>
      <c r="N7" s="8" t="n">
        <v>61</v>
      </c>
      <c r="O7" s="19">
        <f>SUM(D7:N7)</f>
        <v/>
      </c>
      <c r="P7" s="18">
        <f>O7*C7</f>
        <v/>
      </c>
    </row>
    <row r="8">
      <c r="A8" s="26" t="n">
        <v>4</v>
      </c>
      <c r="B8" s="27" t="inlineStr">
        <is>
          <t>Кубети 60гр</t>
        </is>
      </c>
      <c r="C8" s="28" t="n">
        <v>0.54</v>
      </c>
      <c r="D8" s="29" t="n">
        <v>0</v>
      </c>
      <c r="E8" s="30" t="n">
        <v>21</v>
      </c>
      <c r="F8" s="30" t="n">
        <v>2</v>
      </c>
      <c r="G8" s="30" t="n">
        <v>10</v>
      </c>
      <c r="H8" s="30" t="n">
        <v>42</v>
      </c>
      <c r="I8" s="29" t="n">
        <v>0</v>
      </c>
      <c r="J8" s="29" t="n">
        <v>0</v>
      </c>
      <c r="K8" s="30" t="n">
        <v>63</v>
      </c>
      <c r="L8" s="30" t="n">
        <v>9</v>
      </c>
      <c r="M8" s="29" t="n">
        <v>0</v>
      </c>
      <c r="N8" s="29" t="n">
        <v>0</v>
      </c>
      <c r="O8" s="19">
        <f>SUM(D8:N8)</f>
        <v/>
      </c>
      <c r="P8" s="18">
        <f>O8*C8</f>
        <v/>
      </c>
    </row>
    <row r="9">
      <c r="A9" s="10" t="n">
        <v>5</v>
      </c>
      <c r="B9" s="23" t="inlineStr">
        <is>
          <t>Кубети Мега стикс 50гр.</t>
        </is>
      </c>
      <c r="C9" s="24" t="n">
        <v>0.74</v>
      </c>
      <c r="D9" s="8" t="n">
        <v>22</v>
      </c>
      <c r="E9" s="8" t="n">
        <v>4</v>
      </c>
      <c r="F9" s="8" t="n">
        <v>26</v>
      </c>
      <c r="G9" s="8" t="n">
        <v>6</v>
      </c>
      <c r="H9" s="8" t="n">
        <v>11</v>
      </c>
      <c r="I9" s="8" t="n">
        <v>20</v>
      </c>
      <c r="J9" s="8" t="n">
        <v>21</v>
      </c>
      <c r="K9" s="8" t="n">
        <v>126</v>
      </c>
      <c r="L9" s="25" t="n">
        <v>0</v>
      </c>
      <c r="M9" s="8" t="n">
        <v>12</v>
      </c>
      <c r="N9" s="8" t="n">
        <v>7</v>
      </c>
      <c r="O9" s="19">
        <f>SUM(D9:N9)</f>
        <v/>
      </c>
      <c r="P9" s="18">
        <f>O9*C9</f>
        <v/>
      </c>
    </row>
    <row r="10">
      <c r="A10" s="26" t="n">
        <v>6</v>
      </c>
      <c r="B10" s="27" t="inlineStr">
        <is>
          <t>Кубети Мистър стикс 125гр.</t>
        </is>
      </c>
      <c r="C10" s="28" t="n">
        <v>1.47</v>
      </c>
      <c r="D10" s="29" t="n">
        <v>0</v>
      </c>
      <c r="E10" s="30" t="n">
        <v>6</v>
      </c>
      <c r="F10" s="30" t="n">
        <v>1</v>
      </c>
      <c r="G10" s="30" t="n">
        <v>8</v>
      </c>
      <c r="H10" s="30" t="n">
        <v>5</v>
      </c>
      <c r="I10" s="30" t="n">
        <v>1</v>
      </c>
      <c r="J10" s="30" t="n">
        <v>25</v>
      </c>
      <c r="K10" s="30" t="n">
        <v>15</v>
      </c>
      <c r="L10" s="30" t="n">
        <v>2</v>
      </c>
      <c r="M10" s="30" t="n">
        <v>38</v>
      </c>
      <c r="N10" s="29" t="n">
        <v>0</v>
      </c>
      <c r="O10" s="19">
        <f>SUM(D10:N10)</f>
        <v/>
      </c>
      <c r="P10" s="18">
        <f>O10*C10</f>
        <v/>
      </c>
    </row>
    <row r="11">
      <c r="A11" s="10" t="n">
        <v>7</v>
      </c>
      <c r="B11" s="23" t="inlineStr">
        <is>
          <t>Оризов кейк Livity 100гр</t>
        </is>
      </c>
      <c r="C11" s="24" t="n">
        <v>0.6899999999999999</v>
      </c>
      <c r="D11" s="25" t="n">
        <v>0</v>
      </c>
      <c r="E11" s="8" t="n">
        <v>15</v>
      </c>
      <c r="F11" s="25" t="n">
        <v>0</v>
      </c>
      <c r="G11" s="8" t="n">
        <v>4</v>
      </c>
      <c r="H11" s="25" t="n">
        <v>0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  <c r="N11" s="8" t="n">
        <v>5</v>
      </c>
      <c r="O11" s="19">
        <f>SUM(D11:N11)</f>
        <v/>
      </c>
      <c r="P11" s="18">
        <f>O11*C11</f>
        <v/>
      </c>
    </row>
    <row r="12">
      <c r="A12" s="26" t="n">
        <v>8</v>
      </c>
      <c r="B12" s="27" t="inlineStr">
        <is>
          <t>Оризов чипс Livity 60гр</t>
        </is>
      </c>
      <c r="C12" s="28" t="n">
        <v>0.75</v>
      </c>
      <c r="D12" s="30" t="n">
        <v>9</v>
      </c>
      <c r="E12" s="29" t="n">
        <v>0</v>
      </c>
      <c r="F12" s="30" t="n">
        <v>36</v>
      </c>
      <c r="G12" s="30" t="n">
        <v>46</v>
      </c>
      <c r="H12" s="29" t="n">
        <v>0</v>
      </c>
      <c r="I12" s="29" t="n">
        <v>0</v>
      </c>
      <c r="J12" s="29" t="n">
        <v>0</v>
      </c>
      <c r="K12" s="30" t="n">
        <v>13</v>
      </c>
      <c r="L12" s="29" t="n">
        <v>0</v>
      </c>
      <c r="M12" s="30" t="n">
        <v>5</v>
      </c>
      <c r="N12" s="30" t="n">
        <v>59</v>
      </c>
      <c r="O12" s="19">
        <f>SUM(D12:N12)</f>
        <v/>
      </c>
      <c r="P12" s="18">
        <f>O12*C12</f>
        <v/>
      </c>
    </row>
    <row r="13">
      <c r="A13" s="10" t="n">
        <v>9</v>
      </c>
      <c r="B13" s="23" t="inlineStr">
        <is>
          <t>Оризов чипс Livity с Протеин 52гр</t>
        </is>
      </c>
      <c r="C13" s="24" t="n">
        <v>1.68</v>
      </c>
      <c r="D13" s="8" t="n">
        <v>11</v>
      </c>
      <c r="E13" s="25" t="n">
        <v>0</v>
      </c>
      <c r="F13" s="8" t="n">
        <v>76</v>
      </c>
      <c r="G13" s="8" t="n">
        <v>77</v>
      </c>
      <c r="H13" s="8" t="n">
        <v>9</v>
      </c>
      <c r="I13" s="25" t="n">
        <v>0</v>
      </c>
      <c r="J13" s="8" t="n">
        <v>7</v>
      </c>
      <c r="K13" s="8" t="n">
        <v>58</v>
      </c>
      <c r="L13" s="25" t="n">
        <v>0</v>
      </c>
      <c r="M13" s="25" t="n">
        <v>0</v>
      </c>
      <c r="N13" s="25" t="n">
        <v>0</v>
      </c>
      <c r="O13" s="19">
        <f>SUM(D13:N13)</f>
        <v/>
      </c>
      <c r="P13" s="18">
        <f>O13*C13</f>
        <v/>
      </c>
    </row>
    <row r="14">
      <c r="A14" s="26" t="n">
        <v>10</v>
      </c>
      <c r="B14" s="27" t="inlineStr">
        <is>
          <t>Протеинов кейк Livity 80гр</t>
        </is>
      </c>
      <c r="C14" s="28" t="n">
        <v>1.68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9" t="n">
        <v>0</v>
      </c>
      <c r="J14" s="29" t="n">
        <v>0</v>
      </c>
      <c r="K14" s="29" t="n">
        <v>0</v>
      </c>
      <c r="L14" s="29" t="n">
        <v>0</v>
      </c>
      <c r="M14" s="30" t="n">
        <v>1</v>
      </c>
      <c r="N14" s="29" t="n">
        <v>0</v>
      </c>
      <c r="O14" s="19">
        <f>SUM(D14:N14)</f>
        <v/>
      </c>
      <c r="P14" s="18">
        <f>O14*C14</f>
        <v/>
      </c>
    </row>
    <row r="15">
      <c r="A15" s="13" t="inlineStr"/>
      <c r="B15" s="13" t="inlineStr">
        <is>
          <t>ОБЩО КОЛИЧЕСТВО (бр.)</t>
        </is>
      </c>
      <c r="C15" s="16" t="inlineStr">
        <is>
          <t>-</t>
        </is>
      </c>
      <c r="D15" s="15">
        <f>SUM(D5:D14)</f>
        <v/>
      </c>
      <c r="E15" s="15">
        <f>SUM(E5:E14)</f>
        <v/>
      </c>
      <c r="F15" s="15">
        <f>SUM(F5:F14)</f>
        <v/>
      </c>
      <c r="G15" s="15">
        <f>SUM(G5:G14)</f>
        <v/>
      </c>
      <c r="H15" s="15">
        <f>SUM(H5:H14)</f>
        <v/>
      </c>
      <c r="I15" s="15">
        <f>SUM(I5:I14)</f>
        <v/>
      </c>
      <c r="J15" s="15">
        <f>SUM(J5:J14)</f>
        <v/>
      </c>
      <c r="K15" s="15">
        <f>SUM(K5:K14)</f>
        <v/>
      </c>
      <c r="L15" s="15">
        <f>SUM(L5:L14)</f>
        <v/>
      </c>
      <c r="M15" s="15">
        <f>SUM(M5:M14)</f>
        <v/>
      </c>
      <c r="N15" s="15">
        <f>SUM(N5:N14)</f>
        <v/>
      </c>
      <c r="O15" s="15">
        <f>SUM(O5:O14)</f>
        <v/>
      </c>
      <c r="P15" s="14">
        <f>SUM(P5:P14)</f>
        <v/>
      </c>
    </row>
    <row r="16">
      <c r="A16" s="13" t="inlineStr"/>
      <c r="B16" s="13" t="inlineStr">
        <is>
          <t>ОБЩА СТОЙНОСТ (€)</t>
        </is>
      </c>
      <c r="C16" s="16" t="inlineStr">
        <is>
          <t>-</t>
        </is>
      </c>
      <c r="D16" s="14">
        <f>SUMPRODUCT($C$5:$C$14, D$5:D$14)</f>
        <v/>
      </c>
      <c r="E16" s="14">
        <f>SUMPRODUCT($C$5:$C$14, E$5:E$14)</f>
        <v/>
      </c>
      <c r="F16" s="14">
        <f>SUMPRODUCT($C$5:$C$14, F$5:F$14)</f>
        <v/>
      </c>
      <c r="G16" s="14">
        <f>SUMPRODUCT($C$5:$C$14, G$5:G$14)</f>
        <v/>
      </c>
      <c r="H16" s="14">
        <f>SUMPRODUCT($C$5:$C$14, H$5:H$14)</f>
        <v/>
      </c>
      <c r="I16" s="14">
        <f>SUMPRODUCT($C$5:$C$14, I$5:I$14)</f>
        <v/>
      </c>
      <c r="J16" s="14">
        <f>SUMPRODUCT($C$5:$C$14, J$5:J$14)</f>
        <v/>
      </c>
      <c r="K16" s="14">
        <f>SUMPRODUCT($C$5:$C$14, K$5:K$14)</f>
        <v/>
      </c>
      <c r="L16" s="14">
        <f>SUMPRODUCT($C$5:$C$14, L$5:L$14)</f>
        <v/>
      </c>
      <c r="M16" s="14">
        <f>SUMPRODUCT($C$5:$C$14, M$5:M$14)</f>
        <v/>
      </c>
      <c r="N16" s="14">
        <f>SUMPRODUCT($C$5:$C$14, N$5:N$14)</f>
        <v/>
      </c>
      <c r="O16" s="16" t="inlineStr">
        <is>
          <t>-</t>
        </is>
      </c>
      <c r="P16" s="14">
        <f>P15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7" customWidth="1" min="2" max="2"/>
    <col width="21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2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1" customWidth="1" min="16" max="16"/>
  </cols>
  <sheetData>
    <row r="1">
      <c r="A1" s="1" t="inlineStr">
        <is>
          <t>ЗАЯВКА ПО ОБЕКТИ: ПРЕСТИЖ</t>
        </is>
      </c>
    </row>
    <row r="2">
      <c r="A2" s="2" t="inlineStr">
        <is>
          <t>Целево покритие: 1.50 месеца спрямо продажби и наличности | Общо бройки: 3,278 бр.</t>
        </is>
      </c>
    </row>
    <row r="3"/>
    <row r="4" ht="28" customHeight="1">
      <c r="A4" s="4" t="inlineStr">
        <is>
          <t>№</t>
        </is>
      </c>
      <c r="B4" s="4" t="inlineStr">
        <is>
          <t>Артикул / Номенклатура</t>
        </is>
      </c>
      <c r="C4" s="4" t="inlineStr">
        <is>
          <t>Доставна цена (€)</t>
        </is>
      </c>
      <c r="D4" s="4" t="inlineStr">
        <is>
          <t>АРСЕНАЛСКИ</t>
        </is>
      </c>
      <c r="E4" s="4" t="inlineStr">
        <is>
          <t>БАНКЯ</t>
        </is>
      </c>
      <c r="F4" s="4" t="inlineStr">
        <is>
          <t>ВЕЛЧО АТАНАСОВ</t>
        </is>
      </c>
      <c r="G4" s="4" t="inlineStr">
        <is>
          <t>ЛОЗЕНЕЦ</t>
        </is>
      </c>
      <c r="H4" s="4" t="inlineStr">
        <is>
          <t>ЛЮЛИН 7</t>
        </is>
      </c>
      <c r="I4" s="4" t="inlineStr">
        <is>
          <t>МАНАСТИРСКИ ЛИВАДИ</t>
        </is>
      </c>
      <c r="J4" s="4" t="inlineStr">
        <is>
          <t>НАДЕЖДА</t>
        </is>
      </c>
      <c r="K4" s="4" t="inlineStr">
        <is>
          <t>ОБЕЛЯ 2</t>
        </is>
      </c>
      <c r="L4" s="4" t="inlineStr">
        <is>
          <t>РЕДУТА</t>
        </is>
      </c>
      <c r="M4" s="4" t="inlineStr">
        <is>
          <t>СВОБОДА</t>
        </is>
      </c>
      <c r="N4" s="4" t="inlineStr">
        <is>
          <t>ХАЛИ ОКРЪЖНА</t>
        </is>
      </c>
      <c r="O4" s="4" t="inlineStr">
        <is>
          <t>ОБЩО (бр.)</t>
        </is>
      </c>
      <c r="P4" s="4" t="inlineStr">
        <is>
          <t>ОБЩА СТОЙНОСТ (€)</t>
        </is>
      </c>
    </row>
    <row r="5">
      <c r="A5" s="10" t="n">
        <v>1</v>
      </c>
      <c r="B5" s="23" t="inlineStr">
        <is>
          <t>Престиж Бисквити Oh La La брауни ягода 156г</t>
        </is>
      </c>
      <c r="C5" s="10" t="inlineStr">
        <is>
          <t>-</t>
        </is>
      </c>
      <c r="D5" s="25" t="n">
        <v>0</v>
      </c>
      <c r="E5" s="25" t="n">
        <v>0</v>
      </c>
      <c r="F5" s="2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5" t="n">
        <v>0</v>
      </c>
      <c r="L5" s="25" t="n">
        <v>0</v>
      </c>
      <c r="M5" s="25" t="n">
        <v>0</v>
      </c>
      <c r="N5" s="25" t="n">
        <v>0</v>
      </c>
      <c r="O5" s="19">
        <f>SUM(D5:N5)</f>
        <v/>
      </c>
      <c r="P5" s="10" t="inlineStr">
        <is>
          <t>-</t>
        </is>
      </c>
    </row>
    <row r="6">
      <c r="A6" s="26" t="n">
        <v>2</v>
      </c>
      <c r="B6" s="27" t="inlineStr">
        <is>
          <t>Престиж Бисквити Oh La La с мармалад гор.плодове 134г</t>
        </is>
      </c>
      <c r="C6" s="26" t="inlineStr">
        <is>
          <t>-</t>
        </is>
      </c>
      <c r="D6" s="29" t="n">
        <v>0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9" t="n">
        <v>0</v>
      </c>
      <c r="O6" s="19">
        <f>SUM(D6:N6)</f>
        <v/>
      </c>
      <c r="P6" s="10" t="inlineStr">
        <is>
          <t>-</t>
        </is>
      </c>
    </row>
    <row r="7">
      <c r="A7" s="10" t="n">
        <v>3</v>
      </c>
      <c r="B7" s="23" t="inlineStr">
        <is>
          <t>Престиж Бисквити Oh La La с мармалад ягода 134г</t>
        </is>
      </c>
      <c r="C7" s="10" t="inlineStr">
        <is>
          <t>-</t>
        </is>
      </c>
      <c r="D7" s="25" t="n">
        <v>0</v>
      </c>
      <c r="E7" s="25" t="n">
        <v>0</v>
      </c>
      <c r="F7" s="25" t="n">
        <v>0</v>
      </c>
      <c r="G7" s="25" t="n">
        <v>0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0</v>
      </c>
      <c r="O7" s="19">
        <f>SUM(D7:N7)</f>
        <v/>
      </c>
      <c r="P7" s="10" t="inlineStr">
        <is>
          <t>-</t>
        </is>
      </c>
    </row>
    <row r="8">
      <c r="A8" s="26" t="n">
        <v>4</v>
      </c>
      <c r="B8" s="27" t="inlineStr">
        <is>
          <t>Престиж Бисквити Мираж Манго 156гр</t>
        </is>
      </c>
      <c r="C8" s="26" t="inlineStr">
        <is>
          <t>-</t>
        </is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30" t="n">
        <v>2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19">
        <f>SUM(D8:N8)</f>
        <v/>
      </c>
      <c r="P8" s="10" t="inlineStr">
        <is>
          <t>-</t>
        </is>
      </c>
    </row>
    <row r="9">
      <c r="A9" s="10" t="n">
        <v>5</v>
      </c>
      <c r="B9" s="23" t="inlineStr">
        <is>
          <t>Престиж Бисквити Мираж Нар и червен портокал 156гр</t>
        </is>
      </c>
      <c r="C9" s="10" t="inlineStr">
        <is>
          <t>-</t>
        </is>
      </c>
      <c r="D9" s="25" t="n">
        <v>0</v>
      </c>
      <c r="E9" s="25" t="n">
        <v>0</v>
      </c>
      <c r="F9" s="25" t="n">
        <v>0</v>
      </c>
      <c r="G9" s="25" t="n">
        <v>0</v>
      </c>
      <c r="H9" s="25" t="n">
        <v>0</v>
      </c>
      <c r="I9" s="25" t="n">
        <v>0</v>
      </c>
      <c r="J9" s="25" t="n">
        <v>0</v>
      </c>
      <c r="K9" s="25" t="n">
        <v>0</v>
      </c>
      <c r="L9" s="25" t="n">
        <v>0</v>
      </c>
      <c r="M9" s="8" t="n">
        <v>2</v>
      </c>
      <c r="N9" s="25" t="n">
        <v>0</v>
      </c>
      <c r="O9" s="19">
        <f>SUM(D9:N9)</f>
        <v/>
      </c>
      <c r="P9" s="10" t="inlineStr">
        <is>
          <t>-</t>
        </is>
      </c>
    </row>
    <row r="10">
      <c r="A10" s="26" t="n">
        <v>6</v>
      </c>
      <c r="B10" s="27" t="inlineStr">
        <is>
          <t>Престиж Бисквити Мираж боровинка 178гр</t>
        </is>
      </c>
      <c r="C10" s="26" t="inlineStr">
        <is>
          <t>-</t>
        </is>
      </c>
      <c r="D10" s="29" t="n">
        <v>0</v>
      </c>
      <c r="E10" s="29" t="n">
        <v>0</v>
      </c>
      <c r="F10" s="30" t="n">
        <v>6</v>
      </c>
      <c r="G10" s="30" t="n">
        <v>16</v>
      </c>
      <c r="H10" s="30" t="n">
        <v>6</v>
      </c>
      <c r="I10" s="30" t="n">
        <v>6</v>
      </c>
      <c r="J10" s="30" t="n">
        <v>5</v>
      </c>
      <c r="K10" s="30" t="n">
        <v>10</v>
      </c>
      <c r="L10" s="29" t="n">
        <v>0</v>
      </c>
      <c r="M10" s="30" t="n">
        <v>3</v>
      </c>
      <c r="N10" s="29" t="n">
        <v>0</v>
      </c>
      <c r="O10" s="19">
        <f>SUM(D10:N10)</f>
        <v/>
      </c>
      <c r="P10" s="10" t="inlineStr">
        <is>
          <t>-</t>
        </is>
      </c>
    </row>
    <row r="11">
      <c r="A11" s="10" t="n">
        <v>7</v>
      </c>
      <c r="B11" s="23" t="inlineStr">
        <is>
          <t>Престиж Бисквити Мираж къпина 178гр</t>
        </is>
      </c>
      <c r="C11" s="10" t="inlineStr">
        <is>
          <t>-</t>
        </is>
      </c>
      <c r="D11" s="25" t="n">
        <v>0</v>
      </c>
      <c r="E11" s="8" t="n">
        <v>3</v>
      </c>
      <c r="F11" s="8" t="n">
        <v>1</v>
      </c>
      <c r="G11" s="8" t="n">
        <v>11</v>
      </c>
      <c r="H11" s="8" t="n">
        <v>6</v>
      </c>
      <c r="I11" s="25" t="n">
        <v>0</v>
      </c>
      <c r="J11" s="8" t="n">
        <v>4</v>
      </c>
      <c r="K11" s="25" t="n">
        <v>0</v>
      </c>
      <c r="L11" s="25" t="n">
        <v>0</v>
      </c>
      <c r="M11" s="8" t="n">
        <v>4</v>
      </c>
      <c r="N11" s="25" t="n">
        <v>0</v>
      </c>
      <c r="O11" s="19">
        <f>SUM(D11:N11)</f>
        <v/>
      </c>
      <c r="P11" s="10" t="inlineStr">
        <is>
          <t>-</t>
        </is>
      </c>
    </row>
    <row r="12">
      <c r="A12" s="26" t="n">
        <v>8</v>
      </c>
      <c r="B12" s="27" t="inlineStr">
        <is>
          <t>Престиж Бисквити Мираж малина 178гр</t>
        </is>
      </c>
      <c r="C12" s="26" t="inlineStr">
        <is>
          <t>-</t>
        </is>
      </c>
      <c r="D12" s="29" t="n">
        <v>0</v>
      </c>
      <c r="E12" s="29" t="n">
        <v>0</v>
      </c>
      <c r="F12" s="30" t="n">
        <v>4</v>
      </c>
      <c r="G12" s="30" t="n">
        <v>10</v>
      </c>
      <c r="H12" s="30" t="n">
        <v>6</v>
      </c>
      <c r="I12" s="30" t="n">
        <v>4</v>
      </c>
      <c r="J12" s="30" t="n">
        <v>4</v>
      </c>
      <c r="K12" s="30" t="n">
        <v>6</v>
      </c>
      <c r="L12" s="29" t="n">
        <v>0</v>
      </c>
      <c r="M12" s="30" t="n">
        <v>6</v>
      </c>
      <c r="N12" s="29" t="n">
        <v>0</v>
      </c>
      <c r="O12" s="19">
        <f>SUM(D12:N12)</f>
        <v/>
      </c>
      <c r="P12" s="10" t="inlineStr">
        <is>
          <t>-</t>
        </is>
      </c>
    </row>
    <row r="13">
      <c r="A13" s="10" t="n">
        <v>9</v>
      </c>
      <c r="B13" s="23" t="inlineStr">
        <is>
          <t>Престиж Бисквити Мираж смокиня 178гр</t>
        </is>
      </c>
      <c r="C13" s="10" t="inlineStr">
        <is>
          <t>-</t>
        </is>
      </c>
      <c r="D13" s="8" t="n">
        <v>4</v>
      </c>
      <c r="E13" s="8" t="n">
        <v>10</v>
      </c>
      <c r="F13" s="25" t="n">
        <v>0</v>
      </c>
      <c r="G13" s="8" t="n">
        <v>20</v>
      </c>
      <c r="H13" s="8" t="n">
        <v>6</v>
      </c>
      <c r="I13" s="25" t="n">
        <v>0</v>
      </c>
      <c r="J13" s="8" t="n">
        <v>10</v>
      </c>
      <c r="K13" s="8" t="n">
        <v>2</v>
      </c>
      <c r="L13" s="8" t="n">
        <v>3</v>
      </c>
      <c r="M13" s="8" t="n">
        <v>12</v>
      </c>
      <c r="N13" s="25" t="n">
        <v>0</v>
      </c>
      <c r="O13" s="19">
        <f>SUM(D13:N13)</f>
        <v/>
      </c>
      <c r="P13" s="10" t="inlineStr">
        <is>
          <t>-</t>
        </is>
      </c>
    </row>
    <row r="14">
      <c r="A14" s="26" t="n">
        <v>10</v>
      </c>
      <c r="B14" s="27" t="inlineStr">
        <is>
          <t>Престиж Бисквити Мираж ягода 178гр</t>
        </is>
      </c>
      <c r="C14" s="26" t="inlineStr">
        <is>
          <t>-</t>
        </is>
      </c>
      <c r="D14" s="29" t="n">
        <v>0</v>
      </c>
      <c r="E14" s="30" t="n">
        <v>1</v>
      </c>
      <c r="F14" s="29" t="n">
        <v>0</v>
      </c>
      <c r="G14" s="30" t="n">
        <v>16</v>
      </c>
      <c r="H14" s="30" t="n">
        <v>5</v>
      </c>
      <c r="I14" s="29" t="n">
        <v>0</v>
      </c>
      <c r="J14" s="30" t="n">
        <v>20</v>
      </c>
      <c r="K14" s="30" t="n">
        <v>10</v>
      </c>
      <c r="L14" s="30" t="n">
        <v>5</v>
      </c>
      <c r="M14" s="30" t="n">
        <v>3</v>
      </c>
      <c r="N14" s="30" t="n">
        <v>20</v>
      </c>
      <c r="O14" s="19">
        <f>SUM(D14:N14)</f>
        <v/>
      </c>
      <c r="P14" s="10" t="inlineStr">
        <is>
          <t>-</t>
        </is>
      </c>
    </row>
    <row r="15">
      <c r="A15" s="10" t="n">
        <v>11</v>
      </c>
      <c r="B15" s="23" t="inlineStr">
        <is>
          <t>Престиж Бисквити Мюсли с т.шоколад 94гр</t>
        </is>
      </c>
      <c r="C15" s="10" t="inlineStr">
        <is>
          <t>-</t>
        </is>
      </c>
      <c r="D15" s="25" t="n">
        <v>0</v>
      </c>
      <c r="E15" s="25" t="n">
        <v>0</v>
      </c>
      <c r="F15" s="25" t="n">
        <v>0</v>
      </c>
      <c r="G15" s="25" t="n">
        <v>0</v>
      </c>
      <c r="H15" s="25" t="n">
        <v>0</v>
      </c>
      <c r="I15" s="8" t="n">
        <v>2</v>
      </c>
      <c r="J15" s="25" t="n">
        <v>0</v>
      </c>
      <c r="K15" s="8" t="n">
        <v>4</v>
      </c>
      <c r="L15" s="25" t="n">
        <v>0</v>
      </c>
      <c r="M15" s="25" t="n">
        <v>0</v>
      </c>
      <c r="N15" s="25" t="n">
        <v>0</v>
      </c>
      <c r="O15" s="19">
        <f>SUM(D15:N15)</f>
        <v/>
      </c>
      <c r="P15" s="10" t="inlineStr">
        <is>
          <t>-</t>
        </is>
      </c>
    </row>
    <row r="16">
      <c r="A16" s="26" t="n">
        <v>12</v>
      </c>
      <c r="B16" s="27" t="inlineStr">
        <is>
          <t>Престиж Бисквити Мюсли с фибри 94гр</t>
        </is>
      </c>
      <c r="C16" s="26" t="inlineStr">
        <is>
          <t>-</t>
        </is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30" t="n">
        <v>2</v>
      </c>
      <c r="J16" s="29" t="n">
        <v>0</v>
      </c>
      <c r="K16" s="29" t="n">
        <v>0</v>
      </c>
      <c r="L16" s="29" t="n">
        <v>0</v>
      </c>
      <c r="M16" s="30" t="n">
        <v>2</v>
      </c>
      <c r="N16" s="29" t="n">
        <v>0</v>
      </c>
      <c r="O16" s="19">
        <f>SUM(D16:N16)</f>
        <v/>
      </c>
      <c r="P16" s="10" t="inlineStr">
        <is>
          <t>-</t>
        </is>
      </c>
    </row>
    <row r="17">
      <c r="A17" s="10" t="n">
        <v>13</v>
      </c>
      <c r="B17" s="23" t="inlineStr">
        <is>
          <t>Престиж Бисквити Мюсли с ябълка, мед и орехи 94гр</t>
        </is>
      </c>
      <c r="C17" s="10" t="inlineStr">
        <is>
          <t>-</t>
        </is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8" t="n">
        <v>3</v>
      </c>
      <c r="J17" s="25" t="n">
        <v>0</v>
      </c>
      <c r="K17" s="8" t="n">
        <v>15</v>
      </c>
      <c r="L17" s="25" t="n">
        <v>0</v>
      </c>
      <c r="M17" s="25" t="n">
        <v>0</v>
      </c>
      <c r="N17" s="8" t="n">
        <v>1</v>
      </c>
      <c r="O17" s="19">
        <f>SUM(D17:N17)</f>
        <v/>
      </c>
      <c r="P17" s="10" t="inlineStr">
        <is>
          <t>-</t>
        </is>
      </c>
    </row>
    <row r="18">
      <c r="A18" s="26" t="n">
        <v>14</v>
      </c>
      <c r="B18" s="27" t="inlineStr">
        <is>
          <t>Престиж Бисквити Ная какао 180/200гр</t>
        </is>
      </c>
      <c r="C18" s="26" t="inlineStr">
        <is>
          <t>-</t>
        </is>
      </c>
      <c r="D18" s="29" t="n">
        <v>0</v>
      </c>
      <c r="E18" s="30" t="n">
        <v>2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30" t="n">
        <v>4</v>
      </c>
      <c r="N18" s="30" t="n">
        <v>2</v>
      </c>
      <c r="O18" s="19">
        <f>SUM(D18:N18)</f>
        <v/>
      </c>
      <c r="P18" s="10" t="inlineStr">
        <is>
          <t>-</t>
        </is>
      </c>
    </row>
    <row r="19">
      <c r="A19" s="10" t="n">
        <v>15</v>
      </c>
      <c r="B19" s="23" t="inlineStr">
        <is>
          <t>Престиж Бисквити Ная класик 180/190гр</t>
        </is>
      </c>
      <c r="C19" s="10" t="inlineStr">
        <is>
          <t>-</t>
        </is>
      </c>
      <c r="D19" s="25" t="n">
        <v>0</v>
      </c>
      <c r="E19" s="25" t="n">
        <v>0</v>
      </c>
      <c r="F19" s="8" t="n">
        <v>1</v>
      </c>
      <c r="G19" s="25" t="n">
        <v>0</v>
      </c>
      <c r="H19" s="8" t="n">
        <v>2</v>
      </c>
      <c r="I19" s="25" t="n">
        <v>0</v>
      </c>
      <c r="J19" s="25" t="n">
        <v>0</v>
      </c>
      <c r="K19" s="8" t="n">
        <v>4</v>
      </c>
      <c r="L19" s="25" t="n">
        <v>0</v>
      </c>
      <c r="M19" s="25" t="n">
        <v>0</v>
      </c>
      <c r="N19" s="8" t="n">
        <v>10</v>
      </c>
      <c r="O19" s="19">
        <f>SUM(D19:N19)</f>
        <v/>
      </c>
      <c r="P19" s="10" t="inlineStr">
        <is>
          <t>-</t>
        </is>
      </c>
    </row>
    <row r="20">
      <c r="A20" s="26" t="n">
        <v>16</v>
      </c>
      <c r="B20" s="27" t="inlineStr">
        <is>
          <t>Престиж Бисквити Парадайс Млечен Карамел 147гр</t>
        </is>
      </c>
      <c r="C20" s="26" t="inlineStr">
        <is>
          <t>-</t>
        </is>
      </c>
      <c r="D20" s="29" t="n">
        <v>0</v>
      </c>
      <c r="E20" s="30" t="n">
        <v>5</v>
      </c>
      <c r="F20" s="29" t="n">
        <v>0</v>
      </c>
      <c r="G20" s="30" t="n">
        <v>4</v>
      </c>
      <c r="H20" s="29" t="n">
        <v>0</v>
      </c>
      <c r="I20" s="30" t="n">
        <v>2</v>
      </c>
      <c r="J20" s="29" t="n">
        <v>0</v>
      </c>
      <c r="K20" s="30" t="n">
        <v>6</v>
      </c>
      <c r="L20" s="29" t="n">
        <v>0</v>
      </c>
      <c r="M20" s="29" t="n">
        <v>0</v>
      </c>
      <c r="N20" s="30" t="n">
        <v>2</v>
      </c>
      <c r="O20" s="19">
        <f>SUM(D20:N20)</f>
        <v/>
      </c>
      <c r="P20" s="10" t="inlineStr">
        <is>
          <t>-</t>
        </is>
      </c>
    </row>
    <row r="21">
      <c r="A21" s="10" t="n">
        <v>17</v>
      </c>
      <c r="B21" s="23" t="inlineStr">
        <is>
          <t>Престиж Бисквити Парадайс Шоколад 147гр</t>
        </is>
      </c>
      <c r="C21" s="10" t="inlineStr">
        <is>
          <t>-</t>
        </is>
      </c>
      <c r="D21" s="8" t="n">
        <v>2</v>
      </c>
      <c r="E21" s="25" t="n">
        <v>0</v>
      </c>
      <c r="F21" s="25" t="n">
        <v>0</v>
      </c>
      <c r="G21" s="25" t="n">
        <v>0</v>
      </c>
      <c r="H21" s="25" t="n">
        <v>0</v>
      </c>
      <c r="I21" s="8" t="n">
        <v>8</v>
      </c>
      <c r="J21" s="25" t="n">
        <v>0</v>
      </c>
      <c r="K21" s="8" t="n">
        <v>3</v>
      </c>
      <c r="L21" s="25" t="n">
        <v>0</v>
      </c>
      <c r="M21" s="25" t="n">
        <v>0</v>
      </c>
      <c r="N21" s="8" t="n">
        <v>6</v>
      </c>
      <c r="O21" s="19">
        <f>SUM(D21:N21)</f>
        <v/>
      </c>
      <c r="P21" s="10" t="inlineStr">
        <is>
          <t>-</t>
        </is>
      </c>
    </row>
    <row r="22">
      <c r="A22" s="26" t="n">
        <v>18</v>
      </c>
      <c r="B22" s="27" t="inlineStr">
        <is>
          <t>Престиж Бисквити Роден край Детски свят 135гр</t>
        </is>
      </c>
      <c r="C22" s="26" t="inlineStr">
        <is>
          <t>-</t>
        </is>
      </c>
      <c r="D22" s="29" t="n">
        <v>0</v>
      </c>
      <c r="E22" s="30" t="n">
        <v>2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30" t="n">
        <v>2</v>
      </c>
      <c r="M22" s="30" t="n">
        <v>3</v>
      </c>
      <c r="N22" s="30" t="n">
        <v>5</v>
      </c>
      <c r="O22" s="19">
        <f>SUM(D22:N22)</f>
        <v/>
      </c>
      <c r="P22" s="10" t="inlineStr">
        <is>
          <t>-</t>
        </is>
      </c>
    </row>
    <row r="23">
      <c r="A23" s="10" t="n">
        <v>19</v>
      </c>
      <c r="B23" s="23" t="inlineStr">
        <is>
          <t>Престиж Бисквити Роден край Златен спомен 135гр</t>
        </is>
      </c>
      <c r="C23" s="10" t="inlineStr">
        <is>
          <t>-</t>
        </is>
      </c>
      <c r="D23" s="25" t="n">
        <v>0</v>
      </c>
      <c r="E23" s="8" t="n">
        <v>1</v>
      </c>
      <c r="F23" s="25" t="n">
        <v>0</v>
      </c>
      <c r="G23" s="8" t="n">
        <v>3</v>
      </c>
      <c r="H23" s="25" t="n">
        <v>0</v>
      </c>
      <c r="I23" s="8" t="n">
        <v>2</v>
      </c>
      <c r="J23" s="8" t="n">
        <v>2</v>
      </c>
      <c r="K23" s="25" t="n">
        <v>0</v>
      </c>
      <c r="L23" s="8" t="n">
        <v>1</v>
      </c>
      <c r="M23" s="25" t="n">
        <v>0</v>
      </c>
      <c r="N23" s="25" t="n">
        <v>0</v>
      </c>
      <c r="O23" s="19">
        <f>SUM(D23:N23)</f>
        <v/>
      </c>
      <c r="P23" s="10" t="inlineStr">
        <is>
          <t>-</t>
        </is>
      </c>
    </row>
    <row r="24">
      <c r="A24" s="26" t="n">
        <v>20</v>
      </c>
      <c r="B24" s="27" t="inlineStr">
        <is>
          <t>Престиж Бисквити Роден край Кафе 135гр</t>
        </is>
      </c>
      <c r="C24" s="26" t="inlineStr">
        <is>
          <t>-</t>
        </is>
      </c>
      <c r="D24" s="30" t="n">
        <v>4</v>
      </c>
      <c r="E24" s="29" t="n">
        <v>0</v>
      </c>
      <c r="F24" s="29" t="n">
        <v>0</v>
      </c>
      <c r="G24" s="30" t="n">
        <v>6</v>
      </c>
      <c r="H24" s="29" t="n">
        <v>0</v>
      </c>
      <c r="I24" s="30" t="n">
        <v>5</v>
      </c>
      <c r="J24" s="29" t="n">
        <v>0</v>
      </c>
      <c r="K24" s="29" t="n">
        <v>0</v>
      </c>
      <c r="L24" s="29" t="n">
        <v>0</v>
      </c>
      <c r="M24" s="29" t="n">
        <v>0</v>
      </c>
      <c r="N24" s="29" t="n">
        <v>0</v>
      </c>
      <c r="O24" s="19">
        <f>SUM(D24:N24)</f>
        <v/>
      </c>
      <c r="P24" s="10" t="inlineStr">
        <is>
          <t>-</t>
        </is>
      </c>
    </row>
    <row r="25">
      <c r="A25" s="10" t="n">
        <v>21</v>
      </c>
      <c r="B25" s="23" t="inlineStr">
        <is>
          <t>Престиж Бисквити Роден край Макси 230/250гр</t>
        </is>
      </c>
      <c r="C25" s="10" t="inlineStr">
        <is>
          <t>-</t>
        </is>
      </c>
      <c r="D25" s="8" t="n">
        <v>6</v>
      </c>
      <c r="E25" s="25" t="n">
        <v>0</v>
      </c>
      <c r="F25" s="8" t="n">
        <v>9</v>
      </c>
      <c r="G25" s="8" t="n">
        <v>14</v>
      </c>
      <c r="H25" s="8" t="n">
        <v>8</v>
      </c>
      <c r="I25" s="8" t="n">
        <v>2</v>
      </c>
      <c r="J25" s="8" t="n">
        <v>12</v>
      </c>
      <c r="K25" s="8" t="n">
        <v>22</v>
      </c>
      <c r="L25" s="25" t="n">
        <v>0</v>
      </c>
      <c r="M25" s="25" t="n">
        <v>0</v>
      </c>
      <c r="N25" s="8" t="n">
        <v>16</v>
      </c>
      <c r="O25" s="19">
        <f>SUM(D25:N25)</f>
        <v/>
      </c>
      <c r="P25" s="10" t="inlineStr">
        <is>
          <t>-</t>
        </is>
      </c>
    </row>
    <row r="26">
      <c r="A26" s="26" t="n">
        <v>22</v>
      </c>
      <c r="B26" s="27" t="inlineStr">
        <is>
          <t>Престиж Бисквити Роден край Шоколад 165г</t>
        </is>
      </c>
      <c r="C26" s="26" t="inlineStr">
        <is>
          <t>-</t>
        </is>
      </c>
      <c r="D26" s="29" t="n">
        <v>0</v>
      </c>
      <c r="E26" s="30" t="n">
        <v>16</v>
      </c>
      <c r="F26" s="29" t="n">
        <v>0</v>
      </c>
      <c r="G26" s="30" t="n">
        <v>2</v>
      </c>
      <c r="H26" s="29" t="n">
        <v>0</v>
      </c>
      <c r="I26" s="29" t="n">
        <v>0</v>
      </c>
      <c r="J26" s="30" t="n">
        <v>2</v>
      </c>
      <c r="K26" s="30" t="n">
        <v>4</v>
      </c>
      <c r="L26" s="29" t="n">
        <v>0</v>
      </c>
      <c r="M26" s="29" t="n">
        <v>0</v>
      </c>
      <c r="N26" s="30" t="n">
        <v>8</v>
      </c>
      <c r="O26" s="19">
        <f>SUM(D26:N26)</f>
        <v/>
      </c>
      <c r="P26" s="10" t="inlineStr">
        <is>
          <t>-</t>
        </is>
      </c>
    </row>
    <row r="27">
      <c r="A27" s="10" t="n">
        <v>23</v>
      </c>
      <c r="B27" s="23" t="inlineStr">
        <is>
          <t>Престиж Бисквити Роден край за торта 250гр</t>
        </is>
      </c>
      <c r="C27" s="10" t="inlineStr">
        <is>
          <t>-</t>
        </is>
      </c>
      <c r="D27" s="8" t="n">
        <v>4</v>
      </c>
      <c r="E27" s="8" t="n">
        <v>2</v>
      </c>
      <c r="F27" s="8" t="n">
        <v>4</v>
      </c>
      <c r="G27" s="8" t="n">
        <v>6</v>
      </c>
      <c r="H27" s="8" t="n">
        <v>2</v>
      </c>
      <c r="I27" s="8" t="n">
        <v>2</v>
      </c>
      <c r="J27" s="8" t="n">
        <v>3</v>
      </c>
      <c r="K27" s="25" t="n">
        <v>0</v>
      </c>
      <c r="L27" s="25" t="n">
        <v>0</v>
      </c>
      <c r="M27" s="8" t="n">
        <v>8</v>
      </c>
      <c r="N27" s="8" t="n">
        <v>17</v>
      </c>
      <c r="O27" s="19">
        <f>SUM(D27:N27)</f>
        <v/>
      </c>
      <c r="P27" s="10" t="inlineStr">
        <is>
          <t>-</t>
        </is>
      </c>
    </row>
    <row r="28">
      <c r="A28" s="26" t="n">
        <v>24</v>
      </c>
      <c r="B28" s="27" t="inlineStr">
        <is>
          <t>Престиж Бисквити Роден край какао 170гр</t>
        </is>
      </c>
      <c r="C28" s="26" t="inlineStr">
        <is>
          <t>-</t>
        </is>
      </c>
      <c r="D28" s="30" t="n">
        <v>14</v>
      </c>
      <c r="E28" s="30" t="n">
        <v>9</v>
      </c>
      <c r="F28" s="29" t="n">
        <v>0</v>
      </c>
      <c r="G28" s="30" t="n">
        <v>4</v>
      </c>
      <c r="H28" s="30" t="n">
        <v>1</v>
      </c>
      <c r="I28" s="30" t="n">
        <v>1</v>
      </c>
      <c r="J28" s="30" t="n">
        <v>2</v>
      </c>
      <c r="K28" s="30" t="n">
        <v>15</v>
      </c>
      <c r="L28" s="29" t="n">
        <v>0</v>
      </c>
      <c r="M28" s="29" t="n">
        <v>0</v>
      </c>
      <c r="N28" s="30" t="n">
        <v>18</v>
      </c>
      <c r="O28" s="19">
        <f>SUM(D28:N28)</f>
        <v/>
      </c>
      <c r="P28" s="10" t="inlineStr">
        <is>
          <t>-</t>
        </is>
      </c>
    </row>
    <row r="29">
      <c r="A29" s="10" t="n">
        <v>25</v>
      </c>
      <c r="B29" s="23" t="inlineStr">
        <is>
          <t>Престиж Бисквити Роден край масло 165гр</t>
        </is>
      </c>
      <c r="C29" s="10" t="inlineStr">
        <is>
          <t>-</t>
        </is>
      </c>
      <c r="D29" s="8" t="n">
        <v>8</v>
      </c>
      <c r="E29" s="25" t="n">
        <v>0</v>
      </c>
      <c r="F29" s="25" t="n">
        <v>0</v>
      </c>
      <c r="G29" s="25" t="n">
        <v>0</v>
      </c>
      <c r="H29" s="25" t="n">
        <v>0</v>
      </c>
      <c r="I29" s="8" t="n">
        <v>2</v>
      </c>
      <c r="J29" s="8" t="n">
        <v>1</v>
      </c>
      <c r="K29" s="8" t="n">
        <v>4</v>
      </c>
      <c r="L29" s="25" t="n">
        <v>0</v>
      </c>
      <c r="M29" s="8" t="n">
        <v>9</v>
      </c>
      <c r="N29" s="8" t="n">
        <v>24</v>
      </c>
      <c r="O29" s="19">
        <f>SUM(D29:N29)</f>
        <v/>
      </c>
      <c r="P29" s="10" t="inlineStr">
        <is>
          <t>-</t>
        </is>
      </c>
    </row>
    <row r="30">
      <c r="A30" s="26" t="n">
        <v>26</v>
      </c>
      <c r="B30" s="27" t="inlineStr">
        <is>
          <t>Престиж Бисквити Роден край мляко 165гр</t>
        </is>
      </c>
      <c r="C30" s="26" t="inlineStr">
        <is>
          <t>-</t>
        </is>
      </c>
      <c r="D30" s="30" t="n">
        <v>6</v>
      </c>
      <c r="E30" s="30" t="n">
        <v>3</v>
      </c>
      <c r="F30" s="29" t="n">
        <v>0</v>
      </c>
      <c r="G30" s="30" t="n">
        <v>20</v>
      </c>
      <c r="H30" s="29" t="n">
        <v>0</v>
      </c>
      <c r="I30" s="29" t="n">
        <v>0</v>
      </c>
      <c r="J30" s="29" t="n">
        <v>0</v>
      </c>
      <c r="K30" s="30" t="n">
        <v>5</v>
      </c>
      <c r="L30" s="29" t="n">
        <v>0</v>
      </c>
      <c r="M30" s="30" t="n">
        <v>7</v>
      </c>
      <c r="N30" s="30" t="n">
        <v>12</v>
      </c>
      <c r="O30" s="19">
        <f>SUM(D30:N30)</f>
        <v/>
      </c>
      <c r="P30" s="10" t="inlineStr">
        <is>
          <t>-</t>
        </is>
      </c>
    </row>
    <row r="31">
      <c r="A31" s="10" t="n">
        <v>27</v>
      </c>
      <c r="B31" s="23" t="inlineStr">
        <is>
          <t>Престиж Бисквити Роден край обикновени 120гр</t>
        </is>
      </c>
      <c r="C31" s="10" t="inlineStr">
        <is>
          <t>-</t>
        </is>
      </c>
      <c r="D31" s="25" t="n">
        <v>0</v>
      </c>
      <c r="E31" s="8" t="n">
        <v>4</v>
      </c>
      <c r="F31" s="25" t="n">
        <v>0</v>
      </c>
      <c r="G31" s="8" t="n">
        <v>6</v>
      </c>
      <c r="H31" s="8" t="n">
        <v>4</v>
      </c>
      <c r="I31" s="8" t="n">
        <v>4</v>
      </c>
      <c r="J31" s="8" t="n">
        <v>4</v>
      </c>
      <c r="K31" s="25" t="n">
        <v>0</v>
      </c>
      <c r="L31" s="25" t="n">
        <v>0</v>
      </c>
      <c r="M31" s="25" t="n">
        <v>0</v>
      </c>
      <c r="N31" s="8" t="n">
        <v>21</v>
      </c>
      <c r="O31" s="19">
        <f>SUM(D31:N31)</f>
        <v/>
      </c>
      <c r="P31" s="10" t="inlineStr">
        <is>
          <t>-</t>
        </is>
      </c>
    </row>
    <row r="32">
      <c r="A32" s="26" t="n">
        <v>28</v>
      </c>
      <c r="B32" s="27" t="inlineStr">
        <is>
          <t>Престиж Бисквити Роден край обикновени 190гр</t>
        </is>
      </c>
      <c r="C32" s="26" t="inlineStr">
        <is>
          <t>-</t>
        </is>
      </c>
      <c r="D32" s="30" t="n">
        <v>3</v>
      </c>
      <c r="E32" s="30" t="n">
        <v>10</v>
      </c>
      <c r="F32" s="30" t="n">
        <v>8</v>
      </c>
      <c r="G32" s="30" t="n">
        <v>6</v>
      </c>
      <c r="H32" s="30" t="n">
        <v>17</v>
      </c>
      <c r="I32" s="30" t="n">
        <v>2</v>
      </c>
      <c r="J32" s="30" t="n">
        <v>11</v>
      </c>
      <c r="K32" s="30" t="n">
        <v>10</v>
      </c>
      <c r="L32" s="29" t="n">
        <v>0</v>
      </c>
      <c r="M32" s="30" t="n">
        <v>16</v>
      </c>
      <c r="N32" s="30" t="n">
        <v>38</v>
      </c>
      <c r="O32" s="19">
        <f>SUM(D32:N32)</f>
        <v/>
      </c>
      <c r="P32" s="10" t="inlineStr">
        <is>
          <t>-</t>
        </is>
      </c>
    </row>
    <row r="33">
      <c r="A33" s="10" t="n">
        <v>29</v>
      </c>
      <c r="B33" s="23" t="inlineStr">
        <is>
          <t>Престиж Бисквити Траяна 160гр</t>
        </is>
      </c>
      <c r="C33" s="10" t="inlineStr">
        <is>
          <t>-</t>
        </is>
      </c>
      <c r="D33" s="8" t="n">
        <v>2</v>
      </c>
      <c r="E33" s="25" t="n">
        <v>0</v>
      </c>
      <c r="F33" s="8" t="n">
        <v>7</v>
      </c>
      <c r="G33" s="8" t="n">
        <v>22</v>
      </c>
      <c r="H33" s="8" t="n">
        <v>18</v>
      </c>
      <c r="I33" s="25" t="n">
        <v>0</v>
      </c>
      <c r="J33" s="8" t="n">
        <v>24</v>
      </c>
      <c r="K33" s="8" t="n">
        <v>19</v>
      </c>
      <c r="L33" s="8" t="n">
        <v>8</v>
      </c>
      <c r="M33" s="8" t="n">
        <v>16</v>
      </c>
      <c r="N33" s="25" t="n">
        <v>0</v>
      </c>
      <c r="O33" s="19">
        <f>SUM(D33:N33)</f>
        <v/>
      </c>
      <c r="P33" s="10" t="inlineStr">
        <is>
          <t>-</t>
        </is>
      </c>
    </row>
    <row r="34">
      <c r="A34" s="26" t="n">
        <v>30</v>
      </c>
      <c r="B34" s="27" t="inlineStr">
        <is>
          <t>Престиж Бисквити Траяна видове 95гр</t>
        </is>
      </c>
      <c r="C34" s="26" t="inlineStr">
        <is>
          <t>-</t>
        </is>
      </c>
      <c r="D34" s="29" t="n">
        <v>0</v>
      </c>
      <c r="E34" s="29" t="n">
        <v>0</v>
      </c>
      <c r="F34" s="30" t="n">
        <v>10</v>
      </c>
      <c r="G34" s="29" t="n">
        <v>0</v>
      </c>
      <c r="H34" s="30" t="n">
        <v>1</v>
      </c>
      <c r="I34" s="30" t="n">
        <v>6</v>
      </c>
      <c r="J34" s="29" t="n">
        <v>0</v>
      </c>
      <c r="K34" s="30" t="n">
        <v>8</v>
      </c>
      <c r="L34" s="29" t="n">
        <v>0</v>
      </c>
      <c r="M34" s="29" t="n">
        <v>0</v>
      </c>
      <c r="N34" s="30" t="n">
        <v>16</v>
      </c>
      <c r="O34" s="19">
        <f>SUM(D34:N34)</f>
        <v/>
      </c>
      <c r="P34" s="10" t="inlineStr">
        <is>
          <t>-</t>
        </is>
      </c>
    </row>
    <row r="35">
      <c r="A35" s="10" t="n">
        <v>31</v>
      </c>
      <c r="B35" s="23" t="inlineStr">
        <is>
          <t>Престиж Бисквити Траяна макси 241гр</t>
        </is>
      </c>
      <c r="C35" s="10" t="inlineStr">
        <is>
          <t>-</t>
        </is>
      </c>
      <c r="D35" s="8" t="n">
        <v>2</v>
      </c>
      <c r="E35" s="8" t="n">
        <v>8</v>
      </c>
      <c r="F35" s="8" t="n">
        <v>6</v>
      </c>
      <c r="G35" s="8" t="n">
        <v>14</v>
      </c>
      <c r="H35" s="8" t="n">
        <v>8</v>
      </c>
      <c r="I35" s="8" t="n">
        <v>9</v>
      </c>
      <c r="J35" s="25" t="n">
        <v>0</v>
      </c>
      <c r="K35" s="8" t="n">
        <v>11</v>
      </c>
      <c r="L35" s="8" t="n">
        <v>6</v>
      </c>
      <c r="M35" s="25" t="n">
        <v>0</v>
      </c>
      <c r="N35" s="25" t="n">
        <v>0</v>
      </c>
      <c r="O35" s="19">
        <f>SUM(D35:N35)</f>
        <v/>
      </c>
      <c r="P35" s="10" t="inlineStr">
        <is>
          <t>-</t>
        </is>
      </c>
    </row>
    <row r="36">
      <c r="A36" s="26" t="n">
        <v>32</v>
      </c>
      <c r="B36" s="27" t="inlineStr">
        <is>
          <t>Престиж Бисквити сандвич Ная Класик 131гр</t>
        </is>
      </c>
      <c r="C36" s="26" t="inlineStr">
        <is>
          <t>-</t>
        </is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30" t="n">
        <v>3</v>
      </c>
      <c r="K36" s="29" t="n">
        <v>0</v>
      </c>
      <c r="L36" s="30" t="n">
        <v>2</v>
      </c>
      <c r="M36" s="29" t="n">
        <v>0</v>
      </c>
      <c r="N36" s="29" t="n">
        <v>0</v>
      </c>
      <c r="O36" s="19">
        <f>SUM(D36:N36)</f>
        <v/>
      </c>
      <c r="P36" s="10" t="inlineStr">
        <is>
          <t>-</t>
        </is>
      </c>
    </row>
    <row r="37">
      <c r="A37" s="10" t="n">
        <v>33</v>
      </c>
      <c r="B37" s="23" t="inlineStr">
        <is>
          <t>Престиж Бисквити сандвич Ная ягодов йогурт 131гр</t>
        </is>
      </c>
      <c r="C37" s="10" t="inlineStr">
        <is>
          <t>-</t>
        </is>
      </c>
      <c r="D37" s="25" t="n">
        <v>0</v>
      </c>
      <c r="E37" s="8" t="n">
        <v>1</v>
      </c>
      <c r="F37" s="25" t="n">
        <v>0</v>
      </c>
      <c r="G37" s="8" t="n">
        <v>3</v>
      </c>
      <c r="H37" s="25" t="n">
        <v>0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0</v>
      </c>
      <c r="N37" s="25" t="n">
        <v>0</v>
      </c>
      <c r="O37" s="19">
        <f>SUM(D37:N37)</f>
        <v/>
      </c>
      <c r="P37" s="10" t="inlineStr">
        <is>
          <t>-</t>
        </is>
      </c>
    </row>
    <row r="38">
      <c r="A38" s="26" t="n">
        <v>34</v>
      </c>
      <c r="B38" s="27" t="inlineStr">
        <is>
          <t>Престиж Бисквити тунквани 300гр</t>
        </is>
      </c>
      <c r="C38" s="26" t="inlineStr">
        <is>
          <t>-</t>
        </is>
      </c>
      <c r="D38" s="29" t="n">
        <v>0</v>
      </c>
      <c r="E38" s="30" t="n">
        <v>8</v>
      </c>
      <c r="F38" s="29" t="n">
        <v>0</v>
      </c>
      <c r="G38" s="30" t="n">
        <v>2</v>
      </c>
      <c r="H38" s="30" t="n">
        <v>14</v>
      </c>
      <c r="I38" s="30" t="n">
        <v>2</v>
      </c>
      <c r="J38" s="29" t="n">
        <v>0</v>
      </c>
      <c r="K38" s="29" t="n">
        <v>0</v>
      </c>
      <c r="L38" s="29" t="n">
        <v>0</v>
      </c>
      <c r="M38" s="29" t="n">
        <v>0</v>
      </c>
      <c r="N38" s="30" t="n">
        <v>4</v>
      </c>
      <c r="O38" s="19">
        <f>SUM(D38:N38)</f>
        <v/>
      </c>
      <c r="P38" s="10" t="inlineStr">
        <is>
          <t>-</t>
        </is>
      </c>
    </row>
    <row r="39">
      <c r="A39" s="10" t="n">
        <v>35</v>
      </c>
      <c r="B39" s="23" t="inlineStr">
        <is>
          <t>Престиж Вафла 30гр</t>
        </is>
      </c>
      <c r="C39" s="10" t="inlineStr">
        <is>
          <t>-</t>
        </is>
      </c>
      <c r="D39" s="25" t="n">
        <v>0</v>
      </c>
      <c r="E39" s="25" t="n">
        <v>0</v>
      </c>
      <c r="F39" s="8" t="n">
        <v>16</v>
      </c>
      <c r="G39" s="25" t="n">
        <v>0</v>
      </c>
      <c r="H39" s="8" t="n">
        <v>28</v>
      </c>
      <c r="I39" s="25" t="n">
        <v>0</v>
      </c>
      <c r="J39" s="25" t="n">
        <v>0</v>
      </c>
      <c r="K39" s="25" t="n">
        <v>0</v>
      </c>
      <c r="L39" s="25" t="n">
        <v>0</v>
      </c>
      <c r="M39" s="25" t="n">
        <v>0</v>
      </c>
      <c r="N39" s="8" t="n">
        <v>2</v>
      </c>
      <c r="O39" s="19">
        <f>SUM(D39:N39)</f>
        <v/>
      </c>
      <c r="P39" s="10" t="inlineStr">
        <is>
          <t>-</t>
        </is>
      </c>
    </row>
    <row r="40">
      <c r="A40" s="26" t="n">
        <v>36</v>
      </c>
      <c r="B40" s="27" t="inlineStr">
        <is>
          <t>Престиж Вафла Споко +30% фъстъци 35г</t>
        </is>
      </c>
      <c r="C40" s="26" t="inlineStr">
        <is>
          <t>-</t>
        </is>
      </c>
      <c r="D40" s="29" t="n">
        <v>0</v>
      </c>
      <c r="E40" s="29" t="n">
        <v>0</v>
      </c>
      <c r="F40" s="29" t="n">
        <v>0</v>
      </c>
      <c r="G40" s="29" t="n">
        <v>0</v>
      </c>
      <c r="H40" s="30" t="n">
        <v>16</v>
      </c>
      <c r="I40" s="29" t="n">
        <v>0</v>
      </c>
      <c r="J40" s="29" t="n">
        <v>0</v>
      </c>
      <c r="K40" s="30" t="n">
        <v>10</v>
      </c>
      <c r="L40" s="29" t="n">
        <v>0</v>
      </c>
      <c r="M40" s="29" t="n">
        <v>0</v>
      </c>
      <c r="N40" s="29" t="n">
        <v>0</v>
      </c>
      <c r="O40" s="19">
        <f>SUM(D40:N40)</f>
        <v/>
      </c>
      <c r="P40" s="10" t="inlineStr">
        <is>
          <t>-</t>
        </is>
      </c>
    </row>
    <row r="41">
      <c r="A41" s="10" t="n">
        <v>37</v>
      </c>
      <c r="B41" s="23" t="inlineStr">
        <is>
          <t>Престиж Вафла Споко Макси +30% фъстъци 49г</t>
        </is>
      </c>
      <c r="C41" s="10" t="inlineStr">
        <is>
          <t>-</t>
        </is>
      </c>
      <c r="D41" s="25" t="n">
        <v>0</v>
      </c>
      <c r="E41" s="25" t="n">
        <v>0</v>
      </c>
      <c r="F41" s="8" t="n">
        <v>26</v>
      </c>
      <c r="G41" s="25" t="n">
        <v>0</v>
      </c>
      <c r="H41" s="25" t="n">
        <v>0</v>
      </c>
      <c r="I41" s="25" t="n">
        <v>0</v>
      </c>
      <c r="J41" s="25" t="n">
        <v>0</v>
      </c>
      <c r="K41" s="8" t="n">
        <v>15</v>
      </c>
      <c r="L41" s="25" t="n">
        <v>0</v>
      </c>
      <c r="M41" s="25" t="n">
        <v>0</v>
      </c>
      <c r="N41" s="25" t="n">
        <v>0</v>
      </c>
      <c r="O41" s="19">
        <f>SUM(D41:N41)</f>
        <v/>
      </c>
      <c r="P41" s="10" t="inlineStr">
        <is>
          <t>-</t>
        </is>
      </c>
    </row>
    <row r="42">
      <c r="A42" s="26" t="n">
        <v>38</v>
      </c>
      <c r="B42" s="27" t="inlineStr">
        <is>
          <t>Престиж Вафла Споко Макси Протеин 49гр</t>
        </is>
      </c>
      <c r="C42" s="26" t="inlineStr">
        <is>
          <t>-</t>
        </is>
      </c>
      <c r="D42" s="29" t="n">
        <v>0</v>
      </c>
      <c r="E42" s="30" t="n">
        <v>8</v>
      </c>
      <c r="F42" s="30" t="n">
        <v>10</v>
      </c>
      <c r="G42" s="29" t="n">
        <v>0</v>
      </c>
      <c r="H42" s="29" t="n">
        <v>0</v>
      </c>
      <c r="I42" s="30" t="n">
        <v>16</v>
      </c>
      <c r="J42" s="29" t="n">
        <v>0</v>
      </c>
      <c r="K42" s="29" t="n">
        <v>0</v>
      </c>
      <c r="L42" s="30" t="n">
        <v>1</v>
      </c>
      <c r="M42" s="29" t="n">
        <v>0</v>
      </c>
      <c r="N42" s="29" t="n">
        <v>0</v>
      </c>
      <c r="O42" s="19">
        <f>SUM(D42:N42)</f>
        <v/>
      </c>
      <c r="P42" s="10" t="inlineStr">
        <is>
          <t>-</t>
        </is>
      </c>
    </row>
    <row r="43">
      <c r="A43" s="10" t="n">
        <v>39</v>
      </c>
      <c r="B43" s="23" t="inlineStr">
        <is>
          <t>Престиж Вафла Споко Макси Солен Карамел 49гр</t>
        </is>
      </c>
      <c r="C43" s="10" t="inlineStr">
        <is>
          <t>-</t>
        </is>
      </c>
      <c r="D43" s="25" t="n">
        <v>0</v>
      </c>
      <c r="E43" s="25" t="n">
        <v>0</v>
      </c>
      <c r="F43" s="25" t="n">
        <v>0</v>
      </c>
      <c r="G43" s="8" t="n">
        <v>13</v>
      </c>
      <c r="H43" s="25" t="n">
        <v>0</v>
      </c>
      <c r="I43" s="8" t="n">
        <v>8</v>
      </c>
      <c r="J43" s="25" t="n">
        <v>0</v>
      </c>
      <c r="K43" s="8" t="n">
        <v>1</v>
      </c>
      <c r="L43" s="25" t="n">
        <v>0</v>
      </c>
      <c r="M43" s="25" t="n">
        <v>0</v>
      </c>
      <c r="N43" s="25" t="n">
        <v>0</v>
      </c>
      <c r="O43" s="19">
        <f>SUM(D43:N43)</f>
        <v/>
      </c>
      <c r="P43" s="10" t="inlineStr">
        <is>
          <t>-</t>
        </is>
      </c>
    </row>
    <row r="44">
      <c r="A44" s="26" t="n">
        <v>40</v>
      </c>
      <c r="B44" s="27" t="inlineStr">
        <is>
          <t>Престиж Вафла Споко Макси Фъстъчено масло 49гр</t>
        </is>
      </c>
      <c r="C44" s="26" t="inlineStr">
        <is>
          <t>-</t>
        </is>
      </c>
      <c r="D44" s="29" t="n">
        <v>0</v>
      </c>
      <c r="E44" s="30" t="n">
        <v>1</v>
      </c>
      <c r="F44" s="29" t="n">
        <v>0</v>
      </c>
      <c r="G44" s="30" t="n">
        <v>8</v>
      </c>
      <c r="H44" s="29" t="n">
        <v>0</v>
      </c>
      <c r="I44" s="29" t="n">
        <v>0</v>
      </c>
      <c r="J44" s="30" t="n">
        <v>5</v>
      </c>
      <c r="K44" s="30" t="n">
        <v>4</v>
      </c>
      <c r="L44" s="29" t="n">
        <v>0</v>
      </c>
      <c r="M44" s="29" t="n">
        <v>0</v>
      </c>
      <c r="N44" s="30" t="n">
        <v>7</v>
      </c>
      <c r="O44" s="19">
        <f>SUM(D44:N44)</f>
        <v/>
      </c>
      <c r="P44" s="10" t="inlineStr">
        <is>
          <t>-</t>
        </is>
      </c>
    </row>
    <row r="45">
      <c r="A45" s="10" t="n">
        <v>41</v>
      </c>
      <c r="B45" s="23" t="inlineStr">
        <is>
          <t>Престиж Вафла Споко Макси Халва 49гр</t>
        </is>
      </c>
      <c r="C45" s="10" t="inlineStr">
        <is>
          <t>-</t>
        </is>
      </c>
      <c r="D45" s="25" t="n">
        <v>0</v>
      </c>
      <c r="E45" s="25" t="n">
        <v>0</v>
      </c>
      <c r="F45" s="25" t="n">
        <v>0</v>
      </c>
      <c r="G45" s="25" t="n">
        <v>0</v>
      </c>
      <c r="H45" s="25" t="n">
        <v>0</v>
      </c>
      <c r="I45" s="8" t="n">
        <v>14</v>
      </c>
      <c r="J45" s="25" t="n">
        <v>0</v>
      </c>
      <c r="K45" s="8" t="n">
        <v>18</v>
      </c>
      <c r="L45" s="25" t="n">
        <v>0</v>
      </c>
      <c r="M45" s="25" t="n">
        <v>0</v>
      </c>
      <c r="N45" s="25" t="n">
        <v>0</v>
      </c>
      <c r="O45" s="19">
        <f>SUM(D45:N45)</f>
        <v/>
      </c>
      <c r="P45" s="10" t="inlineStr">
        <is>
          <t>-</t>
        </is>
      </c>
    </row>
    <row r="46">
      <c r="A46" s="26" t="n">
        <v>42</v>
      </c>
      <c r="B46" s="27" t="inlineStr">
        <is>
          <t>Престиж Вафла Троя Голд 32гр</t>
        </is>
      </c>
      <c r="C46" s="26" t="inlineStr">
        <is>
          <t>-</t>
        </is>
      </c>
      <c r="D46" s="29" t="n">
        <v>0</v>
      </c>
      <c r="E46" s="29" t="n">
        <v>0</v>
      </c>
      <c r="F46" s="30" t="n">
        <v>18</v>
      </c>
      <c r="G46" s="29" t="n">
        <v>0</v>
      </c>
      <c r="H46" s="29" t="n">
        <v>0</v>
      </c>
      <c r="I46" s="29" t="n">
        <v>0</v>
      </c>
      <c r="J46" s="29" t="n">
        <v>0</v>
      </c>
      <c r="K46" s="29" t="n">
        <v>0</v>
      </c>
      <c r="L46" s="29" t="n">
        <v>0</v>
      </c>
      <c r="M46" s="29" t="n">
        <v>0</v>
      </c>
      <c r="N46" s="30" t="n">
        <v>15</v>
      </c>
      <c r="O46" s="19">
        <f>SUM(D46:N46)</f>
        <v/>
      </c>
      <c r="P46" s="10" t="inlineStr">
        <is>
          <t>-</t>
        </is>
      </c>
    </row>
    <row r="47">
      <c r="A47" s="10" t="n">
        <v>43</v>
      </c>
      <c r="B47" s="23" t="inlineStr">
        <is>
          <t>Престиж Вафла Троя Класик 28/32гр</t>
        </is>
      </c>
      <c r="C47" s="10" t="inlineStr">
        <is>
          <t>-</t>
        </is>
      </c>
      <c r="D47" s="8" t="n">
        <v>8</v>
      </c>
      <c r="E47" s="25" t="n">
        <v>0</v>
      </c>
      <c r="F47" s="25" t="n">
        <v>0</v>
      </c>
      <c r="G47" s="8" t="n">
        <v>17</v>
      </c>
      <c r="H47" s="25" t="n">
        <v>0</v>
      </c>
      <c r="I47" s="25" t="n">
        <v>0</v>
      </c>
      <c r="J47" s="25" t="n">
        <v>0</v>
      </c>
      <c r="K47" s="8" t="n">
        <v>10</v>
      </c>
      <c r="L47" s="25" t="n">
        <v>0</v>
      </c>
      <c r="M47" s="25" t="n">
        <v>0</v>
      </c>
      <c r="N47" s="25" t="n">
        <v>0</v>
      </c>
      <c r="O47" s="19">
        <f>SUM(D47:N47)</f>
        <v/>
      </c>
      <c r="P47" s="10" t="inlineStr">
        <is>
          <t>-</t>
        </is>
      </c>
    </row>
    <row r="48">
      <c r="A48" s="26" t="n">
        <v>44</v>
      </c>
      <c r="B48" s="27" t="inlineStr">
        <is>
          <t>Престиж Вафла Троя Лешник 30гр</t>
        </is>
      </c>
      <c r="C48" s="26" t="inlineStr">
        <is>
          <t>-</t>
        </is>
      </c>
      <c r="D48" s="29" t="n">
        <v>0</v>
      </c>
      <c r="E48" s="29" t="n">
        <v>0</v>
      </c>
      <c r="F48" s="29" t="n">
        <v>0</v>
      </c>
      <c r="G48" s="30" t="n">
        <v>2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n">
        <v>0</v>
      </c>
      <c r="O48" s="19">
        <f>SUM(D48:N48)</f>
        <v/>
      </c>
      <c r="P48" s="10" t="inlineStr">
        <is>
          <t>-</t>
        </is>
      </c>
    </row>
    <row r="49">
      <c r="A49" s="10" t="n">
        <v>45</v>
      </c>
      <c r="B49" s="23" t="inlineStr">
        <is>
          <t>Престиж Вафла Троя Макси 49гр.</t>
        </is>
      </c>
      <c r="C49" s="10" t="inlineStr">
        <is>
          <t>-</t>
        </is>
      </c>
      <c r="D49" s="25" t="n">
        <v>0</v>
      </c>
      <c r="E49" s="8" t="n">
        <v>5</v>
      </c>
      <c r="F49" s="25" t="n">
        <v>0</v>
      </c>
      <c r="G49" s="25" t="n">
        <v>0</v>
      </c>
      <c r="H49" s="25" t="n">
        <v>0</v>
      </c>
      <c r="I49" s="25" t="n">
        <v>0</v>
      </c>
      <c r="J49" s="25" t="n">
        <v>0</v>
      </c>
      <c r="K49" s="25" t="n">
        <v>0</v>
      </c>
      <c r="L49" s="25" t="n">
        <v>0</v>
      </c>
      <c r="M49" s="25" t="n">
        <v>0</v>
      </c>
      <c r="N49" s="25" t="n">
        <v>0</v>
      </c>
      <c r="O49" s="19">
        <f>SUM(D49:N49)</f>
        <v/>
      </c>
      <c r="P49" s="10" t="inlineStr">
        <is>
          <t>-</t>
        </is>
      </c>
    </row>
    <row r="50">
      <c r="A50" s="26" t="n">
        <v>46</v>
      </c>
      <c r="B50" s="27" t="inlineStr">
        <is>
          <t>Престиж Вафла Троя Макси Лимонов Чийзкейк 49гр.</t>
        </is>
      </c>
      <c r="C50" s="26" t="inlineStr">
        <is>
          <t>-</t>
        </is>
      </c>
      <c r="D50" s="29" t="n">
        <v>0</v>
      </c>
      <c r="E50" s="29" t="n">
        <v>0</v>
      </c>
      <c r="F50" s="29" t="n">
        <v>0</v>
      </c>
      <c r="G50" s="29" t="n">
        <v>0</v>
      </c>
      <c r="H50" s="29" t="n">
        <v>0</v>
      </c>
      <c r="I50" s="29" t="n">
        <v>0</v>
      </c>
      <c r="J50" s="29" t="n">
        <v>0</v>
      </c>
      <c r="K50" s="29" t="n">
        <v>0</v>
      </c>
      <c r="L50" s="29" t="n">
        <v>0</v>
      </c>
      <c r="M50" s="29" t="n">
        <v>0</v>
      </c>
      <c r="N50" s="29" t="n">
        <v>0</v>
      </c>
      <c r="O50" s="19">
        <f>SUM(D50:N50)</f>
        <v/>
      </c>
      <c r="P50" s="10" t="inlineStr">
        <is>
          <t>-</t>
        </is>
      </c>
    </row>
    <row r="51">
      <c r="A51" s="10" t="n">
        <v>47</v>
      </c>
      <c r="B51" s="23" t="inlineStr">
        <is>
          <t>Престиж Вафла Троя Манго 28гр</t>
        </is>
      </c>
      <c r="C51" s="10" t="inlineStr">
        <is>
          <t>-</t>
        </is>
      </c>
      <c r="D51" s="25" t="n">
        <v>0</v>
      </c>
      <c r="E51" s="25" t="n">
        <v>0</v>
      </c>
      <c r="F51" s="25" t="n">
        <v>0</v>
      </c>
      <c r="G51" s="25" t="n">
        <v>0</v>
      </c>
      <c r="H51" s="25" t="n">
        <v>0</v>
      </c>
      <c r="I51" s="25" t="n">
        <v>0</v>
      </c>
      <c r="J51" s="25" t="n">
        <v>0</v>
      </c>
      <c r="K51" s="25" t="n">
        <v>0</v>
      </c>
      <c r="L51" s="25" t="n">
        <v>0</v>
      </c>
      <c r="M51" s="25" t="n">
        <v>0</v>
      </c>
      <c r="N51" s="25" t="n">
        <v>0</v>
      </c>
      <c r="O51" s="19">
        <f>SUM(D51:N51)</f>
        <v/>
      </c>
      <c r="P51" s="10" t="inlineStr">
        <is>
          <t>-</t>
        </is>
      </c>
    </row>
    <row r="52">
      <c r="A52" s="26" t="n">
        <v>48</v>
      </c>
      <c r="B52" s="27" t="inlineStr">
        <is>
          <t>Престиж Вафла Хипер Протеин 50гр</t>
        </is>
      </c>
      <c r="C52" s="26" t="inlineStr">
        <is>
          <t>-</t>
        </is>
      </c>
      <c r="D52" s="30" t="n">
        <v>2</v>
      </c>
      <c r="E52" s="30" t="n">
        <v>12</v>
      </c>
      <c r="F52" s="30" t="n">
        <v>2</v>
      </c>
      <c r="G52" s="29" t="n">
        <v>0</v>
      </c>
      <c r="H52" s="30" t="n">
        <v>7</v>
      </c>
      <c r="I52" s="30" t="n">
        <v>30</v>
      </c>
      <c r="J52" s="29" t="n">
        <v>0</v>
      </c>
      <c r="K52" s="29" t="n">
        <v>0</v>
      </c>
      <c r="L52" s="29" t="n">
        <v>0</v>
      </c>
      <c r="M52" s="29" t="n">
        <v>0</v>
      </c>
      <c r="N52" s="30" t="n">
        <v>50</v>
      </c>
      <c r="O52" s="19">
        <f>SUM(D52:N52)</f>
        <v/>
      </c>
      <c r="P52" s="10" t="inlineStr">
        <is>
          <t>-</t>
        </is>
      </c>
    </row>
    <row r="53">
      <c r="A53" s="10" t="n">
        <v>49</v>
      </c>
      <c r="B53" s="23" t="inlineStr">
        <is>
          <t>Престиж Вафла Хипер ванилия блек 55г</t>
        </is>
      </c>
      <c r="C53" s="10" t="inlineStr">
        <is>
          <t>-</t>
        </is>
      </c>
      <c r="D53" s="25" t="n">
        <v>0</v>
      </c>
      <c r="E53" s="8" t="n">
        <v>14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0</v>
      </c>
      <c r="K53" s="8" t="n">
        <v>12</v>
      </c>
      <c r="L53" s="25" t="n">
        <v>0</v>
      </c>
      <c r="M53" s="8" t="n">
        <v>11</v>
      </c>
      <c r="N53" s="25" t="n">
        <v>0</v>
      </c>
      <c r="O53" s="19">
        <f>SUM(D53:N53)</f>
        <v/>
      </c>
      <c r="P53" s="10" t="inlineStr">
        <is>
          <t>-</t>
        </is>
      </c>
    </row>
    <row r="54">
      <c r="A54" s="26" t="n">
        <v>50</v>
      </c>
      <c r="B54" s="27" t="inlineStr">
        <is>
          <t>Престиж Вафла Хипер класик 50/55гр</t>
        </is>
      </c>
      <c r="C54" s="26" t="inlineStr">
        <is>
          <t>-</t>
        </is>
      </c>
      <c r="D54" s="29" t="n">
        <v>0</v>
      </c>
      <c r="E54" s="30" t="n">
        <v>8</v>
      </c>
      <c r="F54" s="30" t="n">
        <v>12</v>
      </c>
      <c r="G54" s="30" t="n">
        <v>38</v>
      </c>
      <c r="H54" s="30" t="n">
        <v>58</v>
      </c>
      <c r="I54" s="30" t="n">
        <v>42</v>
      </c>
      <c r="J54" s="30" t="n">
        <v>32</v>
      </c>
      <c r="K54" s="30" t="n">
        <v>18</v>
      </c>
      <c r="L54" s="30" t="n">
        <v>30</v>
      </c>
      <c r="M54" s="29" t="n">
        <v>0</v>
      </c>
      <c r="N54" s="30" t="n">
        <v>80</v>
      </c>
      <c r="O54" s="19">
        <f>SUM(D54:N54)</f>
        <v/>
      </c>
      <c r="P54" s="10" t="inlineStr">
        <is>
          <t>-</t>
        </is>
      </c>
    </row>
    <row r="55">
      <c r="A55" s="10" t="n">
        <v>51</v>
      </c>
      <c r="B55" s="23" t="inlineStr">
        <is>
          <t>Престиж Вафла Хипер лешник 55гр</t>
        </is>
      </c>
      <c r="C55" s="10" t="inlineStr">
        <is>
          <t>-</t>
        </is>
      </c>
      <c r="D55" s="8" t="n">
        <v>42</v>
      </c>
      <c r="E55" s="8" t="n">
        <v>54</v>
      </c>
      <c r="F55" s="25" t="n">
        <v>0</v>
      </c>
      <c r="G55" s="25" t="n">
        <v>0</v>
      </c>
      <c r="H55" s="25" t="n">
        <v>0</v>
      </c>
      <c r="I55" s="8" t="n">
        <v>2</v>
      </c>
      <c r="J55" s="8" t="n">
        <v>2</v>
      </c>
      <c r="K55" s="25" t="n">
        <v>0</v>
      </c>
      <c r="L55" s="8" t="n">
        <v>14</v>
      </c>
      <c r="M55" s="25" t="n">
        <v>0</v>
      </c>
      <c r="N55" s="8" t="n">
        <v>30</v>
      </c>
      <c r="O55" s="19">
        <f>SUM(D55:N55)</f>
        <v/>
      </c>
      <c r="P55" s="10" t="inlineStr">
        <is>
          <t>-</t>
        </is>
      </c>
    </row>
    <row r="56">
      <c r="A56" s="26" t="n">
        <v>52</v>
      </c>
      <c r="B56" s="27" t="inlineStr">
        <is>
          <t>Престиж Вафла Шамфъстък 21гр</t>
        </is>
      </c>
      <c r="C56" s="26" t="inlineStr">
        <is>
          <t>-</t>
        </is>
      </c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30" t="n">
        <v>14</v>
      </c>
      <c r="O56" s="19">
        <f>SUM(D56:N56)</f>
        <v/>
      </c>
      <c r="P56" s="10" t="inlineStr">
        <is>
          <t>-</t>
        </is>
      </c>
    </row>
    <row r="57">
      <c r="A57" s="10" t="n">
        <v>53</v>
      </c>
      <c r="B57" s="23" t="inlineStr">
        <is>
          <t>Престиж Вафли Мираж с лек крем 135гр</t>
        </is>
      </c>
      <c r="C57" s="10" t="inlineStr">
        <is>
          <t>-</t>
        </is>
      </c>
      <c r="D57" s="25" t="n">
        <v>0</v>
      </c>
      <c r="E57" s="8" t="n">
        <v>5</v>
      </c>
      <c r="F57" s="25" t="n">
        <v>0</v>
      </c>
      <c r="G57" s="25" t="n">
        <v>0</v>
      </c>
      <c r="H57" s="25" t="n">
        <v>0</v>
      </c>
      <c r="I57" s="25" t="n">
        <v>0</v>
      </c>
      <c r="J57" s="25" t="n">
        <v>0</v>
      </c>
      <c r="K57" s="25" t="n">
        <v>0</v>
      </c>
      <c r="L57" s="25" t="n">
        <v>0</v>
      </c>
      <c r="M57" s="25" t="n">
        <v>0</v>
      </c>
      <c r="N57" s="8" t="n">
        <v>4</v>
      </c>
      <c r="O57" s="19">
        <f>SUM(D57:N57)</f>
        <v/>
      </c>
      <c r="P57" s="10" t="inlineStr">
        <is>
          <t>-</t>
        </is>
      </c>
    </row>
    <row r="58">
      <c r="A58" s="26" t="n">
        <v>54</v>
      </c>
      <c r="B58" s="27" t="inlineStr">
        <is>
          <t>Престиж Вафли Ная 6бр 128-150гр</t>
        </is>
      </c>
      <c r="C58" s="26" t="inlineStr">
        <is>
          <t>-</t>
        </is>
      </c>
      <c r="D58" s="30" t="n">
        <v>14</v>
      </c>
      <c r="E58" s="30" t="n">
        <v>14</v>
      </c>
      <c r="F58" s="30" t="n">
        <v>21</v>
      </c>
      <c r="G58" s="30" t="n">
        <v>22</v>
      </c>
      <c r="H58" s="30" t="n">
        <v>27</v>
      </c>
      <c r="I58" s="30" t="n">
        <v>8</v>
      </c>
      <c r="J58" s="30" t="n">
        <v>19</v>
      </c>
      <c r="K58" s="30" t="n">
        <v>2</v>
      </c>
      <c r="L58" s="29" t="n">
        <v>0</v>
      </c>
      <c r="M58" s="30" t="n">
        <v>40</v>
      </c>
      <c r="N58" s="30" t="n">
        <v>34</v>
      </c>
      <c r="O58" s="19">
        <f>SUM(D58:N58)</f>
        <v/>
      </c>
      <c r="P58" s="10" t="inlineStr">
        <is>
          <t>-</t>
        </is>
      </c>
    </row>
    <row r="59">
      <c r="A59" s="10" t="n">
        <v>55</v>
      </c>
      <c r="B59" s="23" t="inlineStr">
        <is>
          <t>Престиж Вафли Ная Боровинка 21бр 450гр</t>
        </is>
      </c>
      <c r="C59" s="10" t="inlineStr">
        <is>
          <t>-</t>
        </is>
      </c>
      <c r="D59" s="25" t="n">
        <v>0</v>
      </c>
      <c r="E59" s="25" t="n">
        <v>0</v>
      </c>
      <c r="F59" s="25" t="n">
        <v>0</v>
      </c>
      <c r="G59" s="25" t="n">
        <v>0</v>
      </c>
      <c r="H59" s="25" t="n">
        <v>0</v>
      </c>
      <c r="I59" s="25" t="n">
        <v>0</v>
      </c>
      <c r="J59" s="25" t="n">
        <v>0</v>
      </c>
      <c r="K59" s="8" t="n">
        <v>1</v>
      </c>
      <c r="L59" s="25" t="n">
        <v>0</v>
      </c>
      <c r="M59" s="25" t="n">
        <v>0</v>
      </c>
      <c r="N59" s="8" t="n">
        <v>3</v>
      </c>
      <c r="O59" s="19">
        <f>SUM(D59:N59)</f>
        <v/>
      </c>
      <c r="P59" s="10" t="inlineStr">
        <is>
          <t>-</t>
        </is>
      </c>
    </row>
    <row r="60">
      <c r="A60" s="26" t="n">
        <v>56</v>
      </c>
      <c r="B60" s="27" t="inlineStr">
        <is>
          <t>Престиж Вафли Ная Боровинка 600гр/28бр</t>
        </is>
      </c>
      <c r="C60" s="26" t="inlineStr">
        <is>
          <t>-</t>
        </is>
      </c>
      <c r="D60" s="29" t="n">
        <v>0</v>
      </c>
      <c r="E60" s="29" t="n">
        <v>0</v>
      </c>
      <c r="F60" s="29" t="n">
        <v>0</v>
      </c>
      <c r="G60" s="30" t="n">
        <v>2</v>
      </c>
      <c r="H60" s="29" t="n">
        <v>0</v>
      </c>
      <c r="I60" s="29" t="n">
        <v>0</v>
      </c>
      <c r="J60" s="29" t="n">
        <v>0</v>
      </c>
      <c r="K60" s="29" t="n">
        <v>0</v>
      </c>
      <c r="L60" s="29" t="n">
        <v>0</v>
      </c>
      <c r="M60" s="30" t="n">
        <v>2</v>
      </c>
      <c r="N60" s="29" t="n">
        <v>0</v>
      </c>
      <c r="O60" s="19">
        <f>SUM(D60:N60)</f>
        <v/>
      </c>
      <c r="P60" s="10" t="inlineStr">
        <is>
          <t>-</t>
        </is>
      </c>
    </row>
    <row r="61">
      <c r="A61" s="10" t="n">
        <v>57</v>
      </c>
      <c r="B61" s="23" t="inlineStr">
        <is>
          <t>Престиж Вафли Ная Какао кутия 600/28бр</t>
        </is>
      </c>
      <c r="C61" s="10" t="inlineStr">
        <is>
          <t>-</t>
        </is>
      </c>
      <c r="D61" s="25" t="n">
        <v>0</v>
      </c>
      <c r="E61" s="8" t="n">
        <v>1</v>
      </c>
      <c r="F61" s="25" t="n">
        <v>0</v>
      </c>
      <c r="G61" s="25" t="n">
        <v>0</v>
      </c>
      <c r="H61" s="25" t="n">
        <v>0</v>
      </c>
      <c r="I61" s="25" t="n">
        <v>0</v>
      </c>
      <c r="J61" s="8" t="n">
        <v>2</v>
      </c>
      <c r="K61" s="25" t="n">
        <v>0</v>
      </c>
      <c r="L61" s="25" t="n">
        <v>0</v>
      </c>
      <c r="M61" s="25" t="n">
        <v>0</v>
      </c>
      <c r="N61" s="25" t="n">
        <v>0</v>
      </c>
      <c r="O61" s="19">
        <f>SUM(D61:N61)</f>
        <v/>
      </c>
      <c r="P61" s="10" t="inlineStr">
        <is>
          <t>-</t>
        </is>
      </c>
    </row>
    <row r="62">
      <c r="A62" s="26" t="n">
        <v>58</v>
      </c>
      <c r="B62" s="27" t="inlineStr">
        <is>
          <t>Престиж Вафли Ная Мляко и какао 600/28бр</t>
        </is>
      </c>
      <c r="C62" s="26" t="inlineStr">
        <is>
          <t>-</t>
        </is>
      </c>
      <c r="D62" s="29" t="n">
        <v>0</v>
      </c>
      <c r="E62" s="29" t="n">
        <v>0</v>
      </c>
      <c r="F62" s="29" t="n">
        <v>0</v>
      </c>
      <c r="G62" s="29" t="n">
        <v>0</v>
      </c>
      <c r="H62" s="29" t="n">
        <v>0</v>
      </c>
      <c r="I62" s="29" t="n">
        <v>0</v>
      </c>
      <c r="J62" s="29" t="n">
        <v>0</v>
      </c>
      <c r="K62" s="29" t="n">
        <v>0</v>
      </c>
      <c r="L62" s="29" t="n">
        <v>0</v>
      </c>
      <c r="M62" s="29" t="n">
        <v>0</v>
      </c>
      <c r="N62" s="29" t="n">
        <v>0</v>
      </c>
      <c r="O62" s="19">
        <f>SUM(D62:N62)</f>
        <v/>
      </c>
      <c r="P62" s="10" t="inlineStr">
        <is>
          <t>-</t>
        </is>
      </c>
    </row>
    <row r="63">
      <c r="A63" s="10" t="n">
        <v>59</v>
      </c>
      <c r="B63" s="23" t="inlineStr">
        <is>
          <t>Престиж Вафли Ная кутия 15бр 350г</t>
        </is>
      </c>
      <c r="C63" s="10" t="inlineStr">
        <is>
          <t>-</t>
        </is>
      </c>
      <c r="D63" s="25" t="n">
        <v>0</v>
      </c>
      <c r="E63" s="8" t="n">
        <v>16</v>
      </c>
      <c r="F63" s="8" t="n">
        <v>4</v>
      </c>
      <c r="G63" s="8" t="n">
        <v>25</v>
      </c>
      <c r="H63" s="8" t="n">
        <v>2</v>
      </c>
      <c r="I63" s="8" t="n">
        <v>6</v>
      </c>
      <c r="J63" s="8" t="n">
        <v>20</v>
      </c>
      <c r="K63" s="8" t="n">
        <v>8</v>
      </c>
      <c r="L63" s="8" t="n">
        <v>12</v>
      </c>
      <c r="M63" s="8" t="n">
        <v>11</v>
      </c>
      <c r="N63" s="8" t="n">
        <v>14</v>
      </c>
      <c r="O63" s="19">
        <f>SUM(D63:N63)</f>
        <v/>
      </c>
      <c r="P63" s="10" t="inlineStr">
        <is>
          <t>-</t>
        </is>
      </c>
    </row>
    <row r="64">
      <c r="A64" s="26" t="n">
        <v>60</v>
      </c>
      <c r="B64" s="27" t="inlineStr">
        <is>
          <t>Престиж Вафли Ная кутия 21бр 525гр</t>
        </is>
      </c>
      <c r="C64" s="26" t="inlineStr">
        <is>
          <t>-</t>
        </is>
      </c>
      <c r="D64" s="29" t="n">
        <v>0</v>
      </c>
      <c r="E64" s="30" t="n">
        <v>2</v>
      </c>
      <c r="F64" s="29" t="n">
        <v>0</v>
      </c>
      <c r="G64" s="30" t="n">
        <v>2</v>
      </c>
      <c r="H64" s="29" t="n">
        <v>0</v>
      </c>
      <c r="I64" s="29" t="n">
        <v>0</v>
      </c>
      <c r="J64" s="30" t="n">
        <v>9</v>
      </c>
      <c r="K64" s="30" t="n">
        <v>9</v>
      </c>
      <c r="L64" s="29" t="n">
        <v>0</v>
      </c>
      <c r="M64" s="29" t="n">
        <v>0</v>
      </c>
      <c r="N64" s="30" t="n">
        <v>13</v>
      </c>
      <c r="O64" s="19">
        <f>SUM(D64:N64)</f>
        <v/>
      </c>
      <c r="P64" s="10" t="inlineStr">
        <is>
          <t>-</t>
        </is>
      </c>
    </row>
    <row r="65">
      <c r="A65" s="10" t="n">
        <v>61</v>
      </c>
      <c r="B65" s="23" t="inlineStr">
        <is>
          <t>Престиж Вафли Ная кутия 635/28бр</t>
        </is>
      </c>
      <c r="C65" s="10" t="inlineStr">
        <is>
          <t>-</t>
        </is>
      </c>
      <c r="D65" s="25" t="n">
        <v>0</v>
      </c>
      <c r="E65" s="8" t="n">
        <v>4</v>
      </c>
      <c r="F65" s="25" t="n">
        <v>0</v>
      </c>
      <c r="G65" s="8" t="n">
        <v>2</v>
      </c>
      <c r="H65" s="8" t="n">
        <v>4</v>
      </c>
      <c r="I65" s="25" t="n">
        <v>0</v>
      </c>
      <c r="J65" s="25" t="n">
        <v>0</v>
      </c>
      <c r="K65" s="25" t="n">
        <v>0</v>
      </c>
      <c r="L65" s="25" t="n">
        <v>0</v>
      </c>
      <c r="M65" s="25" t="n">
        <v>0</v>
      </c>
      <c r="N65" s="25" t="n">
        <v>0</v>
      </c>
      <c r="O65" s="19">
        <f>SUM(D65:N65)</f>
        <v/>
      </c>
      <c r="P65" s="10" t="inlineStr">
        <is>
          <t>-</t>
        </is>
      </c>
    </row>
    <row r="66">
      <c r="A66" s="26" t="n">
        <v>62</v>
      </c>
      <c r="B66" s="27" t="inlineStr">
        <is>
          <t>Престиж Вафли Ная кутия какао 15бр 321г</t>
        </is>
      </c>
      <c r="C66" s="26" t="inlineStr">
        <is>
          <t>-</t>
        </is>
      </c>
      <c r="D66" s="29" t="n">
        <v>0</v>
      </c>
      <c r="E66" s="29" t="n">
        <v>0</v>
      </c>
      <c r="F66" s="30" t="n">
        <v>6</v>
      </c>
      <c r="G66" s="30" t="n">
        <v>8</v>
      </c>
      <c r="H66" s="30" t="n">
        <v>11</v>
      </c>
      <c r="I66" s="30" t="n">
        <v>4</v>
      </c>
      <c r="J66" s="30" t="n">
        <v>4</v>
      </c>
      <c r="K66" s="30" t="n">
        <v>4</v>
      </c>
      <c r="L66" s="30" t="n">
        <v>1</v>
      </c>
      <c r="M66" s="29" t="n">
        <v>0</v>
      </c>
      <c r="N66" s="30" t="n">
        <v>4</v>
      </c>
      <c r="O66" s="19">
        <f>SUM(D66:N66)</f>
        <v/>
      </c>
      <c r="P66" s="10" t="inlineStr">
        <is>
          <t>-</t>
        </is>
      </c>
    </row>
    <row r="67">
      <c r="A67" s="10" t="n">
        <v>63</v>
      </c>
      <c r="B67" s="23" t="inlineStr">
        <is>
          <t>Престиж Вафли Ная мляко и какао 15бр 321гр</t>
        </is>
      </c>
      <c r="C67" s="10" t="inlineStr">
        <is>
          <t>-</t>
        </is>
      </c>
      <c r="D67" s="25" t="n">
        <v>0</v>
      </c>
      <c r="E67" s="8" t="n">
        <v>12</v>
      </c>
      <c r="F67" s="25" t="n">
        <v>0</v>
      </c>
      <c r="G67" s="25" t="n">
        <v>0</v>
      </c>
      <c r="H67" s="25" t="n">
        <v>0</v>
      </c>
      <c r="I67" s="8" t="n">
        <v>2</v>
      </c>
      <c r="J67" s="25" t="n">
        <v>0</v>
      </c>
      <c r="K67" s="25" t="n">
        <v>0</v>
      </c>
      <c r="L67" s="8" t="n">
        <v>3</v>
      </c>
      <c r="M67" s="25" t="n">
        <v>0</v>
      </c>
      <c r="N67" s="25" t="n">
        <v>0</v>
      </c>
      <c r="O67" s="19">
        <f>SUM(D67:N67)</f>
        <v/>
      </c>
      <c r="P67" s="10" t="inlineStr">
        <is>
          <t>-</t>
        </is>
      </c>
    </row>
    <row r="68">
      <c r="A68" s="26" t="n">
        <v>64</v>
      </c>
      <c r="B68" s="27" t="inlineStr">
        <is>
          <t>Престиж Вафли Роден край 100/120гр</t>
        </is>
      </c>
      <c r="C68" s="26" t="inlineStr">
        <is>
          <t>-</t>
        </is>
      </c>
      <c r="D68" s="29" t="n">
        <v>0</v>
      </c>
      <c r="E68" s="30" t="n">
        <v>9</v>
      </c>
      <c r="F68" s="29" t="n">
        <v>0</v>
      </c>
      <c r="G68" s="30" t="n">
        <v>2</v>
      </c>
      <c r="H68" s="30" t="n">
        <v>5</v>
      </c>
      <c r="I68" s="29" t="n">
        <v>0</v>
      </c>
      <c r="J68" s="29" t="n">
        <v>0</v>
      </c>
      <c r="K68" s="29" t="n">
        <v>0</v>
      </c>
      <c r="L68" s="29" t="n">
        <v>0</v>
      </c>
      <c r="M68" s="29" t="n">
        <v>0</v>
      </c>
      <c r="N68" s="30" t="n">
        <v>26</v>
      </c>
      <c r="O68" s="19">
        <f>SUM(D68:N68)</f>
        <v/>
      </c>
      <c r="P68" s="10" t="inlineStr">
        <is>
          <t>-</t>
        </is>
      </c>
    </row>
    <row r="69">
      <c r="A69" s="10" t="n">
        <v>65</v>
      </c>
      <c r="B69" s="23" t="inlineStr">
        <is>
          <t>Престиж Вафли Роден край 360/375гр-15бр.</t>
        </is>
      </c>
      <c r="C69" s="10" t="inlineStr">
        <is>
          <t>-</t>
        </is>
      </c>
      <c r="D69" s="25" t="n">
        <v>0</v>
      </c>
      <c r="E69" s="8" t="n">
        <v>4</v>
      </c>
      <c r="F69" s="25" t="n">
        <v>0</v>
      </c>
      <c r="G69" s="8" t="n">
        <v>4</v>
      </c>
      <c r="H69" s="8" t="n">
        <v>1</v>
      </c>
      <c r="I69" s="25" t="n">
        <v>0</v>
      </c>
      <c r="J69" s="8" t="n">
        <v>2</v>
      </c>
      <c r="K69" s="8" t="n">
        <v>11</v>
      </c>
      <c r="L69" s="25" t="n">
        <v>0</v>
      </c>
      <c r="M69" s="8" t="n">
        <v>11</v>
      </c>
      <c r="N69" s="8" t="n">
        <v>12</v>
      </c>
      <c r="O69" s="19">
        <f>SUM(D69:N69)</f>
        <v/>
      </c>
      <c r="P69" s="10" t="inlineStr">
        <is>
          <t>-</t>
        </is>
      </c>
    </row>
    <row r="70">
      <c r="A70" s="26" t="n">
        <v>66</v>
      </c>
      <c r="B70" s="27" t="inlineStr">
        <is>
          <t>Престиж Вафли Роден край 525гр</t>
        </is>
      </c>
      <c r="C70" s="26" t="inlineStr">
        <is>
          <t>-</t>
        </is>
      </c>
      <c r="D70" s="29" t="n">
        <v>0</v>
      </c>
      <c r="E70" s="29" t="n">
        <v>0</v>
      </c>
      <c r="F70" s="29" t="n">
        <v>0</v>
      </c>
      <c r="G70" s="30" t="n">
        <v>2</v>
      </c>
      <c r="H70" s="29" t="n">
        <v>0</v>
      </c>
      <c r="I70" s="29" t="n">
        <v>0</v>
      </c>
      <c r="J70" s="30" t="n">
        <v>4</v>
      </c>
      <c r="K70" s="29" t="n">
        <v>0</v>
      </c>
      <c r="L70" s="29" t="n">
        <v>0</v>
      </c>
      <c r="M70" s="29" t="n">
        <v>0</v>
      </c>
      <c r="N70" s="30" t="n">
        <v>10</v>
      </c>
      <c r="O70" s="19">
        <f>SUM(D70:N70)</f>
        <v/>
      </c>
      <c r="P70" s="10" t="inlineStr">
        <is>
          <t>-</t>
        </is>
      </c>
    </row>
    <row r="71">
      <c r="A71" s="10" t="n">
        <v>67</v>
      </c>
      <c r="B71" s="23" t="inlineStr">
        <is>
          <t>Престиж Карамелени бисквити 126гр</t>
        </is>
      </c>
      <c r="C71" s="10" t="inlineStr">
        <is>
          <t>-</t>
        </is>
      </c>
      <c r="D71" s="25" t="n">
        <v>0</v>
      </c>
      <c r="E71" s="25" t="n">
        <v>0</v>
      </c>
      <c r="F71" s="25" t="n">
        <v>0</v>
      </c>
      <c r="G71" s="8" t="n">
        <v>2</v>
      </c>
      <c r="H71" s="25" t="n">
        <v>0</v>
      </c>
      <c r="I71" s="25" t="n">
        <v>0</v>
      </c>
      <c r="J71" s="25" t="n">
        <v>0</v>
      </c>
      <c r="K71" s="25" t="n">
        <v>0</v>
      </c>
      <c r="L71" s="25" t="n">
        <v>0</v>
      </c>
      <c r="M71" s="25" t="n">
        <v>0</v>
      </c>
      <c r="N71" s="25" t="n">
        <v>0</v>
      </c>
      <c r="O71" s="19">
        <f>SUM(D71:N71)</f>
        <v/>
      </c>
      <c r="P71" s="10" t="inlineStr">
        <is>
          <t>-</t>
        </is>
      </c>
    </row>
    <row r="72">
      <c r="A72" s="26" t="n">
        <v>68</v>
      </c>
      <c r="B72" s="27" t="inlineStr">
        <is>
          <t>Престиж Насладки дребни сладки Мандарина 134г</t>
        </is>
      </c>
      <c r="C72" s="26" t="inlineStr">
        <is>
          <t>-</t>
        </is>
      </c>
      <c r="D72" s="30" t="n">
        <v>10</v>
      </c>
      <c r="E72" s="30" t="n">
        <v>10</v>
      </c>
      <c r="F72" s="29" t="n">
        <v>0</v>
      </c>
      <c r="G72" s="30" t="n">
        <v>3</v>
      </c>
      <c r="H72" s="29" t="n">
        <v>0</v>
      </c>
      <c r="I72" s="29" t="n">
        <v>0</v>
      </c>
      <c r="J72" s="29" t="n">
        <v>0</v>
      </c>
      <c r="K72" s="29" t="n">
        <v>0</v>
      </c>
      <c r="L72" s="30" t="n">
        <v>1</v>
      </c>
      <c r="M72" s="29" t="n">
        <v>0</v>
      </c>
      <c r="N72" s="29" t="n">
        <v>0</v>
      </c>
      <c r="O72" s="19">
        <f>SUM(D72:N72)</f>
        <v/>
      </c>
      <c r="P72" s="10" t="inlineStr">
        <is>
          <t>-</t>
        </is>
      </c>
    </row>
    <row r="73">
      <c r="A73" s="10" t="n">
        <v>69</v>
      </c>
      <c r="B73" s="23" t="inlineStr">
        <is>
          <t>Престиж Насладки дребни сладки горски ягоди 134г</t>
        </is>
      </c>
      <c r="C73" s="10" t="inlineStr">
        <is>
          <t>-</t>
        </is>
      </c>
      <c r="D73" s="8" t="n">
        <v>4</v>
      </c>
      <c r="E73" s="8" t="n">
        <v>10</v>
      </c>
      <c r="F73" s="8" t="n">
        <v>8</v>
      </c>
      <c r="G73" s="8" t="n">
        <v>12</v>
      </c>
      <c r="H73" s="25" t="n">
        <v>0</v>
      </c>
      <c r="I73" s="25" t="n">
        <v>0</v>
      </c>
      <c r="J73" s="8" t="n">
        <v>3</v>
      </c>
      <c r="K73" s="25" t="n">
        <v>0</v>
      </c>
      <c r="L73" s="25" t="n">
        <v>0</v>
      </c>
      <c r="M73" s="25" t="n">
        <v>0</v>
      </c>
      <c r="N73" s="8" t="n">
        <v>6</v>
      </c>
      <c r="O73" s="19">
        <f>SUM(D73:N73)</f>
        <v/>
      </c>
      <c r="P73" s="10" t="inlineStr">
        <is>
          <t>-</t>
        </is>
      </c>
    </row>
    <row r="74">
      <c r="A74" s="26" t="n">
        <v>70</v>
      </c>
      <c r="B74" s="27" t="inlineStr">
        <is>
          <t>Престиж Насладки дребни сладки синя слива 134г</t>
        </is>
      </c>
      <c r="C74" s="26" t="inlineStr">
        <is>
          <t>-</t>
        </is>
      </c>
      <c r="D74" s="30" t="n">
        <v>2</v>
      </c>
      <c r="E74" s="30" t="n">
        <v>10</v>
      </c>
      <c r="F74" s="29" t="n">
        <v>0</v>
      </c>
      <c r="G74" s="30" t="n">
        <v>8</v>
      </c>
      <c r="H74" s="30" t="n">
        <v>12</v>
      </c>
      <c r="I74" s="30" t="n">
        <v>4</v>
      </c>
      <c r="J74" s="29" t="n">
        <v>0</v>
      </c>
      <c r="K74" s="30" t="n">
        <v>6</v>
      </c>
      <c r="L74" s="29" t="n">
        <v>0</v>
      </c>
      <c r="M74" s="29" t="n">
        <v>0</v>
      </c>
      <c r="N74" s="30" t="n">
        <v>6</v>
      </c>
      <c r="O74" s="19">
        <f>SUM(D74:N74)</f>
        <v/>
      </c>
      <c r="P74" s="10" t="inlineStr">
        <is>
          <t>-</t>
        </is>
      </c>
    </row>
    <row r="75">
      <c r="A75" s="10" t="n">
        <v>71</v>
      </c>
      <c r="B75" s="23" t="inlineStr">
        <is>
          <t>Престиж Насладки дребни сладки смокиня 134г</t>
        </is>
      </c>
      <c r="C75" s="10" t="inlineStr">
        <is>
          <t>-</t>
        </is>
      </c>
      <c r="D75" s="8" t="n">
        <v>12</v>
      </c>
      <c r="E75" s="25" t="n">
        <v>0</v>
      </c>
      <c r="F75" s="8" t="n">
        <v>4</v>
      </c>
      <c r="G75" s="8" t="n">
        <v>9</v>
      </c>
      <c r="H75" s="8" t="n">
        <v>10</v>
      </c>
      <c r="I75" s="25" t="n">
        <v>0</v>
      </c>
      <c r="J75" s="8" t="n">
        <v>1</v>
      </c>
      <c r="K75" s="8" t="n">
        <v>8</v>
      </c>
      <c r="L75" s="8" t="n">
        <v>2</v>
      </c>
      <c r="M75" s="8" t="n">
        <v>3</v>
      </c>
      <c r="N75" s="25" t="n">
        <v>0</v>
      </c>
      <c r="O75" s="19">
        <f>SUM(D75:N75)</f>
        <v/>
      </c>
      <c r="P75" s="10" t="inlineStr">
        <is>
          <t>-</t>
        </is>
      </c>
    </row>
    <row r="76">
      <c r="A76" s="26" t="n">
        <v>72</v>
      </c>
      <c r="B76" s="27" t="inlineStr">
        <is>
          <t>Престиж Суха паста Роден край 180гр</t>
        </is>
      </c>
      <c r="C76" s="26" t="inlineStr">
        <is>
          <t>-</t>
        </is>
      </c>
      <c r="D76" s="29" t="n">
        <v>0</v>
      </c>
      <c r="E76" s="29" t="n">
        <v>0</v>
      </c>
      <c r="F76" s="29" t="n">
        <v>0</v>
      </c>
      <c r="G76" s="30" t="n">
        <v>2</v>
      </c>
      <c r="H76" s="30" t="n">
        <v>4</v>
      </c>
      <c r="I76" s="29" t="n">
        <v>0</v>
      </c>
      <c r="J76" s="29" t="n">
        <v>0</v>
      </c>
      <c r="K76" s="30" t="n">
        <v>2</v>
      </c>
      <c r="L76" s="30" t="n">
        <v>2</v>
      </c>
      <c r="M76" s="30" t="n">
        <v>3</v>
      </c>
      <c r="N76" s="29" t="n">
        <v>0</v>
      </c>
      <c r="O76" s="19">
        <f>SUM(D76:N76)</f>
        <v/>
      </c>
      <c r="P76" s="10" t="inlineStr">
        <is>
          <t>-</t>
        </is>
      </c>
    </row>
    <row r="77">
      <c r="A77" s="10" t="n">
        <v>73</v>
      </c>
      <c r="B77" s="23" t="inlineStr">
        <is>
          <t>Престиж Суха паста тунк. Шамфъстък 300</t>
        </is>
      </c>
      <c r="C77" s="10" t="inlineStr">
        <is>
          <t>-</t>
        </is>
      </c>
      <c r="D77" s="25" t="n">
        <v>0</v>
      </c>
      <c r="E77" s="25" t="n">
        <v>0</v>
      </c>
      <c r="F77" s="25" t="n">
        <v>0</v>
      </c>
      <c r="G77" s="25" t="n">
        <v>0</v>
      </c>
      <c r="H77" s="8" t="n">
        <v>1</v>
      </c>
      <c r="I77" s="8" t="n">
        <v>2</v>
      </c>
      <c r="J77" s="25" t="n">
        <v>0</v>
      </c>
      <c r="K77" s="8" t="n">
        <v>2</v>
      </c>
      <c r="L77" s="25" t="n">
        <v>0</v>
      </c>
      <c r="M77" s="25" t="n">
        <v>0</v>
      </c>
      <c r="N77" s="25" t="n">
        <v>0</v>
      </c>
      <c r="O77" s="19">
        <f>SUM(D77:N77)</f>
        <v/>
      </c>
      <c r="P77" s="10" t="inlineStr">
        <is>
          <t>-</t>
        </is>
      </c>
    </row>
    <row r="78">
      <c r="A78" s="26" t="n">
        <v>74</v>
      </c>
      <c r="B78" s="27" t="inlineStr">
        <is>
          <t>Престиж Суха паста тунк. ванилов крем 300г</t>
        </is>
      </c>
      <c r="C78" s="26" t="inlineStr">
        <is>
          <t>-</t>
        </is>
      </c>
      <c r="D78" s="29" t="n">
        <v>0</v>
      </c>
      <c r="E78" s="29" t="n">
        <v>0</v>
      </c>
      <c r="F78" s="29" t="n">
        <v>0</v>
      </c>
      <c r="G78" s="30" t="n">
        <v>2</v>
      </c>
      <c r="H78" s="30" t="n">
        <v>12</v>
      </c>
      <c r="I78" s="30" t="n">
        <v>3</v>
      </c>
      <c r="J78" s="30" t="n">
        <v>3</v>
      </c>
      <c r="K78" s="30" t="n">
        <v>4</v>
      </c>
      <c r="L78" s="29" t="n">
        <v>0</v>
      </c>
      <c r="M78" s="29" t="n">
        <v>0</v>
      </c>
      <c r="N78" s="30" t="n">
        <v>2</v>
      </c>
      <c r="O78" s="19">
        <f>SUM(D78:N78)</f>
        <v/>
      </c>
      <c r="P78" s="10" t="inlineStr">
        <is>
          <t>-</t>
        </is>
      </c>
    </row>
    <row r="79">
      <c r="A79" s="10" t="n">
        <v>75</v>
      </c>
      <c r="B79" s="23" t="inlineStr">
        <is>
          <t>Престиж Суха паста тунк. крем какао 300г</t>
        </is>
      </c>
      <c r="C79" s="10" t="inlineStr">
        <is>
          <t>-</t>
        </is>
      </c>
      <c r="D79" s="25" t="n">
        <v>0</v>
      </c>
      <c r="E79" s="8" t="n">
        <v>3</v>
      </c>
      <c r="F79" s="25" t="n">
        <v>0</v>
      </c>
      <c r="G79" s="25" t="n">
        <v>0</v>
      </c>
      <c r="H79" s="8" t="n">
        <v>12</v>
      </c>
      <c r="I79" s="8" t="n">
        <v>2</v>
      </c>
      <c r="J79" s="25" t="n">
        <v>0</v>
      </c>
      <c r="K79" s="8" t="n">
        <v>8</v>
      </c>
      <c r="L79" s="25" t="n">
        <v>0</v>
      </c>
      <c r="M79" s="25" t="n">
        <v>0</v>
      </c>
      <c r="N79" s="8" t="n">
        <v>10</v>
      </c>
      <c r="O79" s="19">
        <f>SUM(D79:N79)</f>
        <v/>
      </c>
      <c r="P79" s="10" t="inlineStr">
        <is>
          <t>-</t>
        </is>
      </c>
    </row>
    <row r="80">
      <c r="A80" s="26" t="n">
        <v>76</v>
      </c>
      <c r="B80" s="27" t="inlineStr">
        <is>
          <t>Престиж Суха паста тунк. млечен крем 300г</t>
        </is>
      </c>
      <c r="C80" s="26" t="inlineStr">
        <is>
          <t>-</t>
        </is>
      </c>
      <c r="D80" s="30" t="n">
        <v>4</v>
      </c>
      <c r="E80" s="29" t="n">
        <v>0</v>
      </c>
      <c r="F80" s="30" t="n">
        <v>3</v>
      </c>
      <c r="G80" s="30" t="n">
        <v>4</v>
      </c>
      <c r="H80" s="30" t="n">
        <v>10</v>
      </c>
      <c r="I80" s="30" t="n">
        <v>4</v>
      </c>
      <c r="J80" s="29" t="n">
        <v>0</v>
      </c>
      <c r="K80" s="30" t="n">
        <v>6</v>
      </c>
      <c r="L80" s="29" t="n">
        <v>0</v>
      </c>
      <c r="M80" s="29" t="n">
        <v>0</v>
      </c>
      <c r="N80" s="30" t="n">
        <v>9</v>
      </c>
      <c r="O80" s="19">
        <f>SUM(D80:N80)</f>
        <v/>
      </c>
      <c r="P80" s="10" t="inlineStr">
        <is>
          <t>-</t>
        </is>
      </c>
    </row>
    <row r="81">
      <c r="A81" s="10" t="n">
        <v>77</v>
      </c>
      <c r="B81" s="23" t="inlineStr">
        <is>
          <t>Престиж Суха паста тунк. ягодов крем 300г</t>
        </is>
      </c>
      <c r="C81" s="10" t="inlineStr">
        <is>
          <t>-</t>
        </is>
      </c>
      <c r="D81" s="25" t="n">
        <v>0</v>
      </c>
      <c r="E81" s="8" t="n">
        <v>3</v>
      </c>
      <c r="F81" s="25" t="n">
        <v>0</v>
      </c>
      <c r="G81" s="25" t="n">
        <v>0</v>
      </c>
      <c r="H81" s="8" t="n">
        <v>7</v>
      </c>
      <c r="I81" s="25" t="n">
        <v>0</v>
      </c>
      <c r="J81" s="25" t="n">
        <v>0</v>
      </c>
      <c r="K81" s="8" t="n">
        <v>6</v>
      </c>
      <c r="L81" s="25" t="n">
        <v>0</v>
      </c>
      <c r="M81" s="25" t="n">
        <v>0</v>
      </c>
      <c r="N81" s="25" t="n">
        <v>0</v>
      </c>
      <c r="O81" s="19">
        <f>SUM(D81:N81)</f>
        <v/>
      </c>
      <c r="P81" s="10" t="inlineStr">
        <is>
          <t>-</t>
        </is>
      </c>
    </row>
    <row r="82">
      <c r="A82" s="26" t="n">
        <v>78</v>
      </c>
      <c r="B82" s="27" t="inlineStr">
        <is>
          <t>Престиж Уелнес Digestive Thins 120гр</t>
        </is>
      </c>
      <c r="C82" s="26" t="inlineStr">
        <is>
          <t>-</t>
        </is>
      </c>
      <c r="D82" s="29" t="n">
        <v>0</v>
      </c>
      <c r="E82" s="29" t="n">
        <v>0</v>
      </c>
      <c r="F82" s="29" t="n">
        <v>0</v>
      </c>
      <c r="G82" s="30" t="n">
        <v>8</v>
      </c>
      <c r="H82" s="30" t="n">
        <v>2</v>
      </c>
      <c r="I82" s="29" t="n">
        <v>0</v>
      </c>
      <c r="J82" s="29" t="n">
        <v>0</v>
      </c>
      <c r="K82" s="30" t="n">
        <v>5</v>
      </c>
      <c r="L82" s="29" t="n">
        <v>0</v>
      </c>
      <c r="M82" s="29" t="n">
        <v>0</v>
      </c>
      <c r="N82" s="30" t="n">
        <v>2</v>
      </c>
      <c r="O82" s="19">
        <f>SUM(D82:N82)</f>
        <v/>
      </c>
      <c r="P82" s="10" t="inlineStr">
        <is>
          <t>-</t>
        </is>
      </c>
    </row>
    <row r="83">
      <c r="A83" s="10" t="n">
        <v>79</v>
      </c>
      <c r="B83" s="23" t="inlineStr">
        <is>
          <t>Престиж Уелнес Какао 102гр</t>
        </is>
      </c>
      <c r="C83" s="10" t="inlineStr">
        <is>
          <t>-</t>
        </is>
      </c>
      <c r="D83" s="25" t="n">
        <v>0</v>
      </c>
      <c r="E83" s="25" t="n">
        <v>0</v>
      </c>
      <c r="F83" s="25" t="n">
        <v>0</v>
      </c>
      <c r="G83" s="8" t="n">
        <v>6</v>
      </c>
      <c r="H83" s="8" t="n">
        <v>2</v>
      </c>
      <c r="I83" s="25" t="n">
        <v>0</v>
      </c>
      <c r="J83" s="25" t="n">
        <v>0</v>
      </c>
      <c r="K83" s="25" t="n">
        <v>0</v>
      </c>
      <c r="L83" s="25" t="n">
        <v>0</v>
      </c>
      <c r="M83" s="25" t="n">
        <v>0</v>
      </c>
      <c r="N83" s="8" t="n">
        <v>4</v>
      </c>
      <c r="O83" s="19">
        <f>SUM(D83:N83)</f>
        <v/>
      </c>
      <c r="P83" s="10" t="inlineStr">
        <is>
          <t>-</t>
        </is>
      </c>
    </row>
    <row r="84">
      <c r="A84" s="26" t="n">
        <v>80</v>
      </c>
      <c r="B84" s="27" t="inlineStr">
        <is>
          <t>Престиж Уелнес Матча 103гр</t>
        </is>
      </c>
      <c r="C84" s="26" t="inlineStr">
        <is>
          <t>-</t>
        </is>
      </c>
      <c r="D84" s="29" t="n">
        <v>0</v>
      </c>
      <c r="E84" s="30" t="n">
        <v>4</v>
      </c>
      <c r="F84" s="29" t="n">
        <v>0</v>
      </c>
      <c r="G84" s="30" t="n">
        <v>10</v>
      </c>
      <c r="H84" s="30" t="n">
        <v>2</v>
      </c>
      <c r="I84" s="29" t="n">
        <v>0</v>
      </c>
      <c r="J84" s="30" t="n">
        <v>2</v>
      </c>
      <c r="K84" s="29" t="n">
        <v>0</v>
      </c>
      <c r="L84" s="29" t="n">
        <v>0</v>
      </c>
      <c r="M84" s="29" t="n">
        <v>0</v>
      </c>
      <c r="N84" s="29" t="n">
        <v>0</v>
      </c>
      <c r="O84" s="19">
        <f>SUM(D84:N84)</f>
        <v/>
      </c>
      <c r="P84" s="10" t="inlineStr">
        <is>
          <t>-</t>
        </is>
      </c>
    </row>
    <row r="85">
      <c r="A85" s="10" t="n">
        <v>81</v>
      </c>
      <c r="B85" s="23" t="inlineStr">
        <is>
          <t>Престиж Уелнес Овес 102гр</t>
        </is>
      </c>
      <c r="C85" s="10" t="inlineStr">
        <is>
          <t>-</t>
        </is>
      </c>
      <c r="D85" s="25" t="n">
        <v>0</v>
      </c>
      <c r="E85" s="25" t="n">
        <v>0</v>
      </c>
      <c r="F85" s="25" t="n">
        <v>0</v>
      </c>
      <c r="G85" s="8" t="n">
        <v>2</v>
      </c>
      <c r="H85" s="25" t="n">
        <v>0</v>
      </c>
      <c r="I85" s="25" t="n">
        <v>0</v>
      </c>
      <c r="J85" s="25" t="n">
        <v>0</v>
      </c>
      <c r="K85" s="8" t="n">
        <v>8</v>
      </c>
      <c r="L85" s="25" t="n">
        <v>0</v>
      </c>
      <c r="M85" s="25" t="n">
        <v>0</v>
      </c>
      <c r="N85" s="25" t="n">
        <v>0</v>
      </c>
      <c r="O85" s="19">
        <f>SUM(D85:N85)</f>
        <v/>
      </c>
      <c r="P85" s="10" t="inlineStr">
        <is>
          <t>-</t>
        </is>
      </c>
    </row>
    <row r="86">
      <c r="A86" s="26" t="n">
        <v>82</v>
      </c>
      <c r="B86" s="27" t="inlineStr">
        <is>
          <t>Престиж Уелнес Пробиотик 103гр</t>
        </is>
      </c>
      <c r="C86" s="26" t="inlineStr">
        <is>
          <t>-</t>
        </is>
      </c>
      <c r="D86" s="29" t="n">
        <v>0</v>
      </c>
      <c r="E86" s="29" t="n">
        <v>0</v>
      </c>
      <c r="F86" s="29" t="n">
        <v>0</v>
      </c>
      <c r="G86" s="30" t="n">
        <v>2</v>
      </c>
      <c r="H86" s="29" t="n">
        <v>0</v>
      </c>
      <c r="I86" s="30" t="n">
        <v>2</v>
      </c>
      <c r="J86" s="29" t="n">
        <v>0</v>
      </c>
      <c r="K86" s="29" t="n">
        <v>0</v>
      </c>
      <c r="L86" s="29" t="n">
        <v>0</v>
      </c>
      <c r="M86" s="29" t="n">
        <v>0</v>
      </c>
      <c r="N86" s="29" t="n">
        <v>0</v>
      </c>
      <c r="O86" s="19">
        <f>SUM(D86:N86)</f>
        <v/>
      </c>
      <c r="P86" s="10" t="inlineStr">
        <is>
          <t>-</t>
        </is>
      </c>
    </row>
    <row r="87">
      <c r="A87" s="10" t="n">
        <v>83</v>
      </c>
      <c r="B87" s="23" t="inlineStr">
        <is>
          <t>Престиж Уелнес вафли какао 135гр</t>
        </is>
      </c>
      <c r="C87" s="10" t="inlineStr">
        <is>
          <t>-</t>
        </is>
      </c>
      <c r="D87" s="25" t="n">
        <v>0</v>
      </c>
      <c r="E87" s="8" t="n">
        <v>4</v>
      </c>
      <c r="F87" s="25" t="n">
        <v>0</v>
      </c>
      <c r="G87" s="8" t="n">
        <v>6</v>
      </c>
      <c r="H87" s="8" t="n">
        <v>6</v>
      </c>
      <c r="I87" s="25" t="n">
        <v>0</v>
      </c>
      <c r="J87" s="8" t="n">
        <v>4</v>
      </c>
      <c r="K87" s="25" t="n">
        <v>0</v>
      </c>
      <c r="L87" s="25" t="n">
        <v>0</v>
      </c>
      <c r="M87" s="25" t="n">
        <v>0</v>
      </c>
      <c r="N87" s="25" t="n">
        <v>0</v>
      </c>
      <c r="O87" s="19">
        <f>SUM(D87:N87)</f>
        <v/>
      </c>
      <c r="P87" s="10" t="inlineStr">
        <is>
          <t>-</t>
        </is>
      </c>
    </row>
    <row r="88">
      <c r="A88" s="26" t="n">
        <v>84</v>
      </c>
      <c r="B88" s="27" t="inlineStr">
        <is>
          <t>Престиж Уелнес вафли какао 35гр</t>
        </is>
      </c>
      <c r="C88" s="26" t="inlineStr">
        <is>
          <t>-</t>
        </is>
      </c>
      <c r="D88" s="29" t="n">
        <v>0</v>
      </c>
      <c r="E88" s="29" t="n">
        <v>0</v>
      </c>
      <c r="F88" s="29" t="n">
        <v>0</v>
      </c>
      <c r="G88" s="30" t="n">
        <v>22</v>
      </c>
      <c r="H88" s="29" t="n">
        <v>0</v>
      </c>
      <c r="I88" s="29" t="n">
        <v>0</v>
      </c>
      <c r="J88" s="29" t="n">
        <v>0</v>
      </c>
      <c r="K88" s="29" t="n">
        <v>0</v>
      </c>
      <c r="L88" s="29" t="n">
        <v>0</v>
      </c>
      <c r="M88" s="29" t="n">
        <v>0</v>
      </c>
      <c r="N88" s="29" t="n">
        <v>0</v>
      </c>
      <c r="O88" s="19">
        <f>SUM(D88:N88)</f>
        <v/>
      </c>
      <c r="P88" s="10" t="inlineStr">
        <is>
          <t>-</t>
        </is>
      </c>
    </row>
    <row r="89">
      <c r="A89" s="10" t="n">
        <v>85</v>
      </c>
      <c r="B89" s="23" t="inlineStr">
        <is>
          <t>Престиж Уелнес вафли тахан 135гр</t>
        </is>
      </c>
      <c r="C89" s="10" t="inlineStr">
        <is>
          <t>-</t>
        </is>
      </c>
      <c r="D89" s="25" t="n">
        <v>0</v>
      </c>
      <c r="E89" s="8" t="n">
        <v>4</v>
      </c>
      <c r="F89" s="25" t="n">
        <v>0</v>
      </c>
      <c r="G89" s="8" t="n">
        <v>2</v>
      </c>
      <c r="H89" s="25" t="n">
        <v>0</v>
      </c>
      <c r="I89" s="8" t="n">
        <v>2</v>
      </c>
      <c r="J89" s="25" t="n">
        <v>0</v>
      </c>
      <c r="K89" s="25" t="n">
        <v>0</v>
      </c>
      <c r="L89" s="25" t="n">
        <v>0</v>
      </c>
      <c r="M89" s="25" t="n">
        <v>0</v>
      </c>
      <c r="N89" s="8" t="n">
        <v>8</v>
      </c>
      <c r="O89" s="19">
        <f>SUM(D89:N89)</f>
        <v/>
      </c>
      <c r="P89" s="10" t="inlineStr">
        <is>
          <t>-</t>
        </is>
      </c>
    </row>
    <row r="90">
      <c r="A90" s="26" t="n">
        <v>86</v>
      </c>
      <c r="B90" s="27" t="inlineStr">
        <is>
          <t>Престиж Хипер Вафлена торта 167/200гр</t>
        </is>
      </c>
      <c r="C90" s="26" t="inlineStr">
        <is>
          <t>-</t>
        </is>
      </c>
      <c r="D90" s="29" t="n">
        <v>0</v>
      </c>
      <c r="E90" s="29" t="n">
        <v>0</v>
      </c>
      <c r="F90" s="29" t="n">
        <v>0</v>
      </c>
      <c r="G90" s="29" t="n">
        <v>0</v>
      </c>
      <c r="H90" s="30" t="n">
        <v>6</v>
      </c>
      <c r="I90" s="29" t="n">
        <v>0</v>
      </c>
      <c r="J90" s="29" t="n">
        <v>0</v>
      </c>
      <c r="K90" s="29" t="n">
        <v>0</v>
      </c>
      <c r="L90" s="29" t="n">
        <v>0</v>
      </c>
      <c r="M90" s="29" t="n">
        <v>0</v>
      </c>
      <c r="N90" s="29" t="n">
        <v>0</v>
      </c>
      <c r="O90" s="19">
        <f>SUM(D90:N90)</f>
        <v/>
      </c>
      <c r="P90" s="10" t="inlineStr">
        <is>
          <t>-</t>
        </is>
      </c>
    </row>
    <row r="91">
      <c r="A91" s="10" t="n">
        <v>87</v>
      </c>
      <c r="B91" s="23" t="inlineStr">
        <is>
          <t>Престиж бисквити Soft Cookies 120гр</t>
        </is>
      </c>
      <c r="C91" s="10" t="inlineStr">
        <is>
          <t>-</t>
        </is>
      </c>
      <c r="D91" s="25" t="n">
        <v>0</v>
      </c>
      <c r="E91" s="8" t="n">
        <v>10</v>
      </c>
      <c r="F91" s="25" t="n">
        <v>0</v>
      </c>
      <c r="G91" s="25" t="n">
        <v>0</v>
      </c>
      <c r="H91" s="25" t="n">
        <v>0</v>
      </c>
      <c r="I91" s="25" t="n">
        <v>0</v>
      </c>
      <c r="J91" s="25" t="n">
        <v>0</v>
      </c>
      <c r="K91" s="25" t="n">
        <v>0</v>
      </c>
      <c r="L91" s="25" t="n">
        <v>0</v>
      </c>
      <c r="M91" s="25" t="n">
        <v>0</v>
      </c>
      <c r="N91" s="25" t="n">
        <v>0</v>
      </c>
      <c r="O91" s="19">
        <f>SUM(D91:N91)</f>
        <v/>
      </c>
      <c r="P91" s="10" t="inlineStr">
        <is>
          <t>-</t>
        </is>
      </c>
    </row>
    <row r="92">
      <c r="A92" s="26" t="n">
        <v>88</v>
      </c>
      <c r="B92" s="27" t="inlineStr">
        <is>
          <t>Престиж суха паста видове 50гр</t>
        </is>
      </c>
      <c r="C92" s="26" t="inlineStr">
        <is>
          <t>-</t>
        </is>
      </c>
      <c r="D92" s="29" t="n">
        <v>0</v>
      </c>
      <c r="E92" s="30" t="n">
        <v>2</v>
      </c>
      <c r="F92" s="29" t="n">
        <v>0</v>
      </c>
      <c r="G92" s="30" t="n">
        <v>80</v>
      </c>
      <c r="H92" s="29" t="n">
        <v>0</v>
      </c>
      <c r="I92" s="30" t="n">
        <v>40</v>
      </c>
      <c r="J92" s="29" t="n">
        <v>0</v>
      </c>
      <c r="K92" s="29" t="n">
        <v>0</v>
      </c>
      <c r="L92" s="29" t="n">
        <v>0</v>
      </c>
      <c r="M92" s="29" t="n">
        <v>0</v>
      </c>
      <c r="N92" s="30" t="n">
        <v>98</v>
      </c>
      <c r="O92" s="19">
        <f>SUM(D92:N92)</f>
        <v/>
      </c>
      <c r="P92" s="10" t="inlineStr">
        <is>
          <t>-</t>
        </is>
      </c>
    </row>
    <row r="93">
      <c r="A93" s="13" t="inlineStr"/>
      <c r="B93" s="13" t="inlineStr">
        <is>
          <t>ОБЩО КОЛИЧЕСТВО (бр.)</t>
        </is>
      </c>
      <c r="C93" s="16" t="inlineStr">
        <is>
          <t>-</t>
        </is>
      </c>
      <c r="D93" s="15">
        <f>SUM(D5:D92)</f>
        <v/>
      </c>
      <c r="E93" s="15">
        <f>SUM(E5:E92)</f>
        <v/>
      </c>
      <c r="F93" s="15">
        <f>SUM(F5:F92)</f>
        <v/>
      </c>
      <c r="G93" s="15">
        <f>SUM(G5:G92)</f>
        <v/>
      </c>
      <c r="H93" s="15">
        <f>SUM(H5:H92)</f>
        <v/>
      </c>
      <c r="I93" s="15">
        <f>SUM(I5:I92)</f>
        <v/>
      </c>
      <c r="J93" s="15">
        <f>SUM(J5:J92)</f>
        <v/>
      </c>
      <c r="K93" s="15">
        <f>SUM(K5:K92)</f>
        <v/>
      </c>
      <c r="L93" s="15">
        <f>SUM(L5:L92)</f>
        <v/>
      </c>
      <c r="M93" s="15">
        <f>SUM(M5:M92)</f>
        <v/>
      </c>
      <c r="N93" s="15">
        <f>SUM(N5:N92)</f>
        <v/>
      </c>
      <c r="O93" s="15">
        <f>SUM(O5:O92)</f>
        <v/>
      </c>
      <c r="P93" s="16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58" customWidth="1" min="2" max="2"/>
    <col width="21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2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1" customWidth="1" min="16" max="16"/>
  </cols>
  <sheetData>
    <row r="1">
      <c r="A1" s="1" t="inlineStr">
        <is>
          <t>ВЕРИГА „БАКАЛИЯ“ — ВСИЧКИ ЗАЯВКИ ПО ОБЕКТИ</t>
        </is>
      </c>
    </row>
    <row r="2">
      <c r="A2" s="2" t="inlineStr">
        <is>
          <t>Сборен работен лист с пълните таблици за 4-те доставчика</t>
        </is>
      </c>
    </row>
    <row r="3"/>
    <row r="4">
      <c r="A4" s="3" t="inlineStr">
        <is>
          <t>ТАБЛИЦА: ЗАХАРНИ ЗАВОДИ (Цел ~1200 € (~58 дни покритие))</t>
        </is>
      </c>
    </row>
    <row r="5" ht="26" customHeight="1">
      <c r="A5" s="31" t="inlineStr">
        <is>
          <t>№</t>
        </is>
      </c>
      <c r="B5" s="31" t="inlineStr">
        <is>
          <t>Артикул / Номенклатура</t>
        </is>
      </c>
      <c r="C5" s="31" t="inlineStr">
        <is>
          <t>Доставна цена (€)</t>
        </is>
      </c>
      <c r="D5" s="31" t="inlineStr">
        <is>
          <t>АРСЕНАЛСКИ</t>
        </is>
      </c>
      <c r="E5" s="31" t="inlineStr">
        <is>
          <t>БАНКЯ</t>
        </is>
      </c>
      <c r="F5" s="31" t="inlineStr">
        <is>
          <t>ВЕЛЧО АТАНАСОВ</t>
        </is>
      </c>
      <c r="G5" s="31" t="inlineStr">
        <is>
          <t>ЛОЗЕНЕЦ</t>
        </is>
      </c>
      <c r="H5" s="31" t="inlineStr">
        <is>
          <t>ЛЮЛИН 7</t>
        </is>
      </c>
      <c r="I5" s="31" t="inlineStr">
        <is>
          <t>МАНАСТИРСКИ ЛИВАДИ</t>
        </is>
      </c>
      <c r="J5" s="31" t="inlineStr">
        <is>
          <t>НАДЕЖДА</t>
        </is>
      </c>
      <c r="K5" s="31" t="inlineStr">
        <is>
          <t>ОБЕЛЯ 2</t>
        </is>
      </c>
      <c r="L5" s="31" t="inlineStr">
        <is>
          <t>РЕДУТА</t>
        </is>
      </c>
      <c r="M5" s="31" t="inlineStr">
        <is>
          <t>СВОБОДА</t>
        </is>
      </c>
      <c r="N5" s="31" t="inlineStr">
        <is>
          <t>ХАЛИ ОКРЪЖНА</t>
        </is>
      </c>
      <c r="O5" s="31" t="inlineStr">
        <is>
          <t>ОБЩО (бр.)</t>
        </is>
      </c>
      <c r="P5" s="31" t="inlineStr">
        <is>
          <t>ОБЩА СТОЙНОСТ (€)</t>
        </is>
      </c>
    </row>
    <row r="6">
      <c r="A6" s="10" t="n">
        <v>1</v>
      </c>
      <c r="B6" s="6" t="inlineStr">
        <is>
          <t>Зах. заводи Бонбони Карамел Му класик плик 100</t>
        </is>
      </c>
      <c r="C6" s="24" t="n">
        <v>0.76</v>
      </c>
      <c r="D6" s="8" t="n">
        <v>9</v>
      </c>
      <c r="E6" s="25" t="n">
        <v>0</v>
      </c>
      <c r="F6" s="8" t="n">
        <v>7</v>
      </c>
      <c r="G6" s="25" t="n">
        <v>0</v>
      </c>
      <c r="H6" s="8" t="n">
        <v>27</v>
      </c>
      <c r="I6" s="25" t="n">
        <v>0</v>
      </c>
      <c r="J6" s="25" t="n">
        <v>0</v>
      </c>
      <c r="K6" s="25" t="n">
        <v>0</v>
      </c>
      <c r="L6" s="25" t="n">
        <v>0</v>
      </c>
      <c r="M6" s="8" t="n">
        <v>1</v>
      </c>
      <c r="N6" s="8" t="n">
        <v>28</v>
      </c>
      <c r="O6" s="19">
        <f>SUM(D6:N6)</f>
        <v/>
      </c>
      <c r="P6" s="18">
        <f>O6*C6</f>
        <v/>
      </c>
    </row>
    <row r="7">
      <c r="A7" s="26" t="n">
        <v>2</v>
      </c>
      <c r="B7" s="32" t="inlineStr">
        <is>
          <t>Зах. заводи Бонбони Кръц Кръц 150</t>
        </is>
      </c>
      <c r="C7" s="28" t="n">
        <v>0.93</v>
      </c>
      <c r="D7" s="29" t="n">
        <v>0</v>
      </c>
      <c r="E7" s="30" t="n">
        <v>6</v>
      </c>
      <c r="F7" s="29" t="n">
        <v>0</v>
      </c>
      <c r="G7" s="29" t="n">
        <v>0</v>
      </c>
      <c r="H7" s="29" t="n">
        <v>0</v>
      </c>
      <c r="I7" s="30" t="n">
        <v>1</v>
      </c>
      <c r="J7" s="29" t="n">
        <v>0</v>
      </c>
      <c r="K7" s="29" t="n">
        <v>0</v>
      </c>
      <c r="L7" s="29" t="n">
        <v>0</v>
      </c>
      <c r="M7" s="30" t="n">
        <v>6</v>
      </c>
      <c r="N7" s="30" t="n">
        <v>4</v>
      </c>
      <c r="O7" s="19">
        <f>SUM(D7:N7)</f>
        <v/>
      </c>
      <c r="P7" s="18">
        <f>O7*C7</f>
        <v/>
      </c>
    </row>
    <row r="8">
      <c r="A8" s="10" t="n">
        <v>3</v>
      </c>
      <c r="B8" s="6" t="inlineStr">
        <is>
          <t>Зах. заводи Бонбони Лакта тофина 0.120</t>
        </is>
      </c>
      <c r="C8" s="24" t="n">
        <v>0.72</v>
      </c>
      <c r="D8" s="8" t="n">
        <v>17</v>
      </c>
      <c r="E8" s="8" t="n">
        <v>12</v>
      </c>
      <c r="F8" s="25" t="n">
        <v>0</v>
      </c>
      <c r="G8" s="8" t="n">
        <v>3</v>
      </c>
      <c r="H8" s="25" t="n">
        <v>0</v>
      </c>
      <c r="I8" s="8" t="n">
        <v>14</v>
      </c>
      <c r="J8" s="25" t="n">
        <v>0</v>
      </c>
      <c r="K8" s="25" t="n">
        <v>0</v>
      </c>
      <c r="L8" s="25" t="n">
        <v>0</v>
      </c>
      <c r="M8" s="25" t="n">
        <v>0</v>
      </c>
      <c r="N8" s="8" t="n">
        <v>15</v>
      </c>
      <c r="O8" s="19">
        <f>SUM(D8:N8)</f>
        <v/>
      </c>
      <c r="P8" s="18">
        <f>O8*C8</f>
        <v/>
      </c>
    </row>
    <row r="9">
      <c r="A9" s="26" t="n">
        <v>4</v>
      </c>
      <c r="B9" s="32" t="inlineStr">
        <is>
          <t>Зах. заводи Бонбони дропс Къпина 90</t>
        </is>
      </c>
      <c r="C9" s="28" t="n">
        <v>0.46</v>
      </c>
      <c r="D9" s="29" t="n">
        <v>0</v>
      </c>
      <c r="E9" s="30" t="n">
        <v>2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30" t="n">
        <v>8</v>
      </c>
      <c r="N9" s="29" t="n">
        <v>0</v>
      </c>
      <c r="O9" s="19">
        <f>SUM(D9:N9)</f>
        <v/>
      </c>
      <c r="P9" s="18">
        <f>O9*C9</f>
        <v/>
      </c>
    </row>
    <row r="10">
      <c r="A10" s="10" t="n">
        <v>5</v>
      </c>
      <c r="B10" s="6" t="inlineStr">
        <is>
          <t>Зах. заводи Бонбони дропс Малина 90гр</t>
        </is>
      </c>
      <c r="C10" s="24" t="n">
        <v>0.46</v>
      </c>
      <c r="D10" s="25" t="n">
        <v>0</v>
      </c>
      <c r="E10" s="8" t="n">
        <v>2</v>
      </c>
      <c r="F10" s="25" t="n">
        <v>0</v>
      </c>
      <c r="G10" s="25" t="n">
        <v>0</v>
      </c>
      <c r="H10" s="8" t="n">
        <v>1</v>
      </c>
      <c r="I10" s="25" t="n">
        <v>0</v>
      </c>
      <c r="J10" s="25" t="n">
        <v>0</v>
      </c>
      <c r="K10" s="8" t="n">
        <v>1</v>
      </c>
      <c r="L10" s="25" t="n">
        <v>0</v>
      </c>
      <c r="M10" s="8" t="n">
        <v>5</v>
      </c>
      <c r="N10" s="8" t="n">
        <v>3</v>
      </c>
      <c r="O10" s="19">
        <f>SUM(D10:N10)</f>
        <v/>
      </c>
      <c r="P10" s="18">
        <f>O10*C10</f>
        <v/>
      </c>
    </row>
    <row r="11">
      <c r="A11" s="26" t="n">
        <v>6</v>
      </c>
      <c r="B11" s="32" t="inlineStr">
        <is>
          <t>Зах. заводи Бонбони дропс Теменужка 90</t>
        </is>
      </c>
      <c r="C11" s="28" t="n">
        <v>0.46</v>
      </c>
      <c r="D11" s="30" t="n">
        <v>28</v>
      </c>
      <c r="E11" s="30" t="n">
        <v>18</v>
      </c>
      <c r="F11" s="30" t="n">
        <v>13</v>
      </c>
      <c r="G11" s="30" t="n">
        <v>4</v>
      </c>
      <c r="H11" s="30" t="n">
        <v>1</v>
      </c>
      <c r="I11" s="30" t="n">
        <v>3</v>
      </c>
      <c r="J11" s="29" t="n">
        <v>0</v>
      </c>
      <c r="K11" s="29" t="n">
        <v>0</v>
      </c>
      <c r="L11" s="29" t="n">
        <v>0</v>
      </c>
      <c r="M11" s="30" t="n">
        <v>15</v>
      </c>
      <c r="N11" s="30" t="n">
        <v>27</v>
      </c>
      <c r="O11" s="19">
        <f>SUM(D11:N11)</f>
        <v/>
      </c>
      <c r="P11" s="18">
        <f>O11*C11</f>
        <v/>
      </c>
    </row>
    <row r="12">
      <c r="A12" s="10" t="n">
        <v>7</v>
      </c>
      <c r="B12" s="6" t="inlineStr">
        <is>
          <t>Зах. заводи Вафли Чайка 50гр</t>
        </is>
      </c>
      <c r="C12" s="24" t="n">
        <v>0.3</v>
      </c>
      <c r="D12" s="8" t="n">
        <v>1</v>
      </c>
      <c r="E12" s="25" t="n">
        <v>0</v>
      </c>
      <c r="F12" s="25" t="n">
        <v>0</v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  <c r="L12" s="25" t="n">
        <v>0</v>
      </c>
      <c r="M12" s="25" t="n">
        <v>0</v>
      </c>
      <c r="N12" s="25" t="n">
        <v>0</v>
      </c>
      <c r="O12" s="19">
        <f>SUM(D12:N12)</f>
        <v/>
      </c>
      <c r="P12" s="18">
        <f>O12*C12</f>
        <v/>
      </c>
    </row>
    <row r="13">
      <c r="A13" s="26" t="n">
        <v>8</v>
      </c>
      <c r="B13" s="32" t="inlineStr">
        <is>
          <t>Зах. заводи Вафли Чайка 60гр</t>
        </is>
      </c>
      <c r="C13" s="28" t="n">
        <v>0.42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29" t="n">
        <v>0</v>
      </c>
      <c r="O13" s="19">
        <f>SUM(D13:N13)</f>
        <v/>
      </c>
      <c r="P13" s="18">
        <f>O13*C13</f>
        <v/>
      </c>
    </row>
    <row r="14">
      <c r="A14" s="10" t="n">
        <v>9</v>
      </c>
      <c r="B14" s="6" t="inlineStr">
        <is>
          <t>Зах. заводи Вафли Чайка 6бр</t>
        </is>
      </c>
      <c r="C14" s="24" t="n">
        <v>0.6899999999999999</v>
      </c>
      <c r="D14" s="8" t="n">
        <v>6</v>
      </c>
      <c r="E14" s="25" t="n">
        <v>0</v>
      </c>
      <c r="F14" s="25" t="n">
        <v>0</v>
      </c>
      <c r="G14" s="8" t="n">
        <v>3</v>
      </c>
      <c r="H14" s="25" t="n">
        <v>0</v>
      </c>
      <c r="I14" s="25" t="n">
        <v>0</v>
      </c>
      <c r="J14" s="25" t="n">
        <v>0</v>
      </c>
      <c r="K14" s="25" t="n">
        <v>0</v>
      </c>
      <c r="L14" s="25" t="n">
        <v>0</v>
      </c>
      <c r="M14" s="25" t="n">
        <v>0</v>
      </c>
      <c r="N14" s="25" t="n">
        <v>0</v>
      </c>
      <c r="O14" s="19">
        <f>SUM(D14:N14)</f>
        <v/>
      </c>
      <c r="P14" s="18">
        <f>O14*C14</f>
        <v/>
      </c>
    </row>
    <row r="15">
      <c r="A15" s="26" t="n">
        <v>10</v>
      </c>
      <c r="B15" s="32" t="inlineStr">
        <is>
          <t>Зах. заводи Желе бонбони ментина 90гр</t>
        </is>
      </c>
      <c r="C15" s="28" t="n">
        <v>0.61</v>
      </c>
      <c r="D15" s="30" t="n">
        <v>39</v>
      </c>
      <c r="E15" s="29" t="n">
        <v>0</v>
      </c>
      <c r="F15" s="29" t="n">
        <v>0</v>
      </c>
      <c r="G15" s="30" t="n">
        <v>11</v>
      </c>
      <c r="H15" s="30" t="n">
        <v>14</v>
      </c>
      <c r="I15" s="30" t="n">
        <v>8</v>
      </c>
      <c r="J15" s="30" t="n">
        <v>23</v>
      </c>
      <c r="K15" s="30" t="n">
        <v>1</v>
      </c>
      <c r="L15" s="29" t="n">
        <v>0</v>
      </c>
      <c r="M15" s="30" t="n">
        <v>28</v>
      </c>
      <c r="N15" s="30" t="n">
        <v>25</v>
      </c>
      <c r="O15" s="19">
        <f>SUM(D15:N15)</f>
        <v/>
      </c>
      <c r="P15" s="18">
        <f>O15*C15</f>
        <v/>
      </c>
    </row>
    <row r="16">
      <c r="A16" s="10" t="n">
        <v>11</v>
      </c>
      <c r="B16" s="6" t="inlineStr">
        <is>
          <t>Зах. заводи Лукчета 75/85 гр</t>
        </is>
      </c>
      <c r="C16" s="24" t="n">
        <v>0.65</v>
      </c>
      <c r="D16" s="8" t="n">
        <v>79</v>
      </c>
      <c r="E16" s="8" t="n">
        <v>39</v>
      </c>
      <c r="F16" s="8" t="n">
        <v>148</v>
      </c>
      <c r="G16" s="8" t="n">
        <v>106</v>
      </c>
      <c r="H16" s="8" t="n">
        <v>72</v>
      </c>
      <c r="I16" s="8" t="n">
        <v>36</v>
      </c>
      <c r="J16" s="8" t="n">
        <v>110</v>
      </c>
      <c r="K16" s="8" t="n">
        <v>20</v>
      </c>
      <c r="L16" s="8" t="n">
        <v>12</v>
      </c>
      <c r="M16" s="8" t="n">
        <v>44</v>
      </c>
      <c r="N16" s="8" t="n">
        <v>200</v>
      </c>
      <c r="O16" s="19">
        <f>SUM(D16:N16)</f>
        <v/>
      </c>
      <c r="P16" s="18">
        <f>O16*C16</f>
        <v/>
      </c>
    </row>
    <row r="17">
      <c r="A17" s="26" t="n">
        <v>12</v>
      </c>
      <c r="B17" s="32" t="inlineStr">
        <is>
          <t>Зах. заводи Ментина с шоколад 80гр</t>
        </is>
      </c>
      <c r="C17" s="28" t="n">
        <v>1.04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  <c r="M17" s="29" t="n">
        <v>0</v>
      </c>
      <c r="N17" s="30" t="n">
        <v>10</v>
      </c>
      <c r="O17" s="19">
        <f>SUM(D17:N17)</f>
        <v/>
      </c>
      <c r="P17" s="18">
        <f>O17*C17</f>
        <v/>
      </c>
    </row>
    <row r="18">
      <c r="A18" s="10" t="n">
        <v>13</v>
      </c>
      <c r="B18" s="6" t="inlineStr">
        <is>
          <t>Зах. заводи Халва Златея 380/400гр</t>
        </is>
      </c>
      <c r="C18" s="24" t="n">
        <v>2.21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5" t="n">
        <v>0</v>
      </c>
      <c r="M18" s="25" t="n">
        <v>0</v>
      </c>
      <c r="N18" s="25" t="n">
        <v>0</v>
      </c>
      <c r="O18" s="19">
        <f>SUM(D18:N18)</f>
        <v/>
      </c>
      <c r="P18" s="18">
        <f>O18*C18</f>
        <v/>
      </c>
    </row>
    <row r="19">
      <c r="A19" s="26" t="n">
        <v>14</v>
      </c>
      <c r="B19" s="32" t="inlineStr">
        <is>
          <t>Зах. заводи Чай Лукчета</t>
        </is>
      </c>
      <c r="C19" s="28" t="n">
        <v>0.79</v>
      </c>
      <c r="D19" s="30" t="n">
        <v>13</v>
      </c>
      <c r="E19" s="30" t="n">
        <v>8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30" t="n">
        <v>10</v>
      </c>
      <c r="L19" s="30" t="n">
        <v>1</v>
      </c>
      <c r="M19" s="30" t="n">
        <v>10</v>
      </c>
      <c r="N19" s="30" t="n">
        <v>12</v>
      </c>
      <c r="O19" s="19">
        <f>SUM(D19:N19)</f>
        <v/>
      </c>
      <c r="P19" s="18">
        <f>O19*C19</f>
        <v/>
      </c>
    </row>
    <row r="20">
      <c r="A20" s="10" t="n">
        <v>15</v>
      </c>
      <c r="B20" s="6" t="inlineStr">
        <is>
          <t>Зах. заводи Шоколадов десерт Чайка 18гр</t>
        </is>
      </c>
      <c r="C20" s="24" t="n">
        <v>0.13</v>
      </c>
      <c r="D20" s="8" t="n">
        <v>39</v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0</v>
      </c>
      <c r="J20" s="8" t="n">
        <v>85</v>
      </c>
      <c r="K20" s="8" t="n">
        <v>88</v>
      </c>
      <c r="L20" s="25" t="n">
        <v>0</v>
      </c>
      <c r="M20" s="25" t="n">
        <v>0</v>
      </c>
      <c r="N20" s="25" t="n">
        <v>0</v>
      </c>
      <c r="O20" s="19">
        <f>SUM(D20:N20)</f>
        <v/>
      </c>
      <c r="P20" s="18">
        <f>O20*C20</f>
        <v/>
      </c>
    </row>
    <row r="21">
      <c r="A21" s="26" t="n">
        <v>16</v>
      </c>
      <c r="B21" s="32" t="inlineStr">
        <is>
          <t>Зах.заводи Лимонови Резaнки 180</t>
        </is>
      </c>
      <c r="C21" s="28" t="n">
        <v>1.14</v>
      </c>
      <c r="D21" s="29" t="n">
        <v>0</v>
      </c>
      <c r="E21" s="30" t="n">
        <v>3</v>
      </c>
      <c r="F21" s="30" t="n">
        <v>22</v>
      </c>
      <c r="G21" s="30" t="n">
        <v>9</v>
      </c>
      <c r="H21" s="30" t="n">
        <v>32</v>
      </c>
      <c r="I21" s="30" t="n">
        <v>3</v>
      </c>
      <c r="J21" s="29" t="n">
        <v>0</v>
      </c>
      <c r="K21" s="30" t="n">
        <v>10</v>
      </c>
      <c r="L21" s="29" t="n">
        <v>0</v>
      </c>
      <c r="M21" s="30" t="n">
        <v>3</v>
      </c>
      <c r="N21" s="30" t="n">
        <v>25</v>
      </c>
      <c r="O21" s="19">
        <f>SUM(D21:N21)</f>
        <v/>
      </c>
      <c r="P21" s="18">
        <f>O21*C21</f>
        <v/>
      </c>
    </row>
    <row r="22">
      <c r="A22" s="10" t="n">
        <v>17</v>
      </c>
      <c r="B22" s="6" t="inlineStr">
        <is>
          <t>Зах.заводи Лимонови Резaнки Мини 15*80гр</t>
        </is>
      </c>
      <c r="C22" s="24" t="n">
        <v>0.61</v>
      </c>
      <c r="D22" s="8" t="n">
        <v>35</v>
      </c>
      <c r="E22" s="8" t="n">
        <v>3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</v>
      </c>
      <c r="M22" s="8" t="n">
        <v>1</v>
      </c>
      <c r="N22" s="25" t="n">
        <v>0</v>
      </c>
      <c r="O22" s="19">
        <f>SUM(D22:N22)</f>
        <v/>
      </c>
      <c r="P22" s="18">
        <f>O22*C22</f>
        <v/>
      </c>
    </row>
    <row r="23">
      <c r="A23" s="26" t="n">
        <v>18</v>
      </c>
      <c r="B23" s="32" t="inlineStr">
        <is>
          <t>Зах.заводи Локум видове 100гр</t>
        </is>
      </c>
      <c r="C23" s="28" t="n">
        <v>0.66</v>
      </c>
      <c r="D23" s="29" t="n">
        <v>0</v>
      </c>
      <c r="E23" s="29" t="n">
        <v>0</v>
      </c>
      <c r="F23" s="29" t="n">
        <v>0</v>
      </c>
      <c r="G23" s="30" t="n">
        <v>20</v>
      </c>
      <c r="H23" s="29" t="n">
        <v>0</v>
      </c>
      <c r="I23" s="29" t="n">
        <v>0</v>
      </c>
      <c r="J23" s="29" t="n">
        <v>0</v>
      </c>
      <c r="K23" s="30" t="n">
        <v>2</v>
      </c>
      <c r="L23" s="29" t="n">
        <v>0</v>
      </c>
      <c r="M23" s="30" t="n">
        <v>6</v>
      </c>
      <c r="N23" s="30" t="n">
        <v>19</v>
      </c>
      <c r="O23" s="19">
        <f>SUM(D23:N23)</f>
        <v/>
      </c>
      <c r="P23" s="18">
        <f>O23*C23</f>
        <v/>
      </c>
    </row>
    <row r="24">
      <c r="A24" s="10" t="n">
        <v>19</v>
      </c>
      <c r="B24" s="6" t="inlineStr">
        <is>
          <t>Зах.заводи Локум видове 140</t>
        </is>
      </c>
      <c r="C24" s="24" t="n">
        <v>0.66</v>
      </c>
      <c r="D24" s="8" t="n">
        <v>5</v>
      </c>
      <c r="E24" s="8" t="n">
        <v>5</v>
      </c>
      <c r="F24" s="8" t="n">
        <v>4</v>
      </c>
      <c r="G24" s="8" t="n">
        <v>13</v>
      </c>
      <c r="H24" s="8" t="n">
        <v>23</v>
      </c>
      <c r="I24" s="8" t="n">
        <v>2</v>
      </c>
      <c r="J24" s="8" t="n">
        <v>13</v>
      </c>
      <c r="K24" s="8" t="n">
        <v>13</v>
      </c>
      <c r="L24" s="8" t="n">
        <v>9</v>
      </c>
      <c r="M24" s="8" t="n">
        <v>3</v>
      </c>
      <c r="N24" s="8" t="n">
        <v>73</v>
      </c>
      <c r="O24" s="19">
        <f>SUM(D24:N24)</f>
        <v/>
      </c>
      <c r="P24" s="18">
        <f>O24*C24</f>
        <v/>
      </c>
    </row>
    <row r="25">
      <c r="A25" s="13" t="inlineStr"/>
      <c r="B25" s="13" t="inlineStr">
        <is>
          <t>ОБЩО (бр.)</t>
        </is>
      </c>
      <c r="C25" s="16" t="inlineStr">
        <is>
          <t>-</t>
        </is>
      </c>
      <c r="D25" s="15">
        <f>SUM(D6:D24)</f>
        <v/>
      </c>
      <c r="E25" s="15">
        <f>SUM(E6:E24)</f>
        <v/>
      </c>
      <c r="F25" s="15">
        <f>SUM(F6:F24)</f>
        <v/>
      </c>
      <c r="G25" s="15">
        <f>SUM(G6:G24)</f>
        <v/>
      </c>
      <c r="H25" s="15">
        <f>SUM(H6:H24)</f>
        <v/>
      </c>
      <c r="I25" s="15">
        <f>SUM(I6:I24)</f>
        <v/>
      </c>
      <c r="J25" s="15">
        <f>SUM(J6:J24)</f>
        <v/>
      </c>
      <c r="K25" s="15">
        <f>SUM(K6:K24)</f>
        <v/>
      </c>
      <c r="L25" s="15">
        <f>SUM(L6:L24)</f>
        <v/>
      </c>
      <c r="M25" s="15">
        <f>SUM(M6:M24)</f>
        <v/>
      </c>
      <c r="N25" s="15">
        <f>SUM(N6:N24)</f>
        <v/>
      </c>
      <c r="O25" s="15">
        <f>SUM(O6:O24)</f>
        <v/>
      </c>
      <c r="P25" s="14">
        <f>SUM(P6:P24)</f>
        <v/>
      </c>
    </row>
    <row r="26"/>
    <row r="27"/>
    <row r="28">
      <c r="A28" s="3" t="inlineStr">
        <is>
          <t>ТАБЛИЦА: ПОБЕДА (Цел ~1200 € (~27 дни покритие))</t>
        </is>
      </c>
    </row>
    <row r="29" ht="26" customHeight="1">
      <c r="A29" s="31" t="inlineStr">
        <is>
          <t>№</t>
        </is>
      </c>
      <c r="B29" s="31" t="inlineStr">
        <is>
          <t>Артикул / Номенклатура</t>
        </is>
      </c>
      <c r="C29" s="31" t="inlineStr">
        <is>
          <t>Доставна цена (€)</t>
        </is>
      </c>
      <c r="D29" s="31" t="inlineStr">
        <is>
          <t>АРСЕНАЛСКИ</t>
        </is>
      </c>
      <c r="E29" s="31" t="inlineStr">
        <is>
          <t>БАНКЯ</t>
        </is>
      </c>
      <c r="F29" s="31" t="inlineStr">
        <is>
          <t>ВЕЛЧО АТАНАСОВ</t>
        </is>
      </c>
      <c r="G29" s="31" t="inlineStr">
        <is>
          <t>ЛОЗЕНЕЦ</t>
        </is>
      </c>
      <c r="H29" s="31" t="inlineStr">
        <is>
          <t>ЛЮЛИН 7</t>
        </is>
      </c>
      <c r="I29" s="31" t="inlineStr">
        <is>
          <t>МАНАСТИРСКИ ЛИВАДИ</t>
        </is>
      </c>
      <c r="J29" s="31" t="inlineStr">
        <is>
          <t>НАДЕЖДА</t>
        </is>
      </c>
      <c r="K29" s="31" t="inlineStr">
        <is>
          <t>ОБЕЛЯ 2</t>
        </is>
      </c>
      <c r="L29" s="31" t="inlineStr">
        <is>
          <t>РЕДУТА</t>
        </is>
      </c>
      <c r="M29" s="31" t="inlineStr">
        <is>
          <t>СВОБОДА</t>
        </is>
      </c>
      <c r="N29" s="31" t="inlineStr">
        <is>
          <t>ХАЛИ ОКРЪЖНА</t>
        </is>
      </c>
      <c r="O29" s="31" t="inlineStr">
        <is>
          <t>ОБЩО (бр.)</t>
        </is>
      </c>
      <c r="P29" s="31" t="inlineStr">
        <is>
          <t>ОБЩА СТОЙНОСТ (€)</t>
        </is>
      </c>
    </row>
    <row r="30">
      <c r="A30" s="10" t="n">
        <v>1</v>
      </c>
      <c r="B30" s="6" t="inlineStr">
        <is>
          <t>Победа Бар Черноморец 47гр</t>
        </is>
      </c>
      <c r="C30" s="24" t="n">
        <v>0.53</v>
      </c>
      <c r="D30" s="25" t="n">
        <v>0</v>
      </c>
      <c r="E30" s="8" t="n">
        <v>3</v>
      </c>
      <c r="F30" s="8" t="n">
        <v>39</v>
      </c>
      <c r="G30" s="8" t="n">
        <v>29</v>
      </c>
      <c r="H30" s="8" t="n">
        <v>47</v>
      </c>
      <c r="I30" s="25" t="n">
        <v>0</v>
      </c>
      <c r="J30" s="8" t="n">
        <v>185</v>
      </c>
      <c r="K30" s="8" t="n">
        <v>17</v>
      </c>
      <c r="L30" s="25" t="n">
        <v>0</v>
      </c>
      <c r="M30" s="25" t="n">
        <v>0</v>
      </c>
      <c r="N30" s="8" t="n">
        <v>94</v>
      </c>
      <c r="O30" s="19">
        <f>SUM(D30:N30)</f>
        <v/>
      </c>
      <c r="P30" s="18">
        <f>O30*C30</f>
        <v/>
      </c>
    </row>
    <row r="31">
      <c r="A31" s="26" t="n">
        <v>2</v>
      </c>
      <c r="B31" s="32" t="inlineStr">
        <is>
          <t>Победа Бисквити Анелия какао 182гр</t>
        </is>
      </c>
      <c r="C31" s="28" t="n">
        <v>1.31</v>
      </c>
      <c r="D31" s="30" t="n">
        <v>1</v>
      </c>
      <c r="E31" s="29" t="n">
        <v>0</v>
      </c>
      <c r="F31" s="30" t="n">
        <v>8</v>
      </c>
      <c r="G31" s="29" t="n">
        <v>0</v>
      </c>
      <c r="H31" s="30" t="n">
        <v>1</v>
      </c>
      <c r="I31" s="30" t="n">
        <v>7</v>
      </c>
      <c r="J31" s="29" t="n">
        <v>0</v>
      </c>
      <c r="K31" s="29" t="n">
        <v>0</v>
      </c>
      <c r="L31" s="30" t="n">
        <v>3</v>
      </c>
      <c r="M31" s="30" t="n">
        <v>4</v>
      </c>
      <c r="N31" s="30" t="n">
        <v>2</v>
      </c>
      <c r="O31" s="19">
        <f>SUM(D31:N31)</f>
        <v/>
      </c>
      <c r="P31" s="18">
        <f>O31*C31</f>
        <v/>
      </c>
    </row>
    <row r="32">
      <c r="A32" s="10" t="n">
        <v>3</v>
      </c>
      <c r="B32" s="6" t="inlineStr">
        <is>
          <t>Победа Бисквити Анелия мляко 188гр</t>
        </is>
      </c>
      <c r="C32" s="24" t="n">
        <v>1.31</v>
      </c>
      <c r="D32" s="25" t="n">
        <v>0</v>
      </c>
      <c r="E32" s="8" t="n">
        <v>5</v>
      </c>
      <c r="F32" s="8" t="n">
        <v>3</v>
      </c>
      <c r="G32" s="8" t="n">
        <v>2</v>
      </c>
      <c r="H32" s="25" t="n">
        <v>0</v>
      </c>
      <c r="I32" s="8" t="n">
        <v>4</v>
      </c>
      <c r="J32" s="25" t="n">
        <v>0</v>
      </c>
      <c r="K32" s="25" t="n">
        <v>0</v>
      </c>
      <c r="L32" s="25" t="n">
        <v>0</v>
      </c>
      <c r="M32" s="8" t="n">
        <v>6</v>
      </c>
      <c r="N32" s="25" t="n">
        <v>0</v>
      </c>
      <c r="O32" s="19">
        <f>SUM(D32:N32)</f>
        <v/>
      </c>
      <c r="P32" s="18">
        <f>O32*C32</f>
        <v/>
      </c>
    </row>
    <row r="33">
      <c r="A33" s="26" t="n">
        <v>4</v>
      </c>
      <c r="B33" s="32" t="inlineStr">
        <is>
          <t>Победа Бисквити Еверест какао 215гр</t>
        </is>
      </c>
      <c r="C33" s="28" t="n">
        <v>1.15</v>
      </c>
      <c r="D33" s="29" t="n">
        <v>0</v>
      </c>
      <c r="E33" s="30" t="n">
        <v>2</v>
      </c>
      <c r="F33" s="29" t="n">
        <v>0</v>
      </c>
      <c r="G33" s="30" t="n">
        <v>6</v>
      </c>
      <c r="H33" s="30" t="n">
        <v>1</v>
      </c>
      <c r="I33" s="29" t="n">
        <v>0</v>
      </c>
      <c r="J33" s="30" t="n">
        <v>3</v>
      </c>
      <c r="K33" s="29" t="n">
        <v>0</v>
      </c>
      <c r="L33" s="29" t="n">
        <v>0</v>
      </c>
      <c r="M33" s="29" t="n">
        <v>0</v>
      </c>
      <c r="N33" s="30" t="n">
        <v>5</v>
      </c>
      <c r="O33" s="19">
        <f>SUM(D33:N33)</f>
        <v/>
      </c>
      <c r="P33" s="18">
        <f>O33*C33</f>
        <v/>
      </c>
    </row>
    <row r="34">
      <c r="A34" s="10" t="n">
        <v>5</v>
      </c>
      <c r="B34" s="6" t="inlineStr">
        <is>
          <t>Победа Бисквити Еверест какао без захар 210гр</t>
        </is>
      </c>
      <c r="C34" s="24" t="n">
        <v>1.23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8" t="n">
        <v>3</v>
      </c>
      <c r="O34" s="19">
        <f>SUM(D34:N34)</f>
        <v/>
      </c>
      <c r="P34" s="18">
        <f>O34*C34</f>
        <v/>
      </c>
    </row>
    <row r="35">
      <c r="A35" s="26" t="n">
        <v>6</v>
      </c>
      <c r="B35" s="32" t="inlineStr">
        <is>
          <t>Победа Бисквити Еверест масло 220гр</t>
        </is>
      </c>
      <c r="C35" s="28" t="n">
        <v>1.15</v>
      </c>
      <c r="D35" s="29" t="n">
        <v>0</v>
      </c>
      <c r="E35" s="29" t="n">
        <v>0</v>
      </c>
      <c r="F35" s="29" t="n">
        <v>0</v>
      </c>
      <c r="G35" s="29" t="n">
        <v>0</v>
      </c>
      <c r="H35" s="29" t="n">
        <v>0</v>
      </c>
      <c r="I35" s="29" t="n">
        <v>0</v>
      </c>
      <c r="J35" s="30" t="n">
        <v>3</v>
      </c>
      <c r="K35" s="29" t="n">
        <v>0</v>
      </c>
      <c r="L35" s="29" t="n">
        <v>0</v>
      </c>
      <c r="M35" s="29" t="n">
        <v>0</v>
      </c>
      <c r="N35" s="30" t="n">
        <v>9</v>
      </c>
      <c r="O35" s="19">
        <f>SUM(D35:N35)</f>
        <v/>
      </c>
      <c r="P35" s="18">
        <f>O35*C35</f>
        <v/>
      </c>
    </row>
    <row r="36">
      <c r="A36" s="10" t="n">
        <v>7</v>
      </c>
      <c r="B36" s="6" t="inlineStr">
        <is>
          <t>Победа Бисквити Еверест мляко 215гр</t>
        </is>
      </c>
      <c r="C36" s="24" t="n">
        <v>1.15</v>
      </c>
      <c r="D36" s="8" t="n">
        <v>1</v>
      </c>
      <c r="E36" s="25" t="n">
        <v>0</v>
      </c>
      <c r="F36" s="8" t="n">
        <v>9</v>
      </c>
      <c r="G36" s="8" t="n">
        <v>1</v>
      </c>
      <c r="H36" s="25" t="n">
        <v>0</v>
      </c>
      <c r="I36" s="8" t="n">
        <v>2</v>
      </c>
      <c r="J36" s="8" t="n">
        <v>1</v>
      </c>
      <c r="K36" s="8" t="n">
        <v>1</v>
      </c>
      <c r="L36" s="8" t="n">
        <v>1</v>
      </c>
      <c r="M36" s="25" t="n">
        <v>0</v>
      </c>
      <c r="N36" s="8" t="n">
        <v>7</v>
      </c>
      <c r="O36" s="19">
        <f>SUM(D36:N36)</f>
        <v/>
      </c>
      <c r="P36" s="18">
        <f>O36*C36</f>
        <v/>
      </c>
    </row>
    <row r="37">
      <c r="A37" s="26" t="n">
        <v>8</v>
      </c>
      <c r="B37" s="32" t="inlineStr">
        <is>
          <t>Победа Бисквити Еверест мляко без захар 210гр</t>
        </is>
      </c>
      <c r="C37" s="28" t="n">
        <v>1.23</v>
      </c>
      <c r="D37" s="29" t="n">
        <v>0</v>
      </c>
      <c r="E37" s="30" t="n">
        <v>1</v>
      </c>
      <c r="F37" s="29" t="n">
        <v>0</v>
      </c>
      <c r="G37" s="29" t="n">
        <v>0</v>
      </c>
      <c r="H37" s="29" t="n">
        <v>0</v>
      </c>
      <c r="I37" s="29" t="n">
        <v>0</v>
      </c>
      <c r="J37" s="29" t="n">
        <v>0</v>
      </c>
      <c r="K37" s="30" t="n">
        <v>2</v>
      </c>
      <c r="L37" s="29" t="n">
        <v>0</v>
      </c>
      <c r="M37" s="29" t="n">
        <v>0</v>
      </c>
      <c r="N37" s="30" t="n">
        <v>3</v>
      </c>
      <c r="O37" s="19">
        <f>SUM(D37:N37)</f>
        <v/>
      </c>
      <c r="P37" s="18">
        <f>O37*C37</f>
        <v/>
      </c>
    </row>
    <row r="38">
      <c r="A38" s="10" t="n">
        <v>9</v>
      </c>
      <c r="B38" s="6" t="inlineStr">
        <is>
          <t>Победа Бисквити Еверест орехи 215гр</t>
        </is>
      </c>
      <c r="C38" s="24" t="n">
        <v>1.15</v>
      </c>
      <c r="D38" s="8" t="n">
        <v>3</v>
      </c>
      <c r="E38" s="8" t="n">
        <v>2</v>
      </c>
      <c r="F38" s="25" t="n">
        <v>0</v>
      </c>
      <c r="G38" s="25" t="n">
        <v>0</v>
      </c>
      <c r="H38" s="8" t="n">
        <v>2</v>
      </c>
      <c r="I38" s="8" t="n">
        <v>4</v>
      </c>
      <c r="J38" s="8" t="n">
        <v>3</v>
      </c>
      <c r="K38" s="8" t="n">
        <v>1</v>
      </c>
      <c r="L38" s="25" t="n">
        <v>0</v>
      </c>
      <c r="M38" s="25" t="n">
        <v>0</v>
      </c>
      <c r="N38" s="8" t="n">
        <v>5</v>
      </c>
      <c r="O38" s="19">
        <f>SUM(D38:N38)</f>
        <v/>
      </c>
      <c r="P38" s="18">
        <f>O38*C38</f>
        <v/>
      </c>
    </row>
    <row r="39">
      <c r="A39" s="26" t="n">
        <v>10</v>
      </c>
      <c r="B39" s="32" t="inlineStr">
        <is>
          <t>Победа Бисквити Закуска голяма бяла 315гр</t>
        </is>
      </c>
      <c r="C39" s="28" t="n">
        <v>1.32</v>
      </c>
      <c r="D39" s="30" t="n">
        <v>8</v>
      </c>
      <c r="E39" s="29" t="n">
        <v>0</v>
      </c>
      <c r="F39" s="30" t="n">
        <v>16</v>
      </c>
      <c r="G39" s="30" t="n">
        <v>6</v>
      </c>
      <c r="H39" s="30" t="n">
        <v>9</v>
      </c>
      <c r="I39" s="30" t="n">
        <v>3</v>
      </c>
      <c r="J39" s="30" t="n">
        <v>3</v>
      </c>
      <c r="K39" s="30" t="n">
        <v>7</v>
      </c>
      <c r="L39" s="29" t="n">
        <v>0</v>
      </c>
      <c r="M39" s="30" t="n">
        <v>3</v>
      </c>
      <c r="N39" s="30" t="n">
        <v>10</v>
      </c>
      <c r="O39" s="19">
        <f>SUM(D39:N39)</f>
        <v/>
      </c>
      <c r="P39" s="18">
        <f>O39*C39</f>
        <v/>
      </c>
    </row>
    <row r="40">
      <c r="A40" s="10" t="n">
        <v>11</v>
      </c>
      <c r="B40" s="6" t="inlineStr">
        <is>
          <t>Победа Бисквити Закуска какао 290гр</t>
        </is>
      </c>
      <c r="C40" s="24" t="n">
        <v>1.31</v>
      </c>
      <c r="D40" s="25" t="n">
        <v>0</v>
      </c>
      <c r="E40" s="25" t="n">
        <v>0</v>
      </c>
      <c r="F40" s="25" t="n">
        <v>0</v>
      </c>
      <c r="G40" s="8" t="n">
        <v>4</v>
      </c>
      <c r="H40" s="25" t="n">
        <v>0</v>
      </c>
      <c r="I40" s="25" t="n">
        <v>0</v>
      </c>
      <c r="J40" s="25" t="n">
        <v>0</v>
      </c>
      <c r="K40" s="25" t="n">
        <v>0</v>
      </c>
      <c r="L40" s="25" t="n">
        <v>0</v>
      </c>
      <c r="M40" s="8" t="n">
        <v>3</v>
      </c>
      <c r="N40" s="25" t="n">
        <v>0</v>
      </c>
      <c r="O40" s="19">
        <f>SUM(D40:N40)</f>
        <v/>
      </c>
      <c r="P40" s="18">
        <f>O40*C40</f>
        <v/>
      </c>
    </row>
    <row r="41">
      <c r="A41" s="26" t="n">
        <v>12</v>
      </c>
      <c r="B41" s="32" t="inlineStr">
        <is>
          <t>Победа Бисквити Закуска какао 355гр</t>
        </is>
      </c>
      <c r="C41" s="28" t="n">
        <v>1.6</v>
      </c>
      <c r="D41" s="30" t="n">
        <v>4</v>
      </c>
      <c r="E41" s="29" t="n">
        <v>0</v>
      </c>
      <c r="F41" s="30" t="n">
        <v>1</v>
      </c>
      <c r="G41" s="30" t="n">
        <v>4</v>
      </c>
      <c r="H41" s="29" t="n">
        <v>0</v>
      </c>
      <c r="I41" s="30" t="n">
        <v>5</v>
      </c>
      <c r="J41" s="30" t="n">
        <v>3</v>
      </c>
      <c r="K41" s="30" t="n">
        <v>2</v>
      </c>
      <c r="L41" s="29" t="n">
        <v>0</v>
      </c>
      <c r="M41" s="30" t="n">
        <v>2</v>
      </c>
      <c r="N41" s="30" t="n">
        <v>1</v>
      </c>
      <c r="O41" s="19">
        <f>SUM(D41:N41)</f>
        <v/>
      </c>
      <c r="P41" s="18">
        <f>O41*C41</f>
        <v/>
      </c>
    </row>
    <row r="42">
      <c r="A42" s="10" t="n">
        <v>13</v>
      </c>
      <c r="B42" s="6" t="inlineStr">
        <is>
          <t>Победа Бисквити Закуска малка бяла 255гр</t>
        </is>
      </c>
      <c r="C42" s="24" t="n">
        <v>1.15</v>
      </c>
      <c r="D42" s="8" t="n">
        <v>1</v>
      </c>
      <c r="E42" s="8" t="n">
        <v>2</v>
      </c>
      <c r="F42" s="25" t="n">
        <v>0</v>
      </c>
      <c r="G42" s="8" t="n">
        <v>4</v>
      </c>
      <c r="H42" s="25" t="n">
        <v>0</v>
      </c>
      <c r="I42" s="8" t="n">
        <v>1</v>
      </c>
      <c r="J42" s="25" t="n">
        <v>0</v>
      </c>
      <c r="K42" s="25" t="n">
        <v>0</v>
      </c>
      <c r="L42" s="25" t="n">
        <v>0</v>
      </c>
      <c r="M42" s="8" t="n">
        <v>3</v>
      </c>
      <c r="N42" s="8" t="n">
        <v>3</v>
      </c>
      <c r="O42" s="19">
        <f>SUM(D42:N42)</f>
        <v/>
      </c>
      <c r="P42" s="18">
        <f>O42*C42</f>
        <v/>
      </c>
    </row>
    <row r="43">
      <c r="A43" s="26" t="n">
        <v>14</v>
      </c>
      <c r="B43" s="32" t="inlineStr">
        <is>
          <t>Победа Бисквити Руми какао тунквани 155гр</t>
        </is>
      </c>
      <c r="C43" s="28" t="n">
        <v>1.35</v>
      </c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30" t="n">
        <v>2</v>
      </c>
      <c r="L43" s="29" t="n">
        <v>0</v>
      </c>
      <c r="M43" s="29" t="n">
        <v>0</v>
      </c>
      <c r="N43" s="30" t="n">
        <v>1</v>
      </c>
      <c r="O43" s="19">
        <f>SUM(D43:N43)</f>
        <v/>
      </c>
      <c r="P43" s="18">
        <f>O43*C43</f>
        <v/>
      </c>
    </row>
    <row r="44">
      <c r="A44" s="10" t="n">
        <v>15</v>
      </c>
      <c r="B44" s="6" t="inlineStr">
        <is>
          <t>Победа Бисквити Руми мляко тунквани 155гр</t>
        </is>
      </c>
      <c r="C44" s="24" t="n">
        <v>1.35</v>
      </c>
      <c r="D44" s="25" t="n">
        <v>0</v>
      </c>
      <c r="E44" s="25" t="n">
        <v>0</v>
      </c>
      <c r="F44" s="25" t="n">
        <v>0</v>
      </c>
      <c r="G44" s="25" t="n">
        <v>0</v>
      </c>
      <c r="H44" s="25" t="n">
        <v>0</v>
      </c>
      <c r="I44" s="25" t="n">
        <v>0</v>
      </c>
      <c r="J44" s="25" t="n">
        <v>0</v>
      </c>
      <c r="K44" s="8" t="n">
        <v>1</v>
      </c>
      <c r="L44" s="25" t="n">
        <v>0</v>
      </c>
      <c r="M44" s="25" t="n">
        <v>0</v>
      </c>
      <c r="N44" s="8" t="n">
        <v>3</v>
      </c>
      <c r="O44" s="19">
        <f>SUM(D44:N44)</f>
        <v/>
      </c>
      <c r="P44" s="18">
        <f>O44*C44</f>
        <v/>
      </c>
    </row>
    <row r="45">
      <c r="A45" s="26" t="n">
        <v>16</v>
      </c>
      <c r="B45" s="32" t="inlineStr">
        <is>
          <t>Победа Бисквити Черноморец 120гр</t>
        </is>
      </c>
      <c r="C45" s="28" t="n">
        <v>1.54</v>
      </c>
      <c r="D45" s="30" t="n">
        <v>1</v>
      </c>
      <c r="E45" s="30" t="n">
        <v>2</v>
      </c>
      <c r="F45" s="29" t="n">
        <v>0</v>
      </c>
      <c r="G45" s="29" t="n">
        <v>0</v>
      </c>
      <c r="H45" s="30" t="n">
        <v>11</v>
      </c>
      <c r="I45" s="30" t="n">
        <v>3</v>
      </c>
      <c r="J45" s="29" t="n">
        <v>0</v>
      </c>
      <c r="K45" s="29" t="n">
        <v>0</v>
      </c>
      <c r="L45" s="30" t="n">
        <v>3</v>
      </c>
      <c r="M45" s="30" t="n">
        <v>11</v>
      </c>
      <c r="N45" s="29" t="n">
        <v>0</v>
      </c>
      <c r="O45" s="19">
        <f>SUM(D45:N45)</f>
        <v/>
      </c>
      <c r="P45" s="18">
        <f>O45*C45</f>
        <v/>
      </c>
    </row>
    <row r="46">
      <c r="A46" s="10" t="n">
        <v>17</v>
      </c>
      <c r="B46" s="6" t="inlineStr">
        <is>
          <t>Победа Бисквити за торта 400гр</t>
        </is>
      </c>
      <c r="C46" s="24" t="n">
        <v>1.84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5" t="n">
        <v>0</v>
      </c>
      <c r="L46" s="25" t="n">
        <v>0</v>
      </c>
      <c r="M46" s="25" t="n">
        <v>0</v>
      </c>
      <c r="N46" s="25" t="n">
        <v>0</v>
      </c>
      <c r="O46" s="19">
        <f>SUM(D46:N46)</f>
        <v/>
      </c>
      <c r="P46" s="18">
        <f>O46*C46</f>
        <v/>
      </c>
    </row>
    <row r="47">
      <c r="A47" s="26" t="n">
        <v>18</v>
      </c>
      <c r="B47" s="32" t="inlineStr">
        <is>
          <t>Победа Бисквитиера Selection 305гр</t>
        </is>
      </c>
      <c r="C47" s="28" t="n">
        <v>3.93</v>
      </c>
      <c r="D47" s="29" t="n">
        <v>0</v>
      </c>
      <c r="E47" s="29" t="n">
        <v>0</v>
      </c>
      <c r="F47" s="29" t="n">
        <v>0</v>
      </c>
      <c r="G47" s="29" t="n">
        <v>0</v>
      </c>
      <c r="H47" s="29" t="n">
        <v>0</v>
      </c>
      <c r="I47" s="29" t="n">
        <v>0</v>
      </c>
      <c r="J47" s="29" t="n">
        <v>0</v>
      </c>
      <c r="K47" s="29" t="n">
        <v>0</v>
      </c>
      <c r="L47" s="29" t="n">
        <v>0</v>
      </c>
      <c r="M47" s="29" t="n">
        <v>0</v>
      </c>
      <c r="N47" s="30" t="n">
        <v>4</v>
      </c>
      <c r="O47" s="19">
        <f>SUM(D47:N47)</f>
        <v/>
      </c>
      <c r="P47" s="18">
        <f>O47*C47</f>
        <v/>
      </c>
    </row>
    <row r="48">
      <c r="A48" s="10" t="n">
        <v>19</v>
      </c>
      <c r="B48" s="6" t="inlineStr">
        <is>
          <t>Победа Бонбони Черноморец 172гр</t>
        </is>
      </c>
      <c r="C48" s="24" t="n">
        <v>2.5</v>
      </c>
      <c r="D48" s="8" t="n">
        <v>5</v>
      </c>
      <c r="E48" s="25" t="n">
        <v>0</v>
      </c>
      <c r="F48" s="8" t="n">
        <v>13</v>
      </c>
      <c r="G48" s="8" t="n">
        <v>17</v>
      </c>
      <c r="H48" s="8" t="n">
        <v>12</v>
      </c>
      <c r="I48" s="8" t="n">
        <v>4</v>
      </c>
      <c r="J48" s="8" t="n">
        <v>7</v>
      </c>
      <c r="K48" s="8" t="n">
        <v>5</v>
      </c>
      <c r="L48" s="8" t="n">
        <v>5</v>
      </c>
      <c r="M48" s="8" t="n">
        <v>6</v>
      </c>
      <c r="N48" s="8" t="n">
        <v>14</v>
      </c>
      <c r="O48" s="19">
        <f>SUM(D48:N48)</f>
        <v/>
      </c>
      <c r="P48" s="18">
        <f>O48*C48</f>
        <v/>
      </c>
    </row>
    <row r="49">
      <c r="A49" s="26" t="n">
        <v>20</v>
      </c>
      <c r="B49" s="32" t="inlineStr">
        <is>
          <t>Победа Бонбони Черноморец 94гр</t>
        </is>
      </c>
      <c r="C49" s="28" t="n">
        <v>1.39</v>
      </c>
      <c r="D49" s="30" t="n">
        <v>3</v>
      </c>
      <c r="E49" s="29" t="n">
        <v>0</v>
      </c>
      <c r="F49" s="30" t="n">
        <v>9</v>
      </c>
      <c r="G49" s="30" t="n">
        <v>3</v>
      </c>
      <c r="H49" s="30" t="n">
        <v>2</v>
      </c>
      <c r="I49" s="30" t="n">
        <v>3</v>
      </c>
      <c r="J49" s="30" t="n">
        <v>4</v>
      </c>
      <c r="K49" s="29" t="n">
        <v>0</v>
      </c>
      <c r="L49" s="30" t="n">
        <v>1</v>
      </c>
      <c r="M49" s="30" t="n">
        <v>8</v>
      </c>
      <c r="N49" s="30" t="n">
        <v>14</v>
      </c>
      <c r="O49" s="19">
        <f>SUM(D49:N49)</f>
        <v/>
      </c>
      <c r="P49" s="18">
        <f>O49*C49</f>
        <v/>
      </c>
    </row>
    <row r="50">
      <c r="A50" s="10" t="n">
        <v>21</v>
      </c>
      <c r="B50" s="6" t="inlineStr">
        <is>
          <t>Победа Вафлен десерт Черноморец 75гр</t>
        </is>
      </c>
      <c r="C50" s="24" t="n">
        <v>0.52</v>
      </c>
      <c r="D50" s="25" t="n">
        <v>0</v>
      </c>
      <c r="E50" s="8" t="n">
        <v>6</v>
      </c>
      <c r="F50" s="8" t="n">
        <v>30</v>
      </c>
      <c r="G50" s="8" t="n">
        <v>14</v>
      </c>
      <c r="H50" s="8" t="n">
        <v>1</v>
      </c>
      <c r="I50" s="25" t="n">
        <v>0</v>
      </c>
      <c r="J50" s="8" t="n">
        <v>9</v>
      </c>
      <c r="K50" s="25" t="n">
        <v>0</v>
      </c>
      <c r="L50" s="8" t="n">
        <v>3</v>
      </c>
      <c r="M50" s="8" t="n">
        <v>1</v>
      </c>
      <c r="N50" s="8" t="n">
        <v>20</v>
      </c>
      <c r="O50" s="19">
        <f>SUM(D50:N50)</f>
        <v/>
      </c>
      <c r="P50" s="18">
        <f>O50*C50</f>
        <v/>
      </c>
    </row>
    <row r="51">
      <c r="A51" s="26" t="n">
        <v>22</v>
      </c>
      <c r="B51" s="32" t="inlineStr">
        <is>
          <t>Победа Кекс Couple cake фемили 200гр</t>
        </is>
      </c>
      <c r="C51" s="28" t="n">
        <v>2.08</v>
      </c>
      <c r="D51" s="30" t="n">
        <v>1</v>
      </c>
      <c r="E51" s="29" t="n">
        <v>0</v>
      </c>
      <c r="F51" s="29" t="n">
        <v>0</v>
      </c>
      <c r="G51" s="30" t="n">
        <v>3</v>
      </c>
      <c r="H51" s="29" t="n">
        <v>0</v>
      </c>
      <c r="I51" s="29" t="n">
        <v>0</v>
      </c>
      <c r="J51" s="29" t="n">
        <v>0</v>
      </c>
      <c r="K51" s="29" t="n">
        <v>0</v>
      </c>
      <c r="L51" s="29" t="n">
        <v>0</v>
      </c>
      <c r="M51" s="30" t="n">
        <v>4</v>
      </c>
      <c r="N51" s="30" t="n">
        <v>12</v>
      </c>
      <c r="O51" s="19">
        <f>SUM(D51:N51)</f>
        <v/>
      </c>
      <c r="P51" s="18">
        <f>O51*C51</f>
        <v/>
      </c>
    </row>
    <row r="52">
      <c r="A52" s="10" t="n">
        <v>23</v>
      </c>
      <c r="B52" s="6" t="inlineStr">
        <is>
          <t>Победа Навона с какаов крем 200гр.</t>
        </is>
      </c>
      <c r="C52" s="24" t="n">
        <v>1.43</v>
      </c>
      <c r="D52" s="25" t="n">
        <v>0</v>
      </c>
      <c r="E52" s="25" t="n">
        <v>0</v>
      </c>
      <c r="F52" s="25" t="n">
        <v>0</v>
      </c>
      <c r="G52" s="8" t="n">
        <v>3</v>
      </c>
      <c r="H52" s="25" t="n">
        <v>0</v>
      </c>
      <c r="I52" s="25" t="n">
        <v>0</v>
      </c>
      <c r="J52" s="25" t="n">
        <v>0</v>
      </c>
      <c r="K52" s="25" t="n">
        <v>0</v>
      </c>
      <c r="L52" s="25" t="n">
        <v>0</v>
      </c>
      <c r="M52" s="25" t="n">
        <v>0</v>
      </c>
      <c r="N52" s="25" t="n">
        <v>0</v>
      </c>
      <c r="O52" s="19">
        <f>SUM(D52:N52)</f>
        <v/>
      </c>
      <c r="P52" s="18">
        <f>O52*C52</f>
        <v/>
      </c>
    </row>
    <row r="53">
      <c r="A53" s="26" t="n">
        <v>24</v>
      </c>
      <c r="B53" s="32" t="inlineStr">
        <is>
          <t>Победа Навона с фъстъчен крем 200гр</t>
        </is>
      </c>
      <c r="C53" s="28" t="n">
        <v>1.43</v>
      </c>
      <c r="D53" s="30" t="n">
        <v>1</v>
      </c>
      <c r="E53" s="30" t="n">
        <v>2</v>
      </c>
      <c r="F53" s="30" t="n">
        <v>13</v>
      </c>
      <c r="G53" s="30" t="n">
        <v>12</v>
      </c>
      <c r="H53" s="29" t="n">
        <v>0</v>
      </c>
      <c r="I53" s="30" t="n">
        <v>1</v>
      </c>
      <c r="J53" s="29" t="n">
        <v>0</v>
      </c>
      <c r="K53" s="30" t="n">
        <v>10</v>
      </c>
      <c r="L53" s="30" t="n">
        <v>4</v>
      </c>
      <c r="M53" s="30" t="n">
        <v>6</v>
      </c>
      <c r="N53" s="30" t="n">
        <v>3</v>
      </c>
      <c r="O53" s="19">
        <f>SUM(D53:N53)</f>
        <v/>
      </c>
      <c r="P53" s="18">
        <f>O53*C53</f>
        <v/>
      </c>
    </row>
    <row r="54">
      <c r="A54" s="10" t="n">
        <v>25</v>
      </c>
      <c r="B54" s="6" t="inlineStr">
        <is>
          <t>Победа Обикновени бисквити Изгрев 120гр</t>
        </is>
      </c>
      <c r="C54" s="24" t="n">
        <v>0.58</v>
      </c>
      <c r="D54" s="25" t="n">
        <v>0</v>
      </c>
      <c r="E54" s="8" t="n">
        <v>1</v>
      </c>
      <c r="F54" s="25" t="n">
        <v>0</v>
      </c>
      <c r="G54" s="25" t="n">
        <v>0</v>
      </c>
      <c r="H54" s="25" t="n">
        <v>0</v>
      </c>
      <c r="I54" s="25" t="n">
        <v>0</v>
      </c>
      <c r="J54" s="8" t="n">
        <v>7</v>
      </c>
      <c r="K54" s="8" t="n">
        <v>8</v>
      </c>
      <c r="L54" s="25" t="n">
        <v>0</v>
      </c>
      <c r="M54" s="25" t="n">
        <v>0</v>
      </c>
      <c r="N54" s="25" t="n">
        <v>0</v>
      </c>
      <c r="O54" s="19">
        <f>SUM(D54:N54)</f>
        <v/>
      </c>
      <c r="P54" s="18">
        <f>O54*C54</f>
        <v/>
      </c>
    </row>
    <row r="55">
      <c r="A55" s="26" t="n">
        <v>26</v>
      </c>
      <c r="B55" s="32" t="inlineStr">
        <is>
          <t>Победа Обикновени бисквити Изгрев 182гр</t>
        </is>
      </c>
      <c r="C55" s="28" t="n">
        <v>0.83</v>
      </c>
      <c r="D55" s="29" t="n">
        <v>0</v>
      </c>
      <c r="E55" s="30" t="n">
        <v>1</v>
      </c>
      <c r="F55" s="30" t="n">
        <v>4</v>
      </c>
      <c r="G55" s="29" t="n">
        <v>0</v>
      </c>
      <c r="H55" s="29" t="n">
        <v>0</v>
      </c>
      <c r="I55" s="29" t="n">
        <v>0</v>
      </c>
      <c r="J55" s="30" t="n">
        <v>2</v>
      </c>
      <c r="K55" s="29" t="n">
        <v>0</v>
      </c>
      <c r="L55" s="29" t="n">
        <v>0</v>
      </c>
      <c r="M55" s="29" t="n">
        <v>0</v>
      </c>
      <c r="N55" s="29" t="n">
        <v>0</v>
      </c>
      <c r="O55" s="19">
        <f>SUM(D55:N55)</f>
        <v/>
      </c>
      <c r="P55" s="18">
        <f>O55*C55</f>
        <v/>
      </c>
    </row>
    <row r="56">
      <c r="A56" s="10" t="n">
        <v>27</v>
      </c>
      <c r="B56" s="6" t="inlineStr">
        <is>
          <t>Победа Обикновени вафли Черноморец 105гр</t>
        </is>
      </c>
      <c r="C56" s="24" t="n">
        <v>0.53</v>
      </c>
      <c r="D56" s="25" t="n">
        <v>0</v>
      </c>
      <c r="E56" s="25" t="n">
        <v>0</v>
      </c>
      <c r="F56" s="25" t="n">
        <v>0</v>
      </c>
      <c r="G56" s="8" t="n">
        <v>3</v>
      </c>
      <c r="H56" s="8" t="n">
        <v>7</v>
      </c>
      <c r="I56" s="8" t="n">
        <v>3</v>
      </c>
      <c r="J56" s="8" t="n">
        <v>5</v>
      </c>
      <c r="K56" s="25" t="n">
        <v>0</v>
      </c>
      <c r="L56" s="25" t="n">
        <v>0</v>
      </c>
      <c r="M56" s="25" t="n">
        <v>0</v>
      </c>
      <c r="N56" s="8" t="n">
        <v>12</v>
      </c>
      <c r="O56" s="19">
        <f>SUM(D56:N56)</f>
        <v/>
      </c>
      <c r="P56" s="18">
        <f>O56*C56</f>
        <v/>
      </c>
    </row>
    <row r="57">
      <c r="A57" s="26" t="n">
        <v>28</v>
      </c>
      <c r="B57" s="32" t="inlineStr">
        <is>
          <t>Победа Обикновени вафли Черноморец 210гр</t>
        </is>
      </c>
      <c r="C57" s="28" t="n">
        <v>1.12</v>
      </c>
      <c r="D57" s="29" t="n">
        <v>0</v>
      </c>
      <c r="E57" s="30" t="n">
        <v>1</v>
      </c>
      <c r="F57" s="30" t="n">
        <v>6</v>
      </c>
      <c r="G57" s="30" t="n">
        <v>4</v>
      </c>
      <c r="H57" s="30" t="n">
        <v>2</v>
      </c>
      <c r="I57" s="30" t="n">
        <v>1</v>
      </c>
      <c r="J57" s="30" t="n">
        <v>7</v>
      </c>
      <c r="K57" s="29" t="n">
        <v>0</v>
      </c>
      <c r="L57" s="29" t="n">
        <v>0</v>
      </c>
      <c r="M57" s="30" t="n">
        <v>1</v>
      </c>
      <c r="N57" s="29" t="n">
        <v>0</v>
      </c>
      <c r="O57" s="19">
        <f>SUM(D57:N57)</f>
        <v/>
      </c>
      <c r="P57" s="18">
        <f>O57*C57</f>
        <v/>
      </c>
    </row>
    <row r="58">
      <c r="A58" s="10" t="n">
        <v>29</v>
      </c>
      <c r="B58" s="6" t="inlineStr">
        <is>
          <t>Победа Обикновени вафли Черноморец 420гр</t>
        </is>
      </c>
      <c r="C58" s="24" t="n">
        <v>2.24</v>
      </c>
      <c r="D58" s="25" t="n">
        <v>0</v>
      </c>
      <c r="E58" s="25" t="n">
        <v>0</v>
      </c>
      <c r="F58" s="25" t="n">
        <v>0</v>
      </c>
      <c r="G58" s="8" t="n">
        <v>4</v>
      </c>
      <c r="H58" s="25" t="n">
        <v>0</v>
      </c>
      <c r="I58" s="8" t="n">
        <v>2</v>
      </c>
      <c r="J58" s="8" t="n">
        <v>4</v>
      </c>
      <c r="K58" s="8" t="n">
        <v>4</v>
      </c>
      <c r="L58" s="25" t="n">
        <v>0</v>
      </c>
      <c r="M58" s="25" t="n">
        <v>0</v>
      </c>
      <c r="N58" s="8" t="n">
        <v>3</v>
      </c>
      <c r="O58" s="19">
        <f>SUM(D58:N58)</f>
        <v/>
      </c>
      <c r="P58" s="18">
        <f>O58*C58</f>
        <v/>
      </c>
    </row>
    <row r="59">
      <c r="A59" s="26" t="n">
        <v>30</v>
      </c>
      <c r="B59" s="32" t="inlineStr">
        <is>
          <t>Победа Обикновени вафли Черноморец какао и кокос 196гр</t>
        </is>
      </c>
      <c r="C59" s="28" t="n">
        <v>1.12</v>
      </c>
      <c r="D59" s="29" t="n">
        <v>0</v>
      </c>
      <c r="E59" s="30" t="n">
        <v>1</v>
      </c>
      <c r="F59" s="30" t="n">
        <v>1</v>
      </c>
      <c r="G59" s="30" t="n">
        <v>3</v>
      </c>
      <c r="H59" s="29" t="n">
        <v>0</v>
      </c>
      <c r="I59" s="29" t="n">
        <v>0</v>
      </c>
      <c r="J59" s="29" t="n">
        <v>0</v>
      </c>
      <c r="K59" s="29" t="n">
        <v>0</v>
      </c>
      <c r="L59" s="29" t="n">
        <v>0</v>
      </c>
      <c r="M59" s="30" t="n">
        <v>1</v>
      </c>
      <c r="N59" s="30" t="n">
        <v>2</v>
      </c>
      <c r="O59" s="19">
        <f>SUM(D59:N59)</f>
        <v/>
      </c>
      <c r="P59" s="18">
        <f>O59*C59</f>
        <v/>
      </c>
    </row>
    <row r="60">
      <c r="A60" s="10" t="n">
        <v>31</v>
      </c>
      <c r="B60" s="6" t="inlineStr">
        <is>
          <t>Победа Обикновени вафли Черноморец какао и кокос 98гр</t>
        </is>
      </c>
      <c r="C60" s="24" t="n">
        <v>0.53</v>
      </c>
      <c r="D60" s="25" t="n">
        <v>0</v>
      </c>
      <c r="E60" s="25" t="n">
        <v>0</v>
      </c>
      <c r="F60" s="25" t="n">
        <v>0</v>
      </c>
      <c r="G60" s="8" t="n">
        <v>4</v>
      </c>
      <c r="H60" s="25" t="n">
        <v>0</v>
      </c>
      <c r="I60" s="8" t="n">
        <v>1</v>
      </c>
      <c r="J60" s="25" t="n">
        <v>0</v>
      </c>
      <c r="K60" s="25" t="n">
        <v>0</v>
      </c>
      <c r="L60" s="25" t="n">
        <v>0</v>
      </c>
      <c r="M60" s="8" t="n">
        <v>3</v>
      </c>
      <c r="N60" s="8" t="n">
        <v>9</v>
      </c>
      <c r="O60" s="19">
        <f>SUM(D60:N60)</f>
        <v/>
      </c>
      <c r="P60" s="18">
        <f>O60*C60</f>
        <v/>
      </c>
    </row>
    <row r="61">
      <c r="A61" s="26" t="n">
        <v>32</v>
      </c>
      <c r="B61" s="32" t="inlineStr">
        <is>
          <t>Победа Суха паста  Черноморец 70гр</t>
        </is>
      </c>
      <c r="C61" s="28" t="n">
        <v>0.41</v>
      </c>
      <c r="D61" s="29" t="n">
        <v>0</v>
      </c>
      <c r="E61" s="30" t="n">
        <v>31</v>
      </c>
      <c r="F61" s="30" t="n">
        <v>2</v>
      </c>
      <c r="G61" s="30" t="n">
        <v>8</v>
      </c>
      <c r="H61" s="30" t="n">
        <v>12</v>
      </c>
      <c r="I61" s="29" t="n">
        <v>0</v>
      </c>
      <c r="J61" s="29" t="n">
        <v>0</v>
      </c>
      <c r="K61" s="30" t="n">
        <v>5</v>
      </c>
      <c r="L61" s="29" t="n">
        <v>0</v>
      </c>
      <c r="M61" s="29" t="n">
        <v>0</v>
      </c>
      <c r="N61" s="30" t="n">
        <v>23</v>
      </c>
      <c r="O61" s="19">
        <f>SUM(D61:N61)</f>
        <v/>
      </c>
      <c r="P61" s="18">
        <f>O61*C61</f>
        <v/>
      </c>
    </row>
    <row r="62">
      <c r="A62" s="10" t="n">
        <v>33</v>
      </c>
      <c r="B62" s="6" t="inlineStr">
        <is>
          <t>Победа вафли Черноморец 48гр</t>
        </is>
      </c>
      <c r="C62" s="24" t="n">
        <v>0.32</v>
      </c>
      <c r="D62" s="25" t="n">
        <v>0</v>
      </c>
      <c r="E62" s="25" t="n">
        <v>0</v>
      </c>
      <c r="F62" s="8" t="n">
        <v>11</v>
      </c>
      <c r="G62" s="8" t="n">
        <v>29</v>
      </c>
      <c r="H62" s="25" t="n">
        <v>0</v>
      </c>
      <c r="I62" s="25" t="n">
        <v>0</v>
      </c>
      <c r="J62" s="25" t="n">
        <v>0</v>
      </c>
      <c r="K62" s="25" t="n">
        <v>0</v>
      </c>
      <c r="L62" s="25" t="n">
        <v>0</v>
      </c>
      <c r="M62" s="8" t="n">
        <v>1</v>
      </c>
      <c r="N62" s="8" t="n">
        <v>8</v>
      </c>
      <c r="O62" s="19">
        <f>SUM(D62:N62)</f>
        <v/>
      </c>
      <c r="P62" s="18">
        <f>O62*C62</f>
        <v/>
      </c>
    </row>
    <row r="63">
      <c r="A63" s="13" t="inlineStr"/>
      <c r="B63" s="13" t="inlineStr">
        <is>
          <t>ОБЩО (бр.)</t>
        </is>
      </c>
      <c r="C63" s="16" t="inlineStr">
        <is>
          <t>-</t>
        </is>
      </c>
      <c r="D63" s="15">
        <f>SUM(D30:D62)</f>
        <v/>
      </c>
      <c r="E63" s="15">
        <f>SUM(E30:E62)</f>
        <v/>
      </c>
      <c r="F63" s="15">
        <f>SUM(F30:F62)</f>
        <v/>
      </c>
      <c r="G63" s="15">
        <f>SUM(G30:G62)</f>
        <v/>
      </c>
      <c r="H63" s="15">
        <f>SUM(H30:H62)</f>
        <v/>
      </c>
      <c r="I63" s="15">
        <f>SUM(I30:I62)</f>
        <v/>
      </c>
      <c r="J63" s="15">
        <f>SUM(J30:J62)</f>
        <v/>
      </c>
      <c r="K63" s="15">
        <f>SUM(K30:K62)</f>
        <v/>
      </c>
      <c r="L63" s="15">
        <f>SUM(L30:L62)</f>
        <v/>
      </c>
      <c r="M63" s="15">
        <f>SUM(M30:M62)</f>
        <v/>
      </c>
      <c r="N63" s="15">
        <f>SUM(N30:N62)</f>
        <v/>
      </c>
      <c r="O63" s="15">
        <f>SUM(O30:O62)</f>
        <v/>
      </c>
      <c r="P63" s="14">
        <f>SUM(P30:P62)</f>
        <v/>
      </c>
    </row>
    <row r="64"/>
    <row r="65"/>
    <row r="66">
      <c r="A66" s="3" t="inlineStr">
        <is>
          <t>ТАБЛИЦА: ИТАЛ ФУУДС (Цел ~2000 € (~58 дни покритие))</t>
        </is>
      </c>
    </row>
    <row r="67" ht="26" customHeight="1">
      <c r="A67" s="31" t="inlineStr">
        <is>
          <t>№</t>
        </is>
      </c>
      <c r="B67" s="31" t="inlineStr">
        <is>
          <t>Артикул / Номенклатура</t>
        </is>
      </c>
      <c r="C67" s="31" t="inlineStr">
        <is>
          <t>Доставна цена (€)</t>
        </is>
      </c>
      <c r="D67" s="31" t="inlineStr">
        <is>
          <t>АРСЕНАЛСКИ</t>
        </is>
      </c>
      <c r="E67" s="31" t="inlineStr">
        <is>
          <t>БАНКЯ</t>
        </is>
      </c>
      <c r="F67" s="31" t="inlineStr">
        <is>
          <t>ВЕЛЧО АТАНАСОВ</t>
        </is>
      </c>
      <c r="G67" s="31" t="inlineStr">
        <is>
          <t>ЛОЗЕНЕЦ</t>
        </is>
      </c>
      <c r="H67" s="31" t="inlineStr">
        <is>
          <t>ЛЮЛИН 7</t>
        </is>
      </c>
      <c r="I67" s="31" t="inlineStr">
        <is>
          <t>МАНАСТИРСКИ ЛИВАДИ</t>
        </is>
      </c>
      <c r="J67" s="31" t="inlineStr">
        <is>
          <t>НАДЕЖДА</t>
        </is>
      </c>
      <c r="K67" s="31" t="inlineStr">
        <is>
          <t>ОБЕЛЯ 2</t>
        </is>
      </c>
      <c r="L67" s="31" t="inlineStr">
        <is>
          <t>РЕДУТА</t>
        </is>
      </c>
      <c r="M67" s="31" t="inlineStr">
        <is>
          <t>СВОБОДА</t>
        </is>
      </c>
      <c r="N67" s="31" t="inlineStr">
        <is>
          <t>ХАЛИ ОКРЪЖНА</t>
        </is>
      </c>
      <c r="O67" s="31" t="inlineStr">
        <is>
          <t>ОБЩО (бр.)</t>
        </is>
      </c>
      <c r="P67" s="31" t="inlineStr">
        <is>
          <t>ОБЩА СТОЙНОСТ (€)</t>
        </is>
      </c>
    </row>
    <row r="68">
      <c r="A68" s="10" t="n">
        <v>1</v>
      </c>
      <c r="B68" s="6" t="inlineStr">
        <is>
          <t>Брускети Маретти 140гр</t>
        </is>
      </c>
      <c r="C68" s="24" t="n">
        <v>1.01</v>
      </c>
      <c r="D68" s="8" t="n">
        <v>90</v>
      </c>
      <c r="E68" s="8" t="n">
        <v>33</v>
      </c>
      <c r="F68" s="8" t="n">
        <v>57</v>
      </c>
      <c r="G68" s="8" t="n">
        <v>15</v>
      </c>
      <c r="H68" s="8" t="n">
        <v>55</v>
      </c>
      <c r="I68" s="8" t="n">
        <v>15</v>
      </c>
      <c r="J68" s="8" t="n">
        <v>65</v>
      </c>
      <c r="K68" s="8" t="n">
        <v>5</v>
      </c>
      <c r="L68" s="8" t="n">
        <v>4</v>
      </c>
      <c r="M68" s="8" t="n">
        <v>5</v>
      </c>
      <c r="N68" s="8" t="n">
        <v>116</v>
      </c>
      <c r="O68" s="19">
        <f>SUM(D68:N68)</f>
        <v/>
      </c>
      <c r="P68" s="18">
        <f>O68*C68</f>
        <v/>
      </c>
    </row>
    <row r="69">
      <c r="A69" s="26" t="n">
        <v>2</v>
      </c>
      <c r="B69" s="32" t="inlineStr">
        <is>
          <t>Брускети Маретти 70гр</t>
        </is>
      </c>
      <c r="C69" s="28" t="n">
        <v>0.61</v>
      </c>
      <c r="D69" s="30" t="n">
        <v>107</v>
      </c>
      <c r="E69" s="30" t="n">
        <v>74</v>
      </c>
      <c r="F69" s="30" t="n">
        <v>22</v>
      </c>
      <c r="G69" s="30" t="n">
        <v>69</v>
      </c>
      <c r="H69" s="30" t="n">
        <v>139</v>
      </c>
      <c r="I69" s="30" t="n">
        <v>39</v>
      </c>
      <c r="J69" s="30" t="n">
        <v>80</v>
      </c>
      <c r="K69" s="30" t="n">
        <v>115</v>
      </c>
      <c r="L69" s="30" t="n">
        <v>19</v>
      </c>
      <c r="M69" s="30" t="n">
        <v>52</v>
      </c>
      <c r="N69" s="30" t="n">
        <v>34</v>
      </c>
      <c r="O69" s="19">
        <f>SUM(D69:N69)</f>
        <v/>
      </c>
      <c r="P69" s="18">
        <f>O69*C69</f>
        <v/>
      </c>
    </row>
    <row r="70">
      <c r="A70" s="10" t="n">
        <v>3</v>
      </c>
      <c r="B70" s="6" t="inlineStr">
        <is>
          <t>Кубети 35гр</t>
        </is>
      </c>
      <c r="C70" s="24" t="n">
        <v>0.28</v>
      </c>
      <c r="D70" s="8" t="n">
        <v>19</v>
      </c>
      <c r="E70" s="25" t="n">
        <v>0</v>
      </c>
      <c r="F70" s="8" t="n">
        <v>3</v>
      </c>
      <c r="G70" s="8" t="n">
        <v>66</v>
      </c>
      <c r="H70" s="8" t="n">
        <v>48</v>
      </c>
      <c r="I70" s="8" t="n">
        <v>2</v>
      </c>
      <c r="J70" s="8" t="n">
        <v>21</v>
      </c>
      <c r="K70" s="8" t="n">
        <v>123</v>
      </c>
      <c r="L70" s="25" t="n">
        <v>0</v>
      </c>
      <c r="M70" s="8" t="n">
        <v>67</v>
      </c>
      <c r="N70" s="8" t="n">
        <v>61</v>
      </c>
      <c r="O70" s="19">
        <f>SUM(D70:N70)</f>
        <v/>
      </c>
      <c r="P70" s="18">
        <f>O70*C70</f>
        <v/>
      </c>
    </row>
    <row r="71">
      <c r="A71" s="26" t="n">
        <v>4</v>
      </c>
      <c r="B71" s="32" t="inlineStr">
        <is>
          <t>Кубети 60гр</t>
        </is>
      </c>
      <c r="C71" s="28" t="n">
        <v>0.54</v>
      </c>
      <c r="D71" s="29" t="n">
        <v>0</v>
      </c>
      <c r="E71" s="30" t="n">
        <v>21</v>
      </c>
      <c r="F71" s="30" t="n">
        <v>2</v>
      </c>
      <c r="G71" s="30" t="n">
        <v>10</v>
      </c>
      <c r="H71" s="30" t="n">
        <v>42</v>
      </c>
      <c r="I71" s="29" t="n">
        <v>0</v>
      </c>
      <c r="J71" s="29" t="n">
        <v>0</v>
      </c>
      <c r="K71" s="30" t="n">
        <v>63</v>
      </c>
      <c r="L71" s="30" t="n">
        <v>9</v>
      </c>
      <c r="M71" s="29" t="n">
        <v>0</v>
      </c>
      <c r="N71" s="29" t="n">
        <v>0</v>
      </c>
      <c r="O71" s="19">
        <f>SUM(D71:N71)</f>
        <v/>
      </c>
      <c r="P71" s="18">
        <f>O71*C71</f>
        <v/>
      </c>
    </row>
    <row r="72">
      <c r="A72" s="10" t="n">
        <v>5</v>
      </c>
      <c r="B72" s="6" t="inlineStr">
        <is>
          <t>Кубети Мега стикс 50гр.</t>
        </is>
      </c>
      <c r="C72" s="24" t="n">
        <v>0.74</v>
      </c>
      <c r="D72" s="8" t="n">
        <v>22</v>
      </c>
      <c r="E72" s="8" t="n">
        <v>4</v>
      </c>
      <c r="F72" s="8" t="n">
        <v>26</v>
      </c>
      <c r="G72" s="8" t="n">
        <v>6</v>
      </c>
      <c r="H72" s="8" t="n">
        <v>11</v>
      </c>
      <c r="I72" s="8" t="n">
        <v>20</v>
      </c>
      <c r="J72" s="8" t="n">
        <v>21</v>
      </c>
      <c r="K72" s="8" t="n">
        <v>126</v>
      </c>
      <c r="L72" s="25" t="n">
        <v>0</v>
      </c>
      <c r="M72" s="8" t="n">
        <v>12</v>
      </c>
      <c r="N72" s="8" t="n">
        <v>7</v>
      </c>
      <c r="O72" s="19">
        <f>SUM(D72:N72)</f>
        <v/>
      </c>
      <c r="P72" s="18">
        <f>O72*C72</f>
        <v/>
      </c>
    </row>
    <row r="73">
      <c r="A73" s="26" t="n">
        <v>6</v>
      </c>
      <c r="B73" s="32" t="inlineStr">
        <is>
          <t>Кубети Мистър стикс 125гр.</t>
        </is>
      </c>
      <c r="C73" s="28" t="n">
        <v>1.47</v>
      </c>
      <c r="D73" s="29" t="n">
        <v>0</v>
      </c>
      <c r="E73" s="30" t="n">
        <v>6</v>
      </c>
      <c r="F73" s="30" t="n">
        <v>1</v>
      </c>
      <c r="G73" s="30" t="n">
        <v>8</v>
      </c>
      <c r="H73" s="30" t="n">
        <v>5</v>
      </c>
      <c r="I73" s="30" t="n">
        <v>1</v>
      </c>
      <c r="J73" s="30" t="n">
        <v>25</v>
      </c>
      <c r="K73" s="30" t="n">
        <v>15</v>
      </c>
      <c r="L73" s="30" t="n">
        <v>2</v>
      </c>
      <c r="M73" s="30" t="n">
        <v>38</v>
      </c>
      <c r="N73" s="29" t="n">
        <v>0</v>
      </c>
      <c r="O73" s="19">
        <f>SUM(D73:N73)</f>
        <v/>
      </c>
      <c r="P73" s="18">
        <f>O73*C73</f>
        <v/>
      </c>
    </row>
    <row r="74">
      <c r="A74" s="10" t="n">
        <v>7</v>
      </c>
      <c r="B74" s="6" t="inlineStr">
        <is>
          <t>Оризов кейк Livity 100гр</t>
        </is>
      </c>
      <c r="C74" s="24" t="n">
        <v>0.6899999999999999</v>
      </c>
      <c r="D74" s="25" t="n">
        <v>0</v>
      </c>
      <c r="E74" s="8" t="n">
        <v>15</v>
      </c>
      <c r="F74" s="25" t="n">
        <v>0</v>
      </c>
      <c r="G74" s="8" t="n">
        <v>4</v>
      </c>
      <c r="H74" s="25" t="n">
        <v>0</v>
      </c>
      <c r="I74" s="25" t="n">
        <v>0</v>
      </c>
      <c r="J74" s="25" t="n">
        <v>0</v>
      </c>
      <c r="K74" s="25" t="n">
        <v>0</v>
      </c>
      <c r="L74" s="25" t="n">
        <v>0</v>
      </c>
      <c r="M74" s="25" t="n">
        <v>0</v>
      </c>
      <c r="N74" s="8" t="n">
        <v>5</v>
      </c>
      <c r="O74" s="19">
        <f>SUM(D74:N74)</f>
        <v/>
      </c>
      <c r="P74" s="18">
        <f>O74*C74</f>
        <v/>
      </c>
    </row>
    <row r="75">
      <c r="A75" s="26" t="n">
        <v>8</v>
      </c>
      <c r="B75" s="32" t="inlineStr">
        <is>
          <t>Оризов чипс Livity 60гр</t>
        </is>
      </c>
      <c r="C75" s="28" t="n">
        <v>0.75</v>
      </c>
      <c r="D75" s="30" t="n">
        <v>9</v>
      </c>
      <c r="E75" s="29" t="n">
        <v>0</v>
      </c>
      <c r="F75" s="30" t="n">
        <v>36</v>
      </c>
      <c r="G75" s="30" t="n">
        <v>46</v>
      </c>
      <c r="H75" s="29" t="n">
        <v>0</v>
      </c>
      <c r="I75" s="29" t="n">
        <v>0</v>
      </c>
      <c r="J75" s="29" t="n">
        <v>0</v>
      </c>
      <c r="K75" s="30" t="n">
        <v>13</v>
      </c>
      <c r="L75" s="29" t="n">
        <v>0</v>
      </c>
      <c r="M75" s="30" t="n">
        <v>5</v>
      </c>
      <c r="N75" s="30" t="n">
        <v>59</v>
      </c>
      <c r="O75" s="19">
        <f>SUM(D75:N75)</f>
        <v/>
      </c>
      <c r="P75" s="18">
        <f>O75*C75</f>
        <v/>
      </c>
    </row>
    <row r="76">
      <c r="A76" s="10" t="n">
        <v>9</v>
      </c>
      <c r="B76" s="6" t="inlineStr">
        <is>
          <t>Оризов чипс Livity с Протеин 52гр</t>
        </is>
      </c>
      <c r="C76" s="24" t="n">
        <v>1.68</v>
      </c>
      <c r="D76" s="8" t="n">
        <v>11</v>
      </c>
      <c r="E76" s="25" t="n">
        <v>0</v>
      </c>
      <c r="F76" s="8" t="n">
        <v>76</v>
      </c>
      <c r="G76" s="8" t="n">
        <v>77</v>
      </c>
      <c r="H76" s="8" t="n">
        <v>9</v>
      </c>
      <c r="I76" s="25" t="n">
        <v>0</v>
      </c>
      <c r="J76" s="8" t="n">
        <v>7</v>
      </c>
      <c r="K76" s="8" t="n">
        <v>58</v>
      </c>
      <c r="L76" s="25" t="n">
        <v>0</v>
      </c>
      <c r="M76" s="25" t="n">
        <v>0</v>
      </c>
      <c r="N76" s="25" t="n">
        <v>0</v>
      </c>
      <c r="O76" s="19">
        <f>SUM(D76:N76)</f>
        <v/>
      </c>
      <c r="P76" s="18">
        <f>O76*C76</f>
        <v/>
      </c>
    </row>
    <row r="77">
      <c r="A77" s="26" t="n">
        <v>10</v>
      </c>
      <c r="B77" s="32" t="inlineStr">
        <is>
          <t>Протеинов кейк Livity 80гр</t>
        </is>
      </c>
      <c r="C77" s="28" t="n">
        <v>1.68</v>
      </c>
      <c r="D77" s="29" t="n">
        <v>0</v>
      </c>
      <c r="E77" s="29" t="n">
        <v>0</v>
      </c>
      <c r="F77" s="29" t="n">
        <v>0</v>
      </c>
      <c r="G77" s="29" t="n">
        <v>0</v>
      </c>
      <c r="H77" s="29" t="n">
        <v>0</v>
      </c>
      <c r="I77" s="29" t="n">
        <v>0</v>
      </c>
      <c r="J77" s="29" t="n">
        <v>0</v>
      </c>
      <c r="K77" s="29" t="n">
        <v>0</v>
      </c>
      <c r="L77" s="29" t="n">
        <v>0</v>
      </c>
      <c r="M77" s="30" t="n">
        <v>1</v>
      </c>
      <c r="N77" s="29" t="n">
        <v>0</v>
      </c>
      <c r="O77" s="19">
        <f>SUM(D77:N77)</f>
        <v/>
      </c>
      <c r="P77" s="18">
        <f>O77*C77</f>
        <v/>
      </c>
    </row>
    <row r="78">
      <c r="A78" s="13" t="inlineStr"/>
      <c r="B78" s="13" t="inlineStr">
        <is>
          <t>ОБЩО (бр.)</t>
        </is>
      </c>
      <c r="C78" s="16" t="inlineStr">
        <is>
          <t>-</t>
        </is>
      </c>
      <c r="D78" s="15">
        <f>SUM(D68:D77)</f>
        <v/>
      </c>
      <c r="E78" s="15">
        <f>SUM(E68:E77)</f>
        <v/>
      </c>
      <c r="F78" s="15">
        <f>SUM(F68:F77)</f>
        <v/>
      </c>
      <c r="G78" s="15">
        <f>SUM(G68:G77)</f>
        <v/>
      </c>
      <c r="H78" s="15">
        <f>SUM(H68:H77)</f>
        <v/>
      </c>
      <c r="I78" s="15">
        <f>SUM(I68:I77)</f>
        <v/>
      </c>
      <c r="J78" s="15">
        <f>SUM(J68:J77)</f>
        <v/>
      </c>
      <c r="K78" s="15">
        <f>SUM(K68:K77)</f>
        <v/>
      </c>
      <c r="L78" s="15">
        <f>SUM(L68:L77)</f>
        <v/>
      </c>
      <c r="M78" s="15">
        <f>SUM(M68:M77)</f>
        <v/>
      </c>
      <c r="N78" s="15">
        <f>SUM(N68:N77)</f>
        <v/>
      </c>
      <c r="O78" s="15">
        <f>SUM(O68:O77)</f>
        <v/>
      </c>
      <c r="P78" s="14">
        <f>SUM(P68:P77)</f>
        <v/>
      </c>
    </row>
    <row r="79"/>
    <row r="80"/>
    <row r="81">
      <c r="A81" s="3" t="inlineStr">
        <is>
          <t>ТАБЛИЦА: ПРЕСТИЖ (Цел 1.5 месеца покритие (45 дни))</t>
        </is>
      </c>
    </row>
    <row r="82" ht="26" customHeight="1">
      <c r="A82" s="31" t="inlineStr">
        <is>
          <t>№</t>
        </is>
      </c>
      <c r="B82" s="31" t="inlineStr">
        <is>
          <t>Артикул / Номенклатура</t>
        </is>
      </c>
      <c r="C82" s="31" t="inlineStr">
        <is>
          <t>Доставна цена (€)</t>
        </is>
      </c>
      <c r="D82" s="31" t="inlineStr">
        <is>
          <t>АРСЕНАЛСКИ</t>
        </is>
      </c>
      <c r="E82" s="31" t="inlineStr">
        <is>
          <t>БАНКЯ</t>
        </is>
      </c>
      <c r="F82" s="31" t="inlineStr">
        <is>
          <t>ВЕЛЧО АТАНАСОВ</t>
        </is>
      </c>
      <c r="G82" s="31" t="inlineStr">
        <is>
          <t>ЛОЗЕНЕЦ</t>
        </is>
      </c>
      <c r="H82" s="31" t="inlineStr">
        <is>
          <t>ЛЮЛИН 7</t>
        </is>
      </c>
      <c r="I82" s="31" t="inlineStr">
        <is>
          <t>МАНАСТИРСКИ ЛИВАДИ</t>
        </is>
      </c>
      <c r="J82" s="31" t="inlineStr">
        <is>
          <t>НАДЕЖДА</t>
        </is>
      </c>
      <c r="K82" s="31" t="inlineStr">
        <is>
          <t>ОБЕЛЯ 2</t>
        </is>
      </c>
      <c r="L82" s="31" t="inlineStr">
        <is>
          <t>РЕДУТА</t>
        </is>
      </c>
      <c r="M82" s="31" t="inlineStr">
        <is>
          <t>СВОБОДА</t>
        </is>
      </c>
      <c r="N82" s="31" t="inlineStr">
        <is>
          <t>ХАЛИ ОКРЪЖНА</t>
        </is>
      </c>
      <c r="O82" s="31" t="inlineStr">
        <is>
          <t>ОБЩО (бр.)</t>
        </is>
      </c>
      <c r="P82" s="31" t="inlineStr">
        <is>
          <t>ОБЩА СТОЙНОСТ (€)</t>
        </is>
      </c>
    </row>
    <row r="83">
      <c r="A83" s="10" t="n">
        <v>1</v>
      </c>
      <c r="B83" s="6" t="inlineStr">
        <is>
          <t>Престиж Бисквити Oh La La брауни ягода 156г</t>
        </is>
      </c>
      <c r="C83" s="10" t="inlineStr">
        <is>
          <t>-</t>
        </is>
      </c>
      <c r="D83" s="25" t="n">
        <v>0</v>
      </c>
      <c r="E83" s="25" t="n">
        <v>0</v>
      </c>
      <c r="F83" s="25" t="n">
        <v>0</v>
      </c>
      <c r="G83" s="25" t="n">
        <v>0</v>
      </c>
      <c r="H83" s="25" t="n">
        <v>0</v>
      </c>
      <c r="I83" s="25" t="n">
        <v>0</v>
      </c>
      <c r="J83" s="25" t="n">
        <v>0</v>
      </c>
      <c r="K83" s="25" t="n">
        <v>0</v>
      </c>
      <c r="L83" s="25" t="n">
        <v>0</v>
      </c>
      <c r="M83" s="25" t="n">
        <v>0</v>
      </c>
      <c r="N83" s="25" t="n">
        <v>0</v>
      </c>
      <c r="O83" s="19">
        <f>SUM(D83:N83)</f>
        <v/>
      </c>
      <c r="P83" s="10" t="inlineStr">
        <is>
          <t>-</t>
        </is>
      </c>
    </row>
    <row r="84">
      <c r="A84" s="26" t="n">
        <v>2</v>
      </c>
      <c r="B84" s="32" t="inlineStr">
        <is>
          <t>Престиж Бисквити Oh La La с мармалад гор.плодове 134г</t>
        </is>
      </c>
      <c r="C84" s="26" t="inlineStr">
        <is>
          <t>-</t>
        </is>
      </c>
      <c r="D84" s="29" t="n">
        <v>0</v>
      </c>
      <c r="E84" s="29" t="n">
        <v>0</v>
      </c>
      <c r="F84" s="29" t="n">
        <v>0</v>
      </c>
      <c r="G84" s="29" t="n">
        <v>0</v>
      </c>
      <c r="H84" s="29" t="n">
        <v>0</v>
      </c>
      <c r="I84" s="29" t="n">
        <v>0</v>
      </c>
      <c r="J84" s="29" t="n">
        <v>0</v>
      </c>
      <c r="K84" s="29" t="n">
        <v>0</v>
      </c>
      <c r="L84" s="29" t="n">
        <v>0</v>
      </c>
      <c r="M84" s="29" t="n">
        <v>0</v>
      </c>
      <c r="N84" s="29" t="n">
        <v>0</v>
      </c>
      <c r="O84" s="19">
        <f>SUM(D84:N84)</f>
        <v/>
      </c>
      <c r="P84" s="10" t="inlineStr">
        <is>
          <t>-</t>
        </is>
      </c>
    </row>
    <row r="85">
      <c r="A85" s="10" t="n">
        <v>3</v>
      </c>
      <c r="B85" s="6" t="inlineStr">
        <is>
          <t>Престиж Бисквити Oh La La с мармалад ягода 134г</t>
        </is>
      </c>
      <c r="C85" s="10" t="inlineStr">
        <is>
          <t>-</t>
        </is>
      </c>
      <c r="D85" s="25" t="n">
        <v>0</v>
      </c>
      <c r="E85" s="25" t="n">
        <v>0</v>
      </c>
      <c r="F85" s="25" t="n">
        <v>0</v>
      </c>
      <c r="G85" s="25" t="n">
        <v>0</v>
      </c>
      <c r="H85" s="25" t="n">
        <v>0</v>
      </c>
      <c r="I85" s="25" t="n">
        <v>0</v>
      </c>
      <c r="J85" s="25" t="n">
        <v>0</v>
      </c>
      <c r="K85" s="25" t="n">
        <v>0</v>
      </c>
      <c r="L85" s="25" t="n">
        <v>0</v>
      </c>
      <c r="M85" s="25" t="n">
        <v>0</v>
      </c>
      <c r="N85" s="25" t="n">
        <v>0</v>
      </c>
      <c r="O85" s="19">
        <f>SUM(D85:N85)</f>
        <v/>
      </c>
      <c r="P85" s="10" t="inlineStr">
        <is>
          <t>-</t>
        </is>
      </c>
    </row>
    <row r="86">
      <c r="A86" s="26" t="n">
        <v>4</v>
      </c>
      <c r="B86" s="32" t="inlineStr">
        <is>
          <t>Престиж Бисквити Мираж Манго 156гр</t>
        </is>
      </c>
      <c r="C86" s="26" t="inlineStr">
        <is>
          <t>-</t>
        </is>
      </c>
      <c r="D86" s="29" t="n">
        <v>0</v>
      </c>
      <c r="E86" s="29" t="n">
        <v>0</v>
      </c>
      <c r="F86" s="29" t="n">
        <v>0</v>
      </c>
      <c r="G86" s="29" t="n">
        <v>0</v>
      </c>
      <c r="H86" s="29" t="n">
        <v>0</v>
      </c>
      <c r="I86" s="30" t="n">
        <v>2</v>
      </c>
      <c r="J86" s="29" t="n">
        <v>0</v>
      </c>
      <c r="K86" s="29" t="n">
        <v>0</v>
      </c>
      <c r="L86" s="29" t="n">
        <v>0</v>
      </c>
      <c r="M86" s="29" t="n">
        <v>0</v>
      </c>
      <c r="N86" s="29" t="n">
        <v>0</v>
      </c>
      <c r="O86" s="19">
        <f>SUM(D86:N86)</f>
        <v/>
      </c>
      <c r="P86" s="10" t="inlineStr">
        <is>
          <t>-</t>
        </is>
      </c>
    </row>
    <row r="87">
      <c r="A87" s="10" t="n">
        <v>5</v>
      </c>
      <c r="B87" s="6" t="inlineStr">
        <is>
          <t>Престиж Бисквити Мираж Нар и червен портокал 156гр</t>
        </is>
      </c>
      <c r="C87" s="10" t="inlineStr">
        <is>
          <t>-</t>
        </is>
      </c>
      <c r="D87" s="25" t="n">
        <v>0</v>
      </c>
      <c r="E87" s="25" t="n">
        <v>0</v>
      </c>
      <c r="F87" s="25" t="n">
        <v>0</v>
      </c>
      <c r="G87" s="25" t="n">
        <v>0</v>
      </c>
      <c r="H87" s="25" t="n">
        <v>0</v>
      </c>
      <c r="I87" s="25" t="n">
        <v>0</v>
      </c>
      <c r="J87" s="25" t="n">
        <v>0</v>
      </c>
      <c r="K87" s="25" t="n">
        <v>0</v>
      </c>
      <c r="L87" s="25" t="n">
        <v>0</v>
      </c>
      <c r="M87" s="8" t="n">
        <v>2</v>
      </c>
      <c r="N87" s="25" t="n">
        <v>0</v>
      </c>
      <c r="O87" s="19">
        <f>SUM(D87:N87)</f>
        <v/>
      </c>
      <c r="P87" s="10" t="inlineStr">
        <is>
          <t>-</t>
        </is>
      </c>
    </row>
    <row r="88">
      <c r="A88" s="26" t="n">
        <v>6</v>
      </c>
      <c r="B88" s="32" t="inlineStr">
        <is>
          <t>Престиж Бисквити Мираж боровинка 178гр</t>
        </is>
      </c>
      <c r="C88" s="26" t="inlineStr">
        <is>
          <t>-</t>
        </is>
      </c>
      <c r="D88" s="29" t="n">
        <v>0</v>
      </c>
      <c r="E88" s="29" t="n">
        <v>0</v>
      </c>
      <c r="F88" s="30" t="n">
        <v>6</v>
      </c>
      <c r="G88" s="30" t="n">
        <v>16</v>
      </c>
      <c r="H88" s="30" t="n">
        <v>6</v>
      </c>
      <c r="I88" s="30" t="n">
        <v>6</v>
      </c>
      <c r="J88" s="30" t="n">
        <v>5</v>
      </c>
      <c r="K88" s="30" t="n">
        <v>10</v>
      </c>
      <c r="L88" s="29" t="n">
        <v>0</v>
      </c>
      <c r="M88" s="30" t="n">
        <v>3</v>
      </c>
      <c r="N88" s="29" t="n">
        <v>0</v>
      </c>
      <c r="O88" s="19">
        <f>SUM(D88:N88)</f>
        <v/>
      </c>
      <c r="P88" s="10" t="inlineStr">
        <is>
          <t>-</t>
        </is>
      </c>
    </row>
    <row r="89">
      <c r="A89" s="10" t="n">
        <v>7</v>
      </c>
      <c r="B89" s="6" t="inlineStr">
        <is>
          <t>Престиж Бисквити Мираж къпина 178гр</t>
        </is>
      </c>
      <c r="C89" s="10" t="inlineStr">
        <is>
          <t>-</t>
        </is>
      </c>
      <c r="D89" s="25" t="n">
        <v>0</v>
      </c>
      <c r="E89" s="8" t="n">
        <v>3</v>
      </c>
      <c r="F89" s="8" t="n">
        <v>1</v>
      </c>
      <c r="G89" s="8" t="n">
        <v>11</v>
      </c>
      <c r="H89" s="8" t="n">
        <v>6</v>
      </c>
      <c r="I89" s="25" t="n">
        <v>0</v>
      </c>
      <c r="J89" s="8" t="n">
        <v>4</v>
      </c>
      <c r="K89" s="25" t="n">
        <v>0</v>
      </c>
      <c r="L89" s="25" t="n">
        <v>0</v>
      </c>
      <c r="M89" s="8" t="n">
        <v>4</v>
      </c>
      <c r="N89" s="25" t="n">
        <v>0</v>
      </c>
      <c r="O89" s="19">
        <f>SUM(D89:N89)</f>
        <v/>
      </c>
      <c r="P89" s="10" t="inlineStr">
        <is>
          <t>-</t>
        </is>
      </c>
    </row>
    <row r="90">
      <c r="A90" s="26" t="n">
        <v>8</v>
      </c>
      <c r="B90" s="32" t="inlineStr">
        <is>
          <t>Престиж Бисквити Мираж малина 178гр</t>
        </is>
      </c>
      <c r="C90" s="26" t="inlineStr">
        <is>
          <t>-</t>
        </is>
      </c>
      <c r="D90" s="29" t="n">
        <v>0</v>
      </c>
      <c r="E90" s="29" t="n">
        <v>0</v>
      </c>
      <c r="F90" s="30" t="n">
        <v>4</v>
      </c>
      <c r="G90" s="30" t="n">
        <v>10</v>
      </c>
      <c r="H90" s="30" t="n">
        <v>6</v>
      </c>
      <c r="I90" s="30" t="n">
        <v>4</v>
      </c>
      <c r="J90" s="30" t="n">
        <v>4</v>
      </c>
      <c r="K90" s="30" t="n">
        <v>6</v>
      </c>
      <c r="L90" s="29" t="n">
        <v>0</v>
      </c>
      <c r="M90" s="30" t="n">
        <v>6</v>
      </c>
      <c r="N90" s="29" t="n">
        <v>0</v>
      </c>
      <c r="O90" s="19">
        <f>SUM(D90:N90)</f>
        <v/>
      </c>
      <c r="P90" s="10" t="inlineStr">
        <is>
          <t>-</t>
        </is>
      </c>
    </row>
    <row r="91">
      <c r="A91" s="10" t="n">
        <v>9</v>
      </c>
      <c r="B91" s="6" t="inlineStr">
        <is>
          <t>Престиж Бисквити Мираж смокиня 178гр</t>
        </is>
      </c>
      <c r="C91" s="10" t="inlineStr">
        <is>
          <t>-</t>
        </is>
      </c>
      <c r="D91" s="8" t="n">
        <v>4</v>
      </c>
      <c r="E91" s="8" t="n">
        <v>10</v>
      </c>
      <c r="F91" s="25" t="n">
        <v>0</v>
      </c>
      <c r="G91" s="8" t="n">
        <v>20</v>
      </c>
      <c r="H91" s="8" t="n">
        <v>6</v>
      </c>
      <c r="I91" s="25" t="n">
        <v>0</v>
      </c>
      <c r="J91" s="8" t="n">
        <v>10</v>
      </c>
      <c r="K91" s="8" t="n">
        <v>2</v>
      </c>
      <c r="L91" s="8" t="n">
        <v>3</v>
      </c>
      <c r="M91" s="8" t="n">
        <v>12</v>
      </c>
      <c r="N91" s="25" t="n">
        <v>0</v>
      </c>
      <c r="O91" s="19">
        <f>SUM(D91:N91)</f>
        <v/>
      </c>
      <c r="P91" s="10" t="inlineStr">
        <is>
          <t>-</t>
        </is>
      </c>
    </row>
    <row r="92">
      <c r="A92" s="26" t="n">
        <v>10</v>
      </c>
      <c r="B92" s="32" t="inlineStr">
        <is>
          <t>Престиж Бисквити Мираж ягода 178гр</t>
        </is>
      </c>
      <c r="C92" s="26" t="inlineStr">
        <is>
          <t>-</t>
        </is>
      </c>
      <c r="D92" s="29" t="n">
        <v>0</v>
      </c>
      <c r="E92" s="30" t="n">
        <v>1</v>
      </c>
      <c r="F92" s="29" t="n">
        <v>0</v>
      </c>
      <c r="G92" s="30" t="n">
        <v>16</v>
      </c>
      <c r="H92" s="30" t="n">
        <v>5</v>
      </c>
      <c r="I92" s="29" t="n">
        <v>0</v>
      </c>
      <c r="J92" s="30" t="n">
        <v>20</v>
      </c>
      <c r="K92" s="30" t="n">
        <v>10</v>
      </c>
      <c r="L92" s="30" t="n">
        <v>5</v>
      </c>
      <c r="M92" s="30" t="n">
        <v>3</v>
      </c>
      <c r="N92" s="30" t="n">
        <v>20</v>
      </c>
      <c r="O92" s="19">
        <f>SUM(D92:N92)</f>
        <v/>
      </c>
      <c r="P92" s="10" t="inlineStr">
        <is>
          <t>-</t>
        </is>
      </c>
    </row>
    <row r="93">
      <c r="A93" s="10" t="n">
        <v>11</v>
      </c>
      <c r="B93" s="6" t="inlineStr">
        <is>
          <t>Престиж Бисквити Мюсли с т.шоколад 94гр</t>
        </is>
      </c>
      <c r="C93" s="10" t="inlineStr">
        <is>
          <t>-</t>
        </is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8" t="n">
        <v>2</v>
      </c>
      <c r="J93" s="25" t="n">
        <v>0</v>
      </c>
      <c r="K93" s="8" t="n">
        <v>4</v>
      </c>
      <c r="L93" s="25" t="n">
        <v>0</v>
      </c>
      <c r="M93" s="25" t="n">
        <v>0</v>
      </c>
      <c r="N93" s="25" t="n">
        <v>0</v>
      </c>
      <c r="O93" s="19">
        <f>SUM(D93:N93)</f>
        <v/>
      </c>
      <c r="P93" s="10" t="inlineStr">
        <is>
          <t>-</t>
        </is>
      </c>
    </row>
    <row r="94">
      <c r="A94" s="26" t="n">
        <v>12</v>
      </c>
      <c r="B94" s="32" t="inlineStr">
        <is>
          <t>Престиж Бисквити Мюсли с фибри 94гр</t>
        </is>
      </c>
      <c r="C94" s="26" t="inlineStr">
        <is>
          <t>-</t>
        </is>
      </c>
      <c r="D94" s="29" t="n">
        <v>0</v>
      </c>
      <c r="E94" s="29" t="n">
        <v>0</v>
      </c>
      <c r="F94" s="29" t="n">
        <v>0</v>
      </c>
      <c r="G94" s="29" t="n">
        <v>0</v>
      </c>
      <c r="H94" s="29" t="n">
        <v>0</v>
      </c>
      <c r="I94" s="30" t="n">
        <v>2</v>
      </c>
      <c r="J94" s="29" t="n">
        <v>0</v>
      </c>
      <c r="K94" s="29" t="n">
        <v>0</v>
      </c>
      <c r="L94" s="29" t="n">
        <v>0</v>
      </c>
      <c r="M94" s="30" t="n">
        <v>2</v>
      </c>
      <c r="N94" s="29" t="n">
        <v>0</v>
      </c>
      <c r="O94" s="19">
        <f>SUM(D94:N94)</f>
        <v/>
      </c>
      <c r="P94" s="10" t="inlineStr">
        <is>
          <t>-</t>
        </is>
      </c>
    </row>
    <row r="95">
      <c r="A95" s="10" t="n">
        <v>13</v>
      </c>
      <c r="B95" s="6" t="inlineStr">
        <is>
          <t>Престиж Бисквити Мюсли с ябълка, мед и орехи 94гр</t>
        </is>
      </c>
      <c r="C95" s="10" t="inlineStr">
        <is>
          <t>-</t>
        </is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8" t="n">
        <v>3</v>
      </c>
      <c r="J95" s="25" t="n">
        <v>0</v>
      </c>
      <c r="K95" s="8" t="n">
        <v>15</v>
      </c>
      <c r="L95" s="25" t="n">
        <v>0</v>
      </c>
      <c r="M95" s="25" t="n">
        <v>0</v>
      </c>
      <c r="N95" s="8" t="n">
        <v>1</v>
      </c>
      <c r="O95" s="19">
        <f>SUM(D95:N95)</f>
        <v/>
      </c>
      <c r="P95" s="10" t="inlineStr">
        <is>
          <t>-</t>
        </is>
      </c>
    </row>
    <row r="96">
      <c r="A96" s="26" t="n">
        <v>14</v>
      </c>
      <c r="B96" s="32" t="inlineStr">
        <is>
          <t>Престиж Бисквити Ная какао 180/200гр</t>
        </is>
      </c>
      <c r="C96" s="26" t="inlineStr">
        <is>
          <t>-</t>
        </is>
      </c>
      <c r="D96" s="29" t="n">
        <v>0</v>
      </c>
      <c r="E96" s="30" t="n">
        <v>2</v>
      </c>
      <c r="F96" s="29" t="n">
        <v>0</v>
      </c>
      <c r="G96" s="29" t="n">
        <v>0</v>
      </c>
      <c r="H96" s="29" t="n">
        <v>0</v>
      </c>
      <c r="I96" s="29" t="n">
        <v>0</v>
      </c>
      <c r="J96" s="29" t="n">
        <v>0</v>
      </c>
      <c r="K96" s="29" t="n">
        <v>0</v>
      </c>
      <c r="L96" s="29" t="n">
        <v>0</v>
      </c>
      <c r="M96" s="30" t="n">
        <v>4</v>
      </c>
      <c r="N96" s="30" t="n">
        <v>2</v>
      </c>
      <c r="O96" s="19">
        <f>SUM(D96:N96)</f>
        <v/>
      </c>
      <c r="P96" s="10" t="inlineStr">
        <is>
          <t>-</t>
        </is>
      </c>
    </row>
    <row r="97">
      <c r="A97" s="10" t="n">
        <v>15</v>
      </c>
      <c r="B97" s="6" t="inlineStr">
        <is>
          <t>Престиж Бисквити Ная класик 180/190гр</t>
        </is>
      </c>
      <c r="C97" s="10" t="inlineStr">
        <is>
          <t>-</t>
        </is>
      </c>
      <c r="D97" s="25" t="n">
        <v>0</v>
      </c>
      <c r="E97" s="25" t="n">
        <v>0</v>
      </c>
      <c r="F97" s="8" t="n">
        <v>1</v>
      </c>
      <c r="G97" s="25" t="n">
        <v>0</v>
      </c>
      <c r="H97" s="8" t="n">
        <v>2</v>
      </c>
      <c r="I97" s="25" t="n">
        <v>0</v>
      </c>
      <c r="J97" s="25" t="n">
        <v>0</v>
      </c>
      <c r="K97" s="8" t="n">
        <v>4</v>
      </c>
      <c r="L97" s="25" t="n">
        <v>0</v>
      </c>
      <c r="M97" s="25" t="n">
        <v>0</v>
      </c>
      <c r="N97" s="8" t="n">
        <v>10</v>
      </c>
      <c r="O97" s="19">
        <f>SUM(D97:N97)</f>
        <v/>
      </c>
      <c r="P97" s="10" t="inlineStr">
        <is>
          <t>-</t>
        </is>
      </c>
    </row>
    <row r="98">
      <c r="A98" s="26" t="n">
        <v>16</v>
      </c>
      <c r="B98" s="32" t="inlineStr">
        <is>
          <t>Престиж Бисквити Парадайс Млечен Карамел 147гр</t>
        </is>
      </c>
      <c r="C98" s="26" t="inlineStr">
        <is>
          <t>-</t>
        </is>
      </c>
      <c r="D98" s="29" t="n">
        <v>0</v>
      </c>
      <c r="E98" s="30" t="n">
        <v>5</v>
      </c>
      <c r="F98" s="29" t="n">
        <v>0</v>
      </c>
      <c r="G98" s="30" t="n">
        <v>4</v>
      </c>
      <c r="H98" s="29" t="n">
        <v>0</v>
      </c>
      <c r="I98" s="30" t="n">
        <v>2</v>
      </c>
      <c r="J98" s="29" t="n">
        <v>0</v>
      </c>
      <c r="K98" s="30" t="n">
        <v>6</v>
      </c>
      <c r="L98" s="29" t="n">
        <v>0</v>
      </c>
      <c r="M98" s="29" t="n">
        <v>0</v>
      </c>
      <c r="N98" s="30" t="n">
        <v>2</v>
      </c>
      <c r="O98" s="19">
        <f>SUM(D98:N98)</f>
        <v/>
      </c>
      <c r="P98" s="10" t="inlineStr">
        <is>
          <t>-</t>
        </is>
      </c>
    </row>
    <row r="99">
      <c r="A99" s="10" t="n">
        <v>17</v>
      </c>
      <c r="B99" s="6" t="inlineStr">
        <is>
          <t>Престиж Бисквити Парадайс Шоколад 147гр</t>
        </is>
      </c>
      <c r="C99" s="10" t="inlineStr">
        <is>
          <t>-</t>
        </is>
      </c>
      <c r="D99" s="8" t="n">
        <v>2</v>
      </c>
      <c r="E99" s="25" t="n">
        <v>0</v>
      </c>
      <c r="F99" s="25" t="n">
        <v>0</v>
      </c>
      <c r="G99" s="25" t="n">
        <v>0</v>
      </c>
      <c r="H99" s="25" t="n">
        <v>0</v>
      </c>
      <c r="I99" s="8" t="n">
        <v>8</v>
      </c>
      <c r="J99" s="25" t="n">
        <v>0</v>
      </c>
      <c r="K99" s="8" t="n">
        <v>3</v>
      </c>
      <c r="L99" s="25" t="n">
        <v>0</v>
      </c>
      <c r="M99" s="25" t="n">
        <v>0</v>
      </c>
      <c r="N99" s="8" t="n">
        <v>6</v>
      </c>
      <c r="O99" s="19">
        <f>SUM(D99:N99)</f>
        <v/>
      </c>
      <c r="P99" s="10" t="inlineStr">
        <is>
          <t>-</t>
        </is>
      </c>
    </row>
    <row r="100">
      <c r="A100" s="26" t="n">
        <v>18</v>
      </c>
      <c r="B100" s="32" t="inlineStr">
        <is>
          <t>Престиж Бисквити Роден край Детски свят 135гр</t>
        </is>
      </c>
      <c r="C100" s="26" t="inlineStr">
        <is>
          <t>-</t>
        </is>
      </c>
      <c r="D100" s="29" t="n">
        <v>0</v>
      </c>
      <c r="E100" s="30" t="n">
        <v>2</v>
      </c>
      <c r="F100" s="29" t="n">
        <v>0</v>
      </c>
      <c r="G100" s="29" t="n">
        <v>0</v>
      </c>
      <c r="H100" s="29" t="n">
        <v>0</v>
      </c>
      <c r="I100" s="29" t="n">
        <v>0</v>
      </c>
      <c r="J100" s="29" t="n">
        <v>0</v>
      </c>
      <c r="K100" s="29" t="n">
        <v>0</v>
      </c>
      <c r="L100" s="30" t="n">
        <v>2</v>
      </c>
      <c r="M100" s="30" t="n">
        <v>3</v>
      </c>
      <c r="N100" s="30" t="n">
        <v>5</v>
      </c>
      <c r="O100" s="19">
        <f>SUM(D100:N100)</f>
        <v/>
      </c>
      <c r="P100" s="10" t="inlineStr">
        <is>
          <t>-</t>
        </is>
      </c>
    </row>
    <row r="101">
      <c r="A101" s="10" t="n">
        <v>19</v>
      </c>
      <c r="B101" s="6" t="inlineStr">
        <is>
          <t>Престиж Бисквити Роден край Златен спомен 135гр</t>
        </is>
      </c>
      <c r="C101" s="10" t="inlineStr">
        <is>
          <t>-</t>
        </is>
      </c>
      <c r="D101" s="25" t="n">
        <v>0</v>
      </c>
      <c r="E101" s="8" t="n">
        <v>1</v>
      </c>
      <c r="F101" s="25" t="n">
        <v>0</v>
      </c>
      <c r="G101" s="8" t="n">
        <v>3</v>
      </c>
      <c r="H101" s="25" t="n">
        <v>0</v>
      </c>
      <c r="I101" s="8" t="n">
        <v>2</v>
      </c>
      <c r="J101" s="8" t="n">
        <v>2</v>
      </c>
      <c r="K101" s="25" t="n">
        <v>0</v>
      </c>
      <c r="L101" s="8" t="n">
        <v>1</v>
      </c>
      <c r="M101" s="25" t="n">
        <v>0</v>
      </c>
      <c r="N101" s="25" t="n">
        <v>0</v>
      </c>
      <c r="O101" s="19">
        <f>SUM(D101:N101)</f>
        <v/>
      </c>
      <c r="P101" s="10" t="inlineStr">
        <is>
          <t>-</t>
        </is>
      </c>
    </row>
    <row r="102">
      <c r="A102" s="26" t="n">
        <v>20</v>
      </c>
      <c r="B102" s="32" t="inlineStr">
        <is>
          <t>Престиж Бисквити Роден край Кафе 135гр</t>
        </is>
      </c>
      <c r="C102" s="26" t="inlineStr">
        <is>
          <t>-</t>
        </is>
      </c>
      <c r="D102" s="30" t="n">
        <v>4</v>
      </c>
      <c r="E102" s="29" t="n">
        <v>0</v>
      </c>
      <c r="F102" s="29" t="n">
        <v>0</v>
      </c>
      <c r="G102" s="30" t="n">
        <v>6</v>
      </c>
      <c r="H102" s="29" t="n">
        <v>0</v>
      </c>
      <c r="I102" s="30" t="n">
        <v>5</v>
      </c>
      <c r="J102" s="29" t="n">
        <v>0</v>
      </c>
      <c r="K102" s="29" t="n">
        <v>0</v>
      </c>
      <c r="L102" s="29" t="n">
        <v>0</v>
      </c>
      <c r="M102" s="29" t="n">
        <v>0</v>
      </c>
      <c r="N102" s="29" t="n">
        <v>0</v>
      </c>
      <c r="O102" s="19">
        <f>SUM(D102:N102)</f>
        <v/>
      </c>
      <c r="P102" s="10" t="inlineStr">
        <is>
          <t>-</t>
        </is>
      </c>
    </row>
    <row r="103">
      <c r="A103" s="10" t="n">
        <v>21</v>
      </c>
      <c r="B103" s="6" t="inlineStr">
        <is>
          <t>Престиж Бисквити Роден край Макси 230/250гр</t>
        </is>
      </c>
      <c r="C103" s="10" t="inlineStr">
        <is>
          <t>-</t>
        </is>
      </c>
      <c r="D103" s="8" t="n">
        <v>6</v>
      </c>
      <c r="E103" s="25" t="n">
        <v>0</v>
      </c>
      <c r="F103" s="8" t="n">
        <v>9</v>
      </c>
      <c r="G103" s="8" t="n">
        <v>14</v>
      </c>
      <c r="H103" s="8" t="n">
        <v>8</v>
      </c>
      <c r="I103" s="8" t="n">
        <v>2</v>
      </c>
      <c r="J103" s="8" t="n">
        <v>12</v>
      </c>
      <c r="K103" s="8" t="n">
        <v>22</v>
      </c>
      <c r="L103" s="25" t="n">
        <v>0</v>
      </c>
      <c r="M103" s="25" t="n">
        <v>0</v>
      </c>
      <c r="N103" s="8" t="n">
        <v>16</v>
      </c>
      <c r="O103" s="19">
        <f>SUM(D103:N103)</f>
        <v/>
      </c>
      <c r="P103" s="10" t="inlineStr">
        <is>
          <t>-</t>
        </is>
      </c>
    </row>
    <row r="104">
      <c r="A104" s="26" t="n">
        <v>22</v>
      </c>
      <c r="B104" s="32" t="inlineStr">
        <is>
          <t>Престиж Бисквити Роден край Шоколад 165г</t>
        </is>
      </c>
      <c r="C104" s="26" t="inlineStr">
        <is>
          <t>-</t>
        </is>
      </c>
      <c r="D104" s="29" t="n">
        <v>0</v>
      </c>
      <c r="E104" s="30" t="n">
        <v>16</v>
      </c>
      <c r="F104" s="29" t="n">
        <v>0</v>
      </c>
      <c r="G104" s="30" t="n">
        <v>2</v>
      </c>
      <c r="H104" s="29" t="n">
        <v>0</v>
      </c>
      <c r="I104" s="29" t="n">
        <v>0</v>
      </c>
      <c r="J104" s="30" t="n">
        <v>2</v>
      </c>
      <c r="K104" s="30" t="n">
        <v>4</v>
      </c>
      <c r="L104" s="29" t="n">
        <v>0</v>
      </c>
      <c r="M104" s="29" t="n">
        <v>0</v>
      </c>
      <c r="N104" s="30" t="n">
        <v>8</v>
      </c>
      <c r="O104" s="19">
        <f>SUM(D104:N104)</f>
        <v/>
      </c>
      <c r="P104" s="10" t="inlineStr">
        <is>
          <t>-</t>
        </is>
      </c>
    </row>
    <row r="105">
      <c r="A105" s="10" t="n">
        <v>23</v>
      </c>
      <c r="B105" s="6" t="inlineStr">
        <is>
          <t>Престиж Бисквити Роден край за торта 250гр</t>
        </is>
      </c>
      <c r="C105" s="10" t="inlineStr">
        <is>
          <t>-</t>
        </is>
      </c>
      <c r="D105" s="8" t="n">
        <v>4</v>
      </c>
      <c r="E105" s="8" t="n">
        <v>2</v>
      </c>
      <c r="F105" s="8" t="n">
        <v>4</v>
      </c>
      <c r="G105" s="8" t="n">
        <v>6</v>
      </c>
      <c r="H105" s="8" t="n">
        <v>2</v>
      </c>
      <c r="I105" s="8" t="n">
        <v>2</v>
      </c>
      <c r="J105" s="8" t="n">
        <v>3</v>
      </c>
      <c r="K105" s="25" t="n">
        <v>0</v>
      </c>
      <c r="L105" s="25" t="n">
        <v>0</v>
      </c>
      <c r="M105" s="8" t="n">
        <v>8</v>
      </c>
      <c r="N105" s="8" t="n">
        <v>17</v>
      </c>
      <c r="O105" s="19">
        <f>SUM(D105:N105)</f>
        <v/>
      </c>
      <c r="P105" s="10" t="inlineStr">
        <is>
          <t>-</t>
        </is>
      </c>
    </row>
    <row r="106">
      <c r="A106" s="26" t="n">
        <v>24</v>
      </c>
      <c r="B106" s="32" t="inlineStr">
        <is>
          <t>Престиж Бисквити Роден край какао 170гр</t>
        </is>
      </c>
      <c r="C106" s="26" t="inlineStr">
        <is>
          <t>-</t>
        </is>
      </c>
      <c r="D106" s="30" t="n">
        <v>14</v>
      </c>
      <c r="E106" s="30" t="n">
        <v>9</v>
      </c>
      <c r="F106" s="29" t="n">
        <v>0</v>
      </c>
      <c r="G106" s="30" t="n">
        <v>4</v>
      </c>
      <c r="H106" s="30" t="n">
        <v>1</v>
      </c>
      <c r="I106" s="30" t="n">
        <v>1</v>
      </c>
      <c r="J106" s="30" t="n">
        <v>2</v>
      </c>
      <c r="K106" s="30" t="n">
        <v>15</v>
      </c>
      <c r="L106" s="29" t="n">
        <v>0</v>
      </c>
      <c r="M106" s="29" t="n">
        <v>0</v>
      </c>
      <c r="N106" s="30" t="n">
        <v>18</v>
      </c>
      <c r="O106" s="19">
        <f>SUM(D106:N106)</f>
        <v/>
      </c>
      <c r="P106" s="10" t="inlineStr">
        <is>
          <t>-</t>
        </is>
      </c>
    </row>
    <row r="107">
      <c r="A107" s="10" t="n">
        <v>25</v>
      </c>
      <c r="B107" s="6" t="inlineStr">
        <is>
          <t>Престиж Бисквити Роден край масло 165гр</t>
        </is>
      </c>
      <c r="C107" s="10" t="inlineStr">
        <is>
          <t>-</t>
        </is>
      </c>
      <c r="D107" s="8" t="n">
        <v>8</v>
      </c>
      <c r="E107" s="25" t="n">
        <v>0</v>
      </c>
      <c r="F107" s="25" t="n">
        <v>0</v>
      </c>
      <c r="G107" s="25" t="n">
        <v>0</v>
      </c>
      <c r="H107" s="25" t="n">
        <v>0</v>
      </c>
      <c r="I107" s="8" t="n">
        <v>2</v>
      </c>
      <c r="J107" s="8" t="n">
        <v>1</v>
      </c>
      <c r="K107" s="8" t="n">
        <v>4</v>
      </c>
      <c r="L107" s="25" t="n">
        <v>0</v>
      </c>
      <c r="M107" s="8" t="n">
        <v>9</v>
      </c>
      <c r="N107" s="8" t="n">
        <v>24</v>
      </c>
      <c r="O107" s="19">
        <f>SUM(D107:N107)</f>
        <v/>
      </c>
      <c r="P107" s="10" t="inlineStr">
        <is>
          <t>-</t>
        </is>
      </c>
    </row>
    <row r="108">
      <c r="A108" s="26" t="n">
        <v>26</v>
      </c>
      <c r="B108" s="32" t="inlineStr">
        <is>
          <t>Престиж Бисквити Роден край мляко 165гр</t>
        </is>
      </c>
      <c r="C108" s="26" t="inlineStr">
        <is>
          <t>-</t>
        </is>
      </c>
      <c r="D108" s="30" t="n">
        <v>6</v>
      </c>
      <c r="E108" s="30" t="n">
        <v>3</v>
      </c>
      <c r="F108" s="29" t="n">
        <v>0</v>
      </c>
      <c r="G108" s="30" t="n">
        <v>20</v>
      </c>
      <c r="H108" s="29" t="n">
        <v>0</v>
      </c>
      <c r="I108" s="29" t="n">
        <v>0</v>
      </c>
      <c r="J108" s="29" t="n">
        <v>0</v>
      </c>
      <c r="K108" s="30" t="n">
        <v>5</v>
      </c>
      <c r="L108" s="29" t="n">
        <v>0</v>
      </c>
      <c r="M108" s="30" t="n">
        <v>7</v>
      </c>
      <c r="N108" s="30" t="n">
        <v>12</v>
      </c>
      <c r="O108" s="19">
        <f>SUM(D108:N108)</f>
        <v/>
      </c>
      <c r="P108" s="10" t="inlineStr">
        <is>
          <t>-</t>
        </is>
      </c>
    </row>
    <row r="109">
      <c r="A109" s="10" t="n">
        <v>27</v>
      </c>
      <c r="B109" s="6" t="inlineStr">
        <is>
          <t>Престиж Бисквити Роден край обикновени 120гр</t>
        </is>
      </c>
      <c r="C109" s="10" t="inlineStr">
        <is>
          <t>-</t>
        </is>
      </c>
      <c r="D109" s="25" t="n">
        <v>0</v>
      </c>
      <c r="E109" s="8" t="n">
        <v>4</v>
      </c>
      <c r="F109" s="25" t="n">
        <v>0</v>
      </c>
      <c r="G109" s="8" t="n">
        <v>6</v>
      </c>
      <c r="H109" s="8" t="n">
        <v>4</v>
      </c>
      <c r="I109" s="8" t="n">
        <v>4</v>
      </c>
      <c r="J109" s="8" t="n">
        <v>4</v>
      </c>
      <c r="K109" s="25" t="n">
        <v>0</v>
      </c>
      <c r="L109" s="25" t="n">
        <v>0</v>
      </c>
      <c r="M109" s="25" t="n">
        <v>0</v>
      </c>
      <c r="N109" s="8" t="n">
        <v>21</v>
      </c>
      <c r="O109" s="19">
        <f>SUM(D109:N109)</f>
        <v/>
      </c>
      <c r="P109" s="10" t="inlineStr">
        <is>
          <t>-</t>
        </is>
      </c>
    </row>
    <row r="110">
      <c r="A110" s="26" t="n">
        <v>28</v>
      </c>
      <c r="B110" s="32" t="inlineStr">
        <is>
          <t>Престиж Бисквити Роден край обикновени 190гр</t>
        </is>
      </c>
      <c r="C110" s="26" t="inlineStr">
        <is>
          <t>-</t>
        </is>
      </c>
      <c r="D110" s="30" t="n">
        <v>3</v>
      </c>
      <c r="E110" s="30" t="n">
        <v>10</v>
      </c>
      <c r="F110" s="30" t="n">
        <v>8</v>
      </c>
      <c r="G110" s="30" t="n">
        <v>6</v>
      </c>
      <c r="H110" s="30" t="n">
        <v>17</v>
      </c>
      <c r="I110" s="30" t="n">
        <v>2</v>
      </c>
      <c r="J110" s="30" t="n">
        <v>11</v>
      </c>
      <c r="K110" s="30" t="n">
        <v>10</v>
      </c>
      <c r="L110" s="29" t="n">
        <v>0</v>
      </c>
      <c r="M110" s="30" t="n">
        <v>16</v>
      </c>
      <c r="N110" s="30" t="n">
        <v>38</v>
      </c>
      <c r="O110" s="19">
        <f>SUM(D110:N110)</f>
        <v/>
      </c>
      <c r="P110" s="10" t="inlineStr">
        <is>
          <t>-</t>
        </is>
      </c>
    </row>
    <row r="111">
      <c r="A111" s="10" t="n">
        <v>29</v>
      </c>
      <c r="B111" s="6" t="inlineStr">
        <is>
          <t>Престиж Бисквити Траяна 160гр</t>
        </is>
      </c>
      <c r="C111" s="10" t="inlineStr">
        <is>
          <t>-</t>
        </is>
      </c>
      <c r="D111" s="8" t="n">
        <v>2</v>
      </c>
      <c r="E111" s="25" t="n">
        <v>0</v>
      </c>
      <c r="F111" s="8" t="n">
        <v>7</v>
      </c>
      <c r="G111" s="8" t="n">
        <v>22</v>
      </c>
      <c r="H111" s="8" t="n">
        <v>18</v>
      </c>
      <c r="I111" s="25" t="n">
        <v>0</v>
      </c>
      <c r="J111" s="8" t="n">
        <v>24</v>
      </c>
      <c r="K111" s="8" t="n">
        <v>19</v>
      </c>
      <c r="L111" s="8" t="n">
        <v>8</v>
      </c>
      <c r="M111" s="8" t="n">
        <v>16</v>
      </c>
      <c r="N111" s="25" t="n">
        <v>0</v>
      </c>
      <c r="O111" s="19">
        <f>SUM(D111:N111)</f>
        <v/>
      </c>
      <c r="P111" s="10" t="inlineStr">
        <is>
          <t>-</t>
        </is>
      </c>
    </row>
    <row r="112">
      <c r="A112" s="26" t="n">
        <v>30</v>
      </c>
      <c r="B112" s="32" t="inlineStr">
        <is>
          <t>Престиж Бисквити Траяна видове 95гр</t>
        </is>
      </c>
      <c r="C112" s="26" t="inlineStr">
        <is>
          <t>-</t>
        </is>
      </c>
      <c r="D112" s="29" t="n">
        <v>0</v>
      </c>
      <c r="E112" s="29" t="n">
        <v>0</v>
      </c>
      <c r="F112" s="30" t="n">
        <v>10</v>
      </c>
      <c r="G112" s="29" t="n">
        <v>0</v>
      </c>
      <c r="H112" s="30" t="n">
        <v>1</v>
      </c>
      <c r="I112" s="30" t="n">
        <v>6</v>
      </c>
      <c r="J112" s="29" t="n">
        <v>0</v>
      </c>
      <c r="K112" s="30" t="n">
        <v>8</v>
      </c>
      <c r="L112" s="29" t="n">
        <v>0</v>
      </c>
      <c r="M112" s="29" t="n">
        <v>0</v>
      </c>
      <c r="N112" s="30" t="n">
        <v>16</v>
      </c>
      <c r="O112" s="19">
        <f>SUM(D112:N112)</f>
        <v/>
      </c>
      <c r="P112" s="10" t="inlineStr">
        <is>
          <t>-</t>
        </is>
      </c>
    </row>
    <row r="113">
      <c r="A113" s="10" t="n">
        <v>31</v>
      </c>
      <c r="B113" s="6" t="inlineStr">
        <is>
          <t>Престиж Бисквити Траяна макси 241гр</t>
        </is>
      </c>
      <c r="C113" s="10" t="inlineStr">
        <is>
          <t>-</t>
        </is>
      </c>
      <c r="D113" s="8" t="n">
        <v>2</v>
      </c>
      <c r="E113" s="8" t="n">
        <v>8</v>
      </c>
      <c r="F113" s="8" t="n">
        <v>6</v>
      </c>
      <c r="G113" s="8" t="n">
        <v>14</v>
      </c>
      <c r="H113" s="8" t="n">
        <v>8</v>
      </c>
      <c r="I113" s="8" t="n">
        <v>9</v>
      </c>
      <c r="J113" s="25" t="n">
        <v>0</v>
      </c>
      <c r="K113" s="8" t="n">
        <v>11</v>
      </c>
      <c r="L113" s="8" t="n">
        <v>6</v>
      </c>
      <c r="M113" s="25" t="n">
        <v>0</v>
      </c>
      <c r="N113" s="25" t="n">
        <v>0</v>
      </c>
      <c r="O113" s="19">
        <f>SUM(D113:N113)</f>
        <v/>
      </c>
      <c r="P113" s="10" t="inlineStr">
        <is>
          <t>-</t>
        </is>
      </c>
    </row>
    <row r="114">
      <c r="A114" s="26" t="n">
        <v>32</v>
      </c>
      <c r="B114" s="32" t="inlineStr">
        <is>
          <t>Престиж Бисквити сандвич Ная Класик 131гр</t>
        </is>
      </c>
      <c r="C114" s="26" t="inlineStr">
        <is>
          <t>-</t>
        </is>
      </c>
      <c r="D114" s="29" t="n">
        <v>0</v>
      </c>
      <c r="E114" s="29" t="n">
        <v>0</v>
      </c>
      <c r="F114" s="29" t="n">
        <v>0</v>
      </c>
      <c r="G114" s="29" t="n">
        <v>0</v>
      </c>
      <c r="H114" s="29" t="n">
        <v>0</v>
      </c>
      <c r="I114" s="29" t="n">
        <v>0</v>
      </c>
      <c r="J114" s="30" t="n">
        <v>3</v>
      </c>
      <c r="K114" s="29" t="n">
        <v>0</v>
      </c>
      <c r="L114" s="30" t="n">
        <v>2</v>
      </c>
      <c r="M114" s="29" t="n">
        <v>0</v>
      </c>
      <c r="N114" s="29" t="n">
        <v>0</v>
      </c>
      <c r="O114" s="19">
        <f>SUM(D114:N114)</f>
        <v/>
      </c>
      <c r="P114" s="10" t="inlineStr">
        <is>
          <t>-</t>
        </is>
      </c>
    </row>
    <row r="115">
      <c r="A115" s="10" t="n">
        <v>33</v>
      </c>
      <c r="B115" s="6" t="inlineStr">
        <is>
          <t>Престиж Бисквити сандвич Ная ягодов йогурт 131гр</t>
        </is>
      </c>
      <c r="C115" s="10" t="inlineStr">
        <is>
          <t>-</t>
        </is>
      </c>
      <c r="D115" s="25" t="n">
        <v>0</v>
      </c>
      <c r="E115" s="8" t="n">
        <v>1</v>
      </c>
      <c r="F115" s="25" t="n">
        <v>0</v>
      </c>
      <c r="G115" s="8" t="n">
        <v>3</v>
      </c>
      <c r="H115" s="25" t="n">
        <v>0</v>
      </c>
      <c r="I115" s="25" t="n">
        <v>0</v>
      </c>
      <c r="J115" s="25" t="n">
        <v>0</v>
      </c>
      <c r="K115" s="25" t="n">
        <v>0</v>
      </c>
      <c r="L115" s="25" t="n">
        <v>0</v>
      </c>
      <c r="M115" s="25" t="n">
        <v>0</v>
      </c>
      <c r="N115" s="25" t="n">
        <v>0</v>
      </c>
      <c r="O115" s="19">
        <f>SUM(D115:N115)</f>
        <v/>
      </c>
      <c r="P115" s="10" t="inlineStr">
        <is>
          <t>-</t>
        </is>
      </c>
    </row>
    <row r="116">
      <c r="A116" s="26" t="n">
        <v>34</v>
      </c>
      <c r="B116" s="32" t="inlineStr">
        <is>
          <t>Престиж Бисквити тунквани 300гр</t>
        </is>
      </c>
      <c r="C116" s="26" t="inlineStr">
        <is>
          <t>-</t>
        </is>
      </c>
      <c r="D116" s="29" t="n">
        <v>0</v>
      </c>
      <c r="E116" s="30" t="n">
        <v>8</v>
      </c>
      <c r="F116" s="29" t="n">
        <v>0</v>
      </c>
      <c r="G116" s="30" t="n">
        <v>2</v>
      </c>
      <c r="H116" s="30" t="n">
        <v>14</v>
      </c>
      <c r="I116" s="30" t="n">
        <v>2</v>
      </c>
      <c r="J116" s="29" t="n">
        <v>0</v>
      </c>
      <c r="K116" s="29" t="n">
        <v>0</v>
      </c>
      <c r="L116" s="29" t="n">
        <v>0</v>
      </c>
      <c r="M116" s="29" t="n">
        <v>0</v>
      </c>
      <c r="N116" s="30" t="n">
        <v>4</v>
      </c>
      <c r="O116" s="19">
        <f>SUM(D116:N116)</f>
        <v/>
      </c>
      <c r="P116" s="10" t="inlineStr">
        <is>
          <t>-</t>
        </is>
      </c>
    </row>
    <row r="117">
      <c r="A117" s="10" t="n">
        <v>35</v>
      </c>
      <c r="B117" s="6" t="inlineStr">
        <is>
          <t>Престиж Вафла 30гр</t>
        </is>
      </c>
      <c r="C117" s="10" t="inlineStr">
        <is>
          <t>-</t>
        </is>
      </c>
      <c r="D117" s="25" t="n">
        <v>0</v>
      </c>
      <c r="E117" s="25" t="n">
        <v>0</v>
      </c>
      <c r="F117" s="8" t="n">
        <v>16</v>
      </c>
      <c r="G117" s="25" t="n">
        <v>0</v>
      </c>
      <c r="H117" s="8" t="n">
        <v>28</v>
      </c>
      <c r="I117" s="25" t="n">
        <v>0</v>
      </c>
      <c r="J117" s="25" t="n">
        <v>0</v>
      </c>
      <c r="K117" s="25" t="n">
        <v>0</v>
      </c>
      <c r="L117" s="25" t="n">
        <v>0</v>
      </c>
      <c r="M117" s="25" t="n">
        <v>0</v>
      </c>
      <c r="N117" s="8" t="n">
        <v>2</v>
      </c>
      <c r="O117" s="19">
        <f>SUM(D117:N117)</f>
        <v/>
      </c>
      <c r="P117" s="10" t="inlineStr">
        <is>
          <t>-</t>
        </is>
      </c>
    </row>
    <row r="118">
      <c r="A118" s="26" t="n">
        <v>36</v>
      </c>
      <c r="B118" s="32" t="inlineStr">
        <is>
          <t>Престиж Вафла Споко +30% фъстъци 35г</t>
        </is>
      </c>
      <c r="C118" s="26" t="inlineStr">
        <is>
          <t>-</t>
        </is>
      </c>
      <c r="D118" s="29" t="n">
        <v>0</v>
      </c>
      <c r="E118" s="29" t="n">
        <v>0</v>
      </c>
      <c r="F118" s="29" t="n">
        <v>0</v>
      </c>
      <c r="G118" s="29" t="n">
        <v>0</v>
      </c>
      <c r="H118" s="30" t="n">
        <v>16</v>
      </c>
      <c r="I118" s="29" t="n">
        <v>0</v>
      </c>
      <c r="J118" s="29" t="n">
        <v>0</v>
      </c>
      <c r="K118" s="30" t="n">
        <v>10</v>
      </c>
      <c r="L118" s="29" t="n">
        <v>0</v>
      </c>
      <c r="M118" s="29" t="n">
        <v>0</v>
      </c>
      <c r="N118" s="29" t="n">
        <v>0</v>
      </c>
      <c r="O118" s="19">
        <f>SUM(D118:N118)</f>
        <v/>
      </c>
      <c r="P118" s="10" t="inlineStr">
        <is>
          <t>-</t>
        </is>
      </c>
    </row>
    <row r="119">
      <c r="A119" s="10" t="n">
        <v>37</v>
      </c>
      <c r="B119" s="6" t="inlineStr">
        <is>
          <t>Престиж Вафла Споко Макси +30% фъстъци 49г</t>
        </is>
      </c>
      <c r="C119" s="10" t="inlineStr">
        <is>
          <t>-</t>
        </is>
      </c>
      <c r="D119" s="25" t="n">
        <v>0</v>
      </c>
      <c r="E119" s="25" t="n">
        <v>0</v>
      </c>
      <c r="F119" s="8" t="n">
        <v>26</v>
      </c>
      <c r="G119" s="25" t="n">
        <v>0</v>
      </c>
      <c r="H119" s="25" t="n">
        <v>0</v>
      </c>
      <c r="I119" s="25" t="n">
        <v>0</v>
      </c>
      <c r="J119" s="25" t="n">
        <v>0</v>
      </c>
      <c r="K119" s="8" t="n">
        <v>15</v>
      </c>
      <c r="L119" s="25" t="n">
        <v>0</v>
      </c>
      <c r="M119" s="25" t="n">
        <v>0</v>
      </c>
      <c r="N119" s="25" t="n">
        <v>0</v>
      </c>
      <c r="O119" s="19">
        <f>SUM(D119:N119)</f>
        <v/>
      </c>
      <c r="P119" s="10" t="inlineStr">
        <is>
          <t>-</t>
        </is>
      </c>
    </row>
    <row r="120">
      <c r="A120" s="26" t="n">
        <v>38</v>
      </c>
      <c r="B120" s="32" t="inlineStr">
        <is>
          <t>Престиж Вафла Споко Макси Протеин 49гр</t>
        </is>
      </c>
      <c r="C120" s="26" t="inlineStr">
        <is>
          <t>-</t>
        </is>
      </c>
      <c r="D120" s="29" t="n">
        <v>0</v>
      </c>
      <c r="E120" s="30" t="n">
        <v>8</v>
      </c>
      <c r="F120" s="30" t="n">
        <v>10</v>
      </c>
      <c r="G120" s="29" t="n">
        <v>0</v>
      </c>
      <c r="H120" s="29" t="n">
        <v>0</v>
      </c>
      <c r="I120" s="30" t="n">
        <v>16</v>
      </c>
      <c r="J120" s="29" t="n">
        <v>0</v>
      </c>
      <c r="K120" s="29" t="n">
        <v>0</v>
      </c>
      <c r="L120" s="30" t="n">
        <v>1</v>
      </c>
      <c r="M120" s="29" t="n">
        <v>0</v>
      </c>
      <c r="N120" s="29" t="n">
        <v>0</v>
      </c>
      <c r="O120" s="19">
        <f>SUM(D120:N120)</f>
        <v/>
      </c>
      <c r="P120" s="10" t="inlineStr">
        <is>
          <t>-</t>
        </is>
      </c>
    </row>
    <row r="121">
      <c r="A121" s="10" t="n">
        <v>39</v>
      </c>
      <c r="B121" s="6" t="inlineStr">
        <is>
          <t>Престиж Вафла Споко Макси Солен Карамел 49гр</t>
        </is>
      </c>
      <c r="C121" s="10" t="inlineStr">
        <is>
          <t>-</t>
        </is>
      </c>
      <c r="D121" s="25" t="n">
        <v>0</v>
      </c>
      <c r="E121" s="25" t="n">
        <v>0</v>
      </c>
      <c r="F121" s="25" t="n">
        <v>0</v>
      </c>
      <c r="G121" s="8" t="n">
        <v>13</v>
      </c>
      <c r="H121" s="25" t="n">
        <v>0</v>
      </c>
      <c r="I121" s="8" t="n">
        <v>8</v>
      </c>
      <c r="J121" s="25" t="n">
        <v>0</v>
      </c>
      <c r="K121" s="8" t="n">
        <v>1</v>
      </c>
      <c r="L121" s="25" t="n">
        <v>0</v>
      </c>
      <c r="M121" s="25" t="n">
        <v>0</v>
      </c>
      <c r="N121" s="25" t="n">
        <v>0</v>
      </c>
      <c r="O121" s="19">
        <f>SUM(D121:N121)</f>
        <v/>
      </c>
      <c r="P121" s="10" t="inlineStr">
        <is>
          <t>-</t>
        </is>
      </c>
    </row>
    <row r="122">
      <c r="A122" s="26" t="n">
        <v>40</v>
      </c>
      <c r="B122" s="32" t="inlineStr">
        <is>
          <t>Престиж Вафла Споко Макси Фъстъчено масло 49гр</t>
        </is>
      </c>
      <c r="C122" s="26" t="inlineStr">
        <is>
          <t>-</t>
        </is>
      </c>
      <c r="D122" s="29" t="n">
        <v>0</v>
      </c>
      <c r="E122" s="30" t="n">
        <v>1</v>
      </c>
      <c r="F122" s="29" t="n">
        <v>0</v>
      </c>
      <c r="G122" s="30" t="n">
        <v>8</v>
      </c>
      <c r="H122" s="29" t="n">
        <v>0</v>
      </c>
      <c r="I122" s="29" t="n">
        <v>0</v>
      </c>
      <c r="J122" s="30" t="n">
        <v>5</v>
      </c>
      <c r="K122" s="30" t="n">
        <v>4</v>
      </c>
      <c r="L122" s="29" t="n">
        <v>0</v>
      </c>
      <c r="M122" s="29" t="n">
        <v>0</v>
      </c>
      <c r="N122" s="30" t="n">
        <v>7</v>
      </c>
      <c r="O122" s="19">
        <f>SUM(D122:N122)</f>
        <v/>
      </c>
      <c r="P122" s="10" t="inlineStr">
        <is>
          <t>-</t>
        </is>
      </c>
    </row>
    <row r="123">
      <c r="A123" s="10" t="n">
        <v>41</v>
      </c>
      <c r="B123" s="6" t="inlineStr">
        <is>
          <t>Престиж Вафла Споко Макси Халва 49гр</t>
        </is>
      </c>
      <c r="C123" s="10" t="inlineStr">
        <is>
          <t>-</t>
        </is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8" t="n">
        <v>14</v>
      </c>
      <c r="J123" s="25" t="n">
        <v>0</v>
      </c>
      <c r="K123" s="8" t="n">
        <v>18</v>
      </c>
      <c r="L123" s="25" t="n">
        <v>0</v>
      </c>
      <c r="M123" s="25" t="n">
        <v>0</v>
      </c>
      <c r="N123" s="25" t="n">
        <v>0</v>
      </c>
      <c r="O123" s="19">
        <f>SUM(D123:N123)</f>
        <v/>
      </c>
      <c r="P123" s="10" t="inlineStr">
        <is>
          <t>-</t>
        </is>
      </c>
    </row>
    <row r="124">
      <c r="A124" s="26" t="n">
        <v>42</v>
      </c>
      <c r="B124" s="32" t="inlineStr">
        <is>
          <t>Престиж Вафла Троя Голд 32гр</t>
        </is>
      </c>
      <c r="C124" s="26" t="inlineStr">
        <is>
          <t>-</t>
        </is>
      </c>
      <c r="D124" s="29" t="n">
        <v>0</v>
      </c>
      <c r="E124" s="29" t="n">
        <v>0</v>
      </c>
      <c r="F124" s="30" t="n">
        <v>18</v>
      </c>
      <c r="G124" s="29" t="n">
        <v>0</v>
      </c>
      <c r="H124" s="29" t="n">
        <v>0</v>
      </c>
      <c r="I124" s="29" t="n">
        <v>0</v>
      </c>
      <c r="J124" s="29" t="n">
        <v>0</v>
      </c>
      <c r="K124" s="29" t="n">
        <v>0</v>
      </c>
      <c r="L124" s="29" t="n">
        <v>0</v>
      </c>
      <c r="M124" s="29" t="n">
        <v>0</v>
      </c>
      <c r="N124" s="30" t="n">
        <v>15</v>
      </c>
      <c r="O124" s="19">
        <f>SUM(D124:N124)</f>
        <v/>
      </c>
      <c r="P124" s="10" t="inlineStr">
        <is>
          <t>-</t>
        </is>
      </c>
    </row>
    <row r="125">
      <c r="A125" s="10" t="n">
        <v>43</v>
      </c>
      <c r="B125" s="6" t="inlineStr">
        <is>
          <t>Престиж Вафла Троя Класик 28/32гр</t>
        </is>
      </c>
      <c r="C125" s="10" t="inlineStr">
        <is>
          <t>-</t>
        </is>
      </c>
      <c r="D125" s="8" t="n">
        <v>8</v>
      </c>
      <c r="E125" s="25" t="n">
        <v>0</v>
      </c>
      <c r="F125" s="25" t="n">
        <v>0</v>
      </c>
      <c r="G125" s="8" t="n">
        <v>17</v>
      </c>
      <c r="H125" s="25" t="n">
        <v>0</v>
      </c>
      <c r="I125" s="25" t="n">
        <v>0</v>
      </c>
      <c r="J125" s="25" t="n">
        <v>0</v>
      </c>
      <c r="K125" s="8" t="n">
        <v>10</v>
      </c>
      <c r="L125" s="25" t="n">
        <v>0</v>
      </c>
      <c r="M125" s="25" t="n">
        <v>0</v>
      </c>
      <c r="N125" s="25" t="n">
        <v>0</v>
      </c>
      <c r="O125" s="19">
        <f>SUM(D125:N125)</f>
        <v/>
      </c>
      <c r="P125" s="10" t="inlineStr">
        <is>
          <t>-</t>
        </is>
      </c>
    </row>
    <row r="126">
      <c r="A126" s="26" t="n">
        <v>44</v>
      </c>
      <c r="B126" s="32" t="inlineStr">
        <is>
          <t>Престиж Вафла Троя Лешник 30гр</t>
        </is>
      </c>
      <c r="C126" s="26" t="inlineStr">
        <is>
          <t>-</t>
        </is>
      </c>
      <c r="D126" s="29" t="n">
        <v>0</v>
      </c>
      <c r="E126" s="29" t="n">
        <v>0</v>
      </c>
      <c r="F126" s="29" t="n">
        <v>0</v>
      </c>
      <c r="G126" s="30" t="n">
        <v>2</v>
      </c>
      <c r="H126" s="29" t="n">
        <v>0</v>
      </c>
      <c r="I126" s="29" t="n">
        <v>0</v>
      </c>
      <c r="J126" s="29" t="n">
        <v>0</v>
      </c>
      <c r="K126" s="29" t="n">
        <v>0</v>
      </c>
      <c r="L126" s="29" t="n">
        <v>0</v>
      </c>
      <c r="M126" s="29" t="n">
        <v>0</v>
      </c>
      <c r="N126" s="29" t="n">
        <v>0</v>
      </c>
      <c r="O126" s="19">
        <f>SUM(D126:N126)</f>
        <v/>
      </c>
      <c r="P126" s="10" t="inlineStr">
        <is>
          <t>-</t>
        </is>
      </c>
    </row>
    <row r="127">
      <c r="A127" s="10" t="n">
        <v>45</v>
      </c>
      <c r="B127" s="6" t="inlineStr">
        <is>
          <t>Престиж Вафла Троя Макси 49гр.</t>
        </is>
      </c>
      <c r="C127" s="10" t="inlineStr">
        <is>
          <t>-</t>
        </is>
      </c>
      <c r="D127" s="25" t="n">
        <v>0</v>
      </c>
      <c r="E127" s="8" t="n">
        <v>5</v>
      </c>
      <c r="F127" s="25" t="n">
        <v>0</v>
      </c>
      <c r="G127" s="25" t="n">
        <v>0</v>
      </c>
      <c r="H127" s="25" t="n">
        <v>0</v>
      </c>
      <c r="I127" s="25" t="n">
        <v>0</v>
      </c>
      <c r="J127" s="25" t="n">
        <v>0</v>
      </c>
      <c r="K127" s="25" t="n">
        <v>0</v>
      </c>
      <c r="L127" s="25" t="n">
        <v>0</v>
      </c>
      <c r="M127" s="25" t="n">
        <v>0</v>
      </c>
      <c r="N127" s="25" t="n">
        <v>0</v>
      </c>
      <c r="O127" s="19">
        <f>SUM(D127:N127)</f>
        <v/>
      </c>
      <c r="P127" s="10" t="inlineStr">
        <is>
          <t>-</t>
        </is>
      </c>
    </row>
    <row r="128">
      <c r="A128" s="26" t="n">
        <v>46</v>
      </c>
      <c r="B128" s="32" t="inlineStr">
        <is>
          <t>Престиж Вафла Троя Макси Лимонов Чийзкейк 49гр.</t>
        </is>
      </c>
      <c r="C128" s="26" t="inlineStr">
        <is>
          <t>-</t>
        </is>
      </c>
      <c r="D128" s="29" t="n">
        <v>0</v>
      </c>
      <c r="E128" s="29" t="n">
        <v>0</v>
      </c>
      <c r="F128" s="29" t="n">
        <v>0</v>
      </c>
      <c r="G128" s="29" t="n">
        <v>0</v>
      </c>
      <c r="H128" s="29" t="n">
        <v>0</v>
      </c>
      <c r="I128" s="29" t="n">
        <v>0</v>
      </c>
      <c r="J128" s="29" t="n">
        <v>0</v>
      </c>
      <c r="K128" s="29" t="n">
        <v>0</v>
      </c>
      <c r="L128" s="29" t="n">
        <v>0</v>
      </c>
      <c r="M128" s="29" t="n">
        <v>0</v>
      </c>
      <c r="N128" s="29" t="n">
        <v>0</v>
      </c>
      <c r="O128" s="19">
        <f>SUM(D128:N128)</f>
        <v/>
      </c>
      <c r="P128" s="10" t="inlineStr">
        <is>
          <t>-</t>
        </is>
      </c>
    </row>
    <row r="129">
      <c r="A129" s="10" t="n">
        <v>47</v>
      </c>
      <c r="B129" s="6" t="inlineStr">
        <is>
          <t>Престиж Вафла Троя Манго 28гр</t>
        </is>
      </c>
      <c r="C129" s="10" t="inlineStr">
        <is>
          <t>-</t>
        </is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5" t="n">
        <v>0</v>
      </c>
      <c r="L129" s="25" t="n">
        <v>0</v>
      </c>
      <c r="M129" s="25" t="n">
        <v>0</v>
      </c>
      <c r="N129" s="25" t="n">
        <v>0</v>
      </c>
      <c r="O129" s="19">
        <f>SUM(D129:N129)</f>
        <v/>
      </c>
      <c r="P129" s="10" t="inlineStr">
        <is>
          <t>-</t>
        </is>
      </c>
    </row>
    <row r="130">
      <c r="A130" s="26" t="n">
        <v>48</v>
      </c>
      <c r="B130" s="32" t="inlineStr">
        <is>
          <t>Престиж Вафла Хипер Протеин 50гр</t>
        </is>
      </c>
      <c r="C130" s="26" t="inlineStr">
        <is>
          <t>-</t>
        </is>
      </c>
      <c r="D130" s="30" t="n">
        <v>2</v>
      </c>
      <c r="E130" s="30" t="n">
        <v>12</v>
      </c>
      <c r="F130" s="30" t="n">
        <v>2</v>
      </c>
      <c r="G130" s="29" t="n">
        <v>0</v>
      </c>
      <c r="H130" s="30" t="n">
        <v>7</v>
      </c>
      <c r="I130" s="30" t="n">
        <v>30</v>
      </c>
      <c r="J130" s="29" t="n">
        <v>0</v>
      </c>
      <c r="K130" s="29" t="n">
        <v>0</v>
      </c>
      <c r="L130" s="29" t="n">
        <v>0</v>
      </c>
      <c r="M130" s="29" t="n">
        <v>0</v>
      </c>
      <c r="N130" s="30" t="n">
        <v>50</v>
      </c>
      <c r="O130" s="19">
        <f>SUM(D130:N130)</f>
        <v/>
      </c>
      <c r="P130" s="10" t="inlineStr">
        <is>
          <t>-</t>
        </is>
      </c>
    </row>
    <row r="131">
      <c r="A131" s="10" t="n">
        <v>49</v>
      </c>
      <c r="B131" s="6" t="inlineStr">
        <is>
          <t>Престиж Вафла Хипер ванилия блек 55г</t>
        </is>
      </c>
      <c r="C131" s="10" t="inlineStr">
        <is>
          <t>-</t>
        </is>
      </c>
      <c r="D131" s="25" t="n">
        <v>0</v>
      </c>
      <c r="E131" s="8" t="n">
        <v>14</v>
      </c>
      <c r="F131" s="25" t="n">
        <v>0</v>
      </c>
      <c r="G131" s="25" t="n">
        <v>0</v>
      </c>
      <c r="H131" s="25" t="n">
        <v>0</v>
      </c>
      <c r="I131" s="25" t="n">
        <v>0</v>
      </c>
      <c r="J131" s="25" t="n">
        <v>0</v>
      </c>
      <c r="K131" s="8" t="n">
        <v>12</v>
      </c>
      <c r="L131" s="25" t="n">
        <v>0</v>
      </c>
      <c r="M131" s="8" t="n">
        <v>11</v>
      </c>
      <c r="N131" s="25" t="n">
        <v>0</v>
      </c>
      <c r="O131" s="19">
        <f>SUM(D131:N131)</f>
        <v/>
      </c>
      <c r="P131" s="10" t="inlineStr">
        <is>
          <t>-</t>
        </is>
      </c>
    </row>
    <row r="132">
      <c r="A132" s="26" t="n">
        <v>50</v>
      </c>
      <c r="B132" s="32" t="inlineStr">
        <is>
          <t>Престиж Вафла Хипер класик 50/55гр</t>
        </is>
      </c>
      <c r="C132" s="26" t="inlineStr">
        <is>
          <t>-</t>
        </is>
      </c>
      <c r="D132" s="29" t="n">
        <v>0</v>
      </c>
      <c r="E132" s="30" t="n">
        <v>8</v>
      </c>
      <c r="F132" s="30" t="n">
        <v>12</v>
      </c>
      <c r="G132" s="30" t="n">
        <v>38</v>
      </c>
      <c r="H132" s="30" t="n">
        <v>58</v>
      </c>
      <c r="I132" s="30" t="n">
        <v>42</v>
      </c>
      <c r="J132" s="30" t="n">
        <v>32</v>
      </c>
      <c r="K132" s="30" t="n">
        <v>18</v>
      </c>
      <c r="L132" s="30" t="n">
        <v>30</v>
      </c>
      <c r="M132" s="29" t="n">
        <v>0</v>
      </c>
      <c r="N132" s="30" t="n">
        <v>80</v>
      </c>
      <c r="O132" s="19">
        <f>SUM(D132:N132)</f>
        <v/>
      </c>
      <c r="P132" s="10" t="inlineStr">
        <is>
          <t>-</t>
        </is>
      </c>
    </row>
    <row r="133">
      <c r="A133" s="10" t="n">
        <v>51</v>
      </c>
      <c r="B133" s="6" t="inlineStr">
        <is>
          <t>Престиж Вафла Хипер лешник 55гр</t>
        </is>
      </c>
      <c r="C133" s="10" t="inlineStr">
        <is>
          <t>-</t>
        </is>
      </c>
      <c r="D133" s="8" t="n">
        <v>42</v>
      </c>
      <c r="E133" s="8" t="n">
        <v>54</v>
      </c>
      <c r="F133" s="25" t="n">
        <v>0</v>
      </c>
      <c r="G133" s="25" t="n">
        <v>0</v>
      </c>
      <c r="H133" s="25" t="n">
        <v>0</v>
      </c>
      <c r="I133" s="8" t="n">
        <v>2</v>
      </c>
      <c r="J133" s="8" t="n">
        <v>2</v>
      </c>
      <c r="K133" s="25" t="n">
        <v>0</v>
      </c>
      <c r="L133" s="8" t="n">
        <v>14</v>
      </c>
      <c r="M133" s="25" t="n">
        <v>0</v>
      </c>
      <c r="N133" s="8" t="n">
        <v>30</v>
      </c>
      <c r="O133" s="19">
        <f>SUM(D133:N133)</f>
        <v/>
      </c>
      <c r="P133" s="10" t="inlineStr">
        <is>
          <t>-</t>
        </is>
      </c>
    </row>
    <row r="134">
      <c r="A134" s="26" t="n">
        <v>52</v>
      </c>
      <c r="B134" s="32" t="inlineStr">
        <is>
          <t>Престиж Вафла Шамфъстък 21гр</t>
        </is>
      </c>
      <c r="C134" s="26" t="inlineStr">
        <is>
          <t>-</t>
        </is>
      </c>
      <c r="D134" s="29" t="n">
        <v>0</v>
      </c>
      <c r="E134" s="29" t="n">
        <v>0</v>
      </c>
      <c r="F134" s="29" t="n">
        <v>0</v>
      </c>
      <c r="G134" s="29" t="n">
        <v>0</v>
      </c>
      <c r="H134" s="29" t="n">
        <v>0</v>
      </c>
      <c r="I134" s="29" t="n">
        <v>0</v>
      </c>
      <c r="J134" s="29" t="n">
        <v>0</v>
      </c>
      <c r="K134" s="29" t="n">
        <v>0</v>
      </c>
      <c r="L134" s="29" t="n">
        <v>0</v>
      </c>
      <c r="M134" s="29" t="n">
        <v>0</v>
      </c>
      <c r="N134" s="30" t="n">
        <v>14</v>
      </c>
      <c r="O134" s="19">
        <f>SUM(D134:N134)</f>
        <v/>
      </c>
      <c r="P134" s="10" t="inlineStr">
        <is>
          <t>-</t>
        </is>
      </c>
    </row>
    <row r="135">
      <c r="A135" s="10" t="n">
        <v>53</v>
      </c>
      <c r="B135" s="6" t="inlineStr">
        <is>
          <t>Престиж Вафли Мираж с лек крем 135гр</t>
        </is>
      </c>
      <c r="C135" s="10" t="inlineStr">
        <is>
          <t>-</t>
        </is>
      </c>
      <c r="D135" s="25" t="n">
        <v>0</v>
      </c>
      <c r="E135" s="8" t="n">
        <v>5</v>
      </c>
      <c r="F135" s="25" t="n">
        <v>0</v>
      </c>
      <c r="G135" s="25" t="n">
        <v>0</v>
      </c>
      <c r="H135" s="25" t="n">
        <v>0</v>
      </c>
      <c r="I135" s="25" t="n">
        <v>0</v>
      </c>
      <c r="J135" s="25" t="n">
        <v>0</v>
      </c>
      <c r="K135" s="25" t="n">
        <v>0</v>
      </c>
      <c r="L135" s="25" t="n">
        <v>0</v>
      </c>
      <c r="M135" s="25" t="n">
        <v>0</v>
      </c>
      <c r="N135" s="8" t="n">
        <v>4</v>
      </c>
      <c r="O135" s="19">
        <f>SUM(D135:N135)</f>
        <v/>
      </c>
      <c r="P135" s="10" t="inlineStr">
        <is>
          <t>-</t>
        </is>
      </c>
    </row>
    <row r="136">
      <c r="A136" s="26" t="n">
        <v>54</v>
      </c>
      <c r="B136" s="32" t="inlineStr">
        <is>
          <t>Престиж Вафли Ная 6бр 128-150гр</t>
        </is>
      </c>
      <c r="C136" s="26" t="inlineStr">
        <is>
          <t>-</t>
        </is>
      </c>
      <c r="D136" s="30" t="n">
        <v>14</v>
      </c>
      <c r="E136" s="30" t="n">
        <v>14</v>
      </c>
      <c r="F136" s="30" t="n">
        <v>21</v>
      </c>
      <c r="G136" s="30" t="n">
        <v>22</v>
      </c>
      <c r="H136" s="30" t="n">
        <v>27</v>
      </c>
      <c r="I136" s="30" t="n">
        <v>8</v>
      </c>
      <c r="J136" s="30" t="n">
        <v>19</v>
      </c>
      <c r="K136" s="30" t="n">
        <v>2</v>
      </c>
      <c r="L136" s="29" t="n">
        <v>0</v>
      </c>
      <c r="M136" s="30" t="n">
        <v>40</v>
      </c>
      <c r="N136" s="30" t="n">
        <v>34</v>
      </c>
      <c r="O136" s="19">
        <f>SUM(D136:N136)</f>
        <v/>
      </c>
      <c r="P136" s="10" t="inlineStr">
        <is>
          <t>-</t>
        </is>
      </c>
    </row>
    <row r="137">
      <c r="A137" s="10" t="n">
        <v>55</v>
      </c>
      <c r="B137" s="6" t="inlineStr">
        <is>
          <t>Престиж Вафли Ная Боровинка 21бр 450гр</t>
        </is>
      </c>
      <c r="C137" s="10" t="inlineStr">
        <is>
          <t>-</t>
        </is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5" t="n">
        <v>0</v>
      </c>
      <c r="K137" s="8" t="n">
        <v>1</v>
      </c>
      <c r="L137" s="25" t="n">
        <v>0</v>
      </c>
      <c r="M137" s="25" t="n">
        <v>0</v>
      </c>
      <c r="N137" s="8" t="n">
        <v>3</v>
      </c>
      <c r="O137" s="19">
        <f>SUM(D137:N137)</f>
        <v/>
      </c>
      <c r="P137" s="10" t="inlineStr">
        <is>
          <t>-</t>
        </is>
      </c>
    </row>
    <row r="138">
      <c r="A138" s="26" t="n">
        <v>56</v>
      </c>
      <c r="B138" s="32" t="inlineStr">
        <is>
          <t>Престиж Вафли Ная Боровинка 600гр/28бр</t>
        </is>
      </c>
      <c r="C138" s="26" t="inlineStr">
        <is>
          <t>-</t>
        </is>
      </c>
      <c r="D138" s="29" t="n">
        <v>0</v>
      </c>
      <c r="E138" s="29" t="n">
        <v>0</v>
      </c>
      <c r="F138" s="29" t="n">
        <v>0</v>
      </c>
      <c r="G138" s="30" t="n">
        <v>2</v>
      </c>
      <c r="H138" s="29" t="n">
        <v>0</v>
      </c>
      <c r="I138" s="29" t="n">
        <v>0</v>
      </c>
      <c r="J138" s="29" t="n">
        <v>0</v>
      </c>
      <c r="K138" s="29" t="n">
        <v>0</v>
      </c>
      <c r="L138" s="29" t="n">
        <v>0</v>
      </c>
      <c r="M138" s="30" t="n">
        <v>2</v>
      </c>
      <c r="N138" s="29" t="n">
        <v>0</v>
      </c>
      <c r="O138" s="19">
        <f>SUM(D138:N138)</f>
        <v/>
      </c>
      <c r="P138" s="10" t="inlineStr">
        <is>
          <t>-</t>
        </is>
      </c>
    </row>
    <row r="139">
      <c r="A139" s="10" t="n">
        <v>57</v>
      </c>
      <c r="B139" s="6" t="inlineStr">
        <is>
          <t>Престиж Вафли Ная Какао кутия 600/28бр</t>
        </is>
      </c>
      <c r="C139" s="10" t="inlineStr">
        <is>
          <t>-</t>
        </is>
      </c>
      <c r="D139" s="25" t="n">
        <v>0</v>
      </c>
      <c r="E139" s="8" t="n">
        <v>1</v>
      </c>
      <c r="F139" s="25" t="n">
        <v>0</v>
      </c>
      <c r="G139" s="25" t="n">
        <v>0</v>
      </c>
      <c r="H139" s="25" t="n">
        <v>0</v>
      </c>
      <c r="I139" s="25" t="n">
        <v>0</v>
      </c>
      <c r="J139" s="8" t="n">
        <v>2</v>
      </c>
      <c r="K139" s="25" t="n">
        <v>0</v>
      </c>
      <c r="L139" s="25" t="n">
        <v>0</v>
      </c>
      <c r="M139" s="25" t="n">
        <v>0</v>
      </c>
      <c r="N139" s="25" t="n">
        <v>0</v>
      </c>
      <c r="O139" s="19">
        <f>SUM(D139:N139)</f>
        <v/>
      </c>
      <c r="P139" s="10" t="inlineStr">
        <is>
          <t>-</t>
        </is>
      </c>
    </row>
    <row r="140">
      <c r="A140" s="26" t="n">
        <v>58</v>
      </c>
      <c r="B140" s="32" t="inlineStr">
        <is>
          <t>Престиж Вафли Ная Мляко и какао 600/28бр</t>
        </is>
      </c>
      <c r="C140" s="26" t="inlineStr">
        <is>
          <t>-</t>
        </is>
      </c>
      <c r="D140" s="29" t="n">
        <v>0</v>
      </c>
      <c r="E140" s="29" t="n">
        <v>0</v>
      </c>
      <c r="F140" s="29" t="n">
        <v>0</v>
      </c>
      <c r="G140" s="29" t="n">
        <v>0</v>
      </c>
      <c r="H140" s="29" t="n">
        <v>0</v>
      </c>
      <c r="I140" s="29" t="n">
        <v>0</v>
      </c>
      <c r="J140" s="29" t="n">
        <v>0</v>
      </c>
      <c r="K140" s="29" t="n">
        <v>0</v>
      </c>
      <c r="L140" s="29" t="n">
        <v>0</v>
      </c>
      <c r="M140" s="29" t="n">
        <v>0</v>
      </c>
      <c r="N140" s="29" t="n">
        <v>0</v>
      </c>
      <c r="O140" s="19">
        <f>SUM(D140:N140)</f>
        <v/>
      </c>
      <c r="P140" s="10" t="inlineStr">
        <is>
          <t>-</t>
        </is>
      </c>
    </row>
    <row r="141">
      <c r="A141" s="10" t="n">
        <v>59</v>
      </c>
      <c r="B141" s="6" t="inlineStr">
        <is>
          <t>Престиж Вафли Ная кутия 15бр 350г</t>
        </is>
      </c>
      <c r="C141" s="10" t="inlineStr">
        <is>
          <t>-</t>
        </is>
      </c>
      <c r="D141" s="25" t="n">
        <v>0</v>
      </c>
      <c r="E141" s="8" t="n">
        <v>16</v>
      </c>
      <c r="F141" s="8" t="n">
        <v>4</v>
      </c>
      <c r="G141" s="8" t="n">
        <v>25</v>
      </c>
      <c r="H141" s="8" t="n">
        <v>2</v>
      </c>
      <c r="I141" s="8" t="n">
        <v>6</v>
      </c>
      <c r="J141" s="8" t="n">
        <v>20</v>
      </c>
      <c r="K141" s="8" t="n">
        <v>8</v>
      </c>
      <c r="L141" s="8" t="n">
        <v>12</v>
      </c>
      <c r="M141" s="8" t="n">
        <v>11</v>
      </c>
      <c r="N141" s="8" t="n">
        <v>14</v>
      </c>
      <c r="O141" s="19">
        <f>SUM(D141:N141)</f>
        <v/>
      </c>
      <c r="P141" s="10" t="inlineStr">
        <is>
          <t>-</t>
        </is>
      </c>
    </row>
    <row r="142">
      <c r="A142" s="26" t="n">
        <v>60</v>
      </c>
      <c r="B142" s="32" t="inlineStr">
        <is>
          <t>Престиж Вафли Ная кутия 21бр 525гр</t>
        </is>
      </c>
      <c r="C142" s="26" t="inlineStr">
        <is>
          <t>-</t>
        </is>
      </c>
      <c r="D142" s="29" t="n">
        <v>0</v>
      </c>
      <c r="E142" s="30" t="n">
        <v>2</v>
      </c>
      <c r="F142" s="29" t="n">
        <v>0</v>
      </c>
      <c r="G142" s="30" t="n">
        <v>2</v>
      </c>
      <c r="H142" s="29" t="n">
        <v>0</v>
      </c>
      <c r="I142" s="29" t="n">
        <v>0</v>
      </c>
      <c r="J142" s="30" t="n">
        <v>9</v>
      </c>
      <c r="K142" s="30" t="n">
        <v>9</v>
      </c>
      <c r="L142" s="29" t="n">
        <v>0</v>
      </c>
      <c r="M142" s="29" t="n">
        <v>0</v>
      </c>
      <c r="N142" s="30" t="n">
        <v>13</v>
      </c>
      <c r="O142" s="19">
        <f>SUM(D142:N142)</f>
        <v/>
      </c>
      <c r="P142" s="10" t="inlineStr">
        <is>
          <t>-</t>
        </is>
      </c>
    </row>
    <row r="143">
      <c r="A143" s="10" t="n">
        <v>61</v>
      </c>
      <c r="B143" s="6" t="inlineStr">
        <is>
          <t>Престиж Вафли Ная кутия 635/28бр</t>
        </is>
      </c>
      <c r="C143" s="10" t="inlineStr">
        <is>
          <t>-</t>
        </is>
      </c>
      <c r="D143" s="25" t="n">
        <v>0</v>
      </c>
      <c r="E143" s="8" t="n">
        <v>4</v>
      </c>
      <c r="F143" s="25" t="n">
        <v>0</v>
      </c>
      <c r="G143" s="8" t="n">
        <v>2</v>
      </c>
      <c r="H143" s="8" t="n">
        <v>4</v>
      </c>
      <c r="I143" s="25" t="n">
        <v>0</v>
      </c>
      <c r="J143" s="25" t="n">
        <v>0</v>
      </c>
      <c r="K143" s="25" t="n">
        <v>0</v>
      </c>
      <c r="L143" s="25" t="n">
        <v>0</v>
      </c>
      <c r="M143" s="25" t="n">
        <v>0</v>
      </c>
      <c r="N143" s="25" t="n">
        <v>0</v>
      </c>
      <c r="O143" s="19">
        <f>SUM(D143:N143)</f>
        <v/>
      </c>
      <c r="P143" s="10" t="inlineStr">
        <is>
          <t>-</t>
        </is>
      </c>
    </row>
    <row r="144">
      <c r="A144" s="26" t="n">
        <v>62</v>
      </c>
      <c r="B144" s="32" t="inlineStr">
        <is>
          <t>Престиж Вафли Ная кутия какао 15бр 321г</t>
        </is>
      </c>
      <c r="C144" s="26" t="inlineStr">
        <is>
          <t>-</t>
        </is>
      </c>
      <c r="D144" s="29" t="n">
        <v>0</v>
      </c>
      <c r="E144" s="29" t="n">
        <v>0</v>
      </c>
      <c r="F144" s="30" t="n">
        <v>6</v>
      </c>
      <c r="G144" s="30" t="n">
        <v>8</v>
      </c>
      <c r="H144" s="30" t="n">
        <v>11</v>
      </c>
      <c r="I144" s="30" t="n">
        <v>4</v>
      </c>
      <c r="J144" s="30" t="n">
        <v>4</v>
      </c>
      <c r="K144" s="30" t="n">
        <v>4</v>
      </c>
      <c r="L144" s="30" t="n">
        <v>1</v>
      </c>
      <c r="M144" s="29" t="n">
        <v>0</v>
      </c>
      <c r="N144" s="30" t="n">
        <v>4</v>
      </c>
      <c r="O144" s="19">
        <f>SUM(D144:N144)</f>
        <v/>
      </c>
      <c r="P144" s="10" t="inlineStr">
        <is>
          <t>-</t>
        </is>
      </c>
    </row>
    <row r="145">
      <c r="A145" s="10" t="n">
        <v>63</v>
      </c>
      <c r="B145" s="6" t="inlineStr">
        <is>
          <t>Престиж Вафли Ная мляко и какао 15бр 321гр</t>
        </is>
      </c>
      <c r="C145" s="10" t="inlineStr">
        <is>
          <t>-</t>
        </is>
      </c>
      <c r="D145" s="25" t="n">
        <v>0</v>
      </c>
      <c r="E145" s="8" t="n">
        <v>12</v>
      </c>
      <c r="F145" s="25" t="n">
        <v>0</v>
      </c>
      <c r="G145" s="25" t="n">
        <v>0</v>
      </c>
      <c r="H145" s="25" t="n">
        <v>0</v>
      </c>
      <c r="I145" s="8" t="n">
        <v>2</v>
      </c>
      <c r="J145" s="25" t="n">
        <v>0</v>
      </c>
      <c r="K145" s="25" t="n">
        <v>0</v>
      </c>
      <c r="L145" s="8" t="n">
        <v>3</v>
      </c>
      <c r="M145" s="25" t="n">
        <v>0</v>
      </c>
      <c r="N145" s="25" t="n">
        <v>0</v>
      </c>
      <c r="O145" s="19">
        <f>SUM(D145:N145)</f>
        <v/>
      </c>
      <c r="P145" s="10" t="inlineStr">
        <is>
          <t>-</t>
        </is>
      </c>
    </row>
    <row r="146">
      <c r="A146" s="26" t="n">
        <v>64</v>
      </c>
      <c r="B146" s="32" t="inlineStr">
        <is>
          <t>Престиж Вафли Роден край 100/120гр</t>
        </is>
      </c>
      <c r="C146" s="26" t="inlineStr">
        <is>
          <t>-</t>
        </is>
      </c>
      <c r="D146" s="29" t="n">
        <v>0</v>
      </c>
      <c r="E146" s="30" t="n">
        <v>9</v>
      </c>
      <c r="F146" s="29" t="n">
        <v>0</v>
      </c>
      <c r="G146" s="30" t="n">
        <v>2</v>
      </c>
      <c r="H146" s="30" t="n">
        <v>5</v>
      </c>
      <c r="I146" s="29" t="n">
        <v>0</v>
      </c>
      <c r="J146" s="29" t="n">
        <v>0</v>
      </c>
      <c r="K146" s="29" t="n">
        <v>0</v>
      </c>
      <c r="L146" s="29" t="n">
        <v>0</v>
      </c>
      <c r="M146" s="29" t="n">
        <v>0</v>
      </c>
      <c r="N146" s="30" t="n">
        <v>26</v>
      </c>
      <c r="O146" s="19">
        <f>SUM(D146:N146)</f>
        <v/>
      </c>
      <c r="P146" s="10" t="inlineStr">
        <is>
          <t>-</t>
        </is>
      </c>
    </row>
    <row r="147">
      <c r="A147" s="10" t="n">
        <v>65</v>
      </c>
      <c r="B147" s="6" t="inlineStr">
        <is>
          <t>Престиж Вафли Роден край 360/375гр-15бр.</t>
        </is>
      </c>
      <c r="C147" s="10" t="inlineStr">
        <is>
          <t>-</t>
        </is>
      </c>
      <c r="D147" s="25" t="n">
        <v>0</v>
      </c>
      <c r="E147" s="8" t="n">
        <v>4</v>
      </c>
      <c r="F147" s="25" t="n">
        <v>0</v>
      </c>
      <c r="G147" s="8" t="n">
        <v>4</v>
      </c>
      <c r="H147" s="8" t="n">
        <v>1</v>
      </c>
      <c r="I147" s="25" t="n">
        <v>0</v>
      </c>
      <c r="J147" s="8" t="n">
        <v>2</v>
      </c>
      <c r="K147" s="8" t="n">
        <v>11</v>
      </c>
      <c r="L147" s="25" t="n">
        <v>0</v>
      </c>
      <c r="M147" s="8" t="n">
        <v>11</v>
      </c>
      <c r="N147" s="8" t="n">
        <v>12</v>
      </c>
      <c r="O147" s="19">
        <f>SUM(D147:N147)</f>
        <v/>
      </c>
      <c r="P147" s="10" t="inlineStr">
        <is>
          <t>-</t>
        </is>
      </c>
    </row>
    <row r="148">
      <c r="A148" s="26" t="n">
        <v>66</v>
      </c>
      <c r="B148" s="32" t="inlineStr">
        <is>
          <t>Престиж Вафли Роден край 525гр</t>
        </is>
      </c>
      <c r="C148" s="26" t="inlineStr">
        <is>
          <t>-</t>
        </is>
      </c>
      <c r="D148" s="29" t="n">
        <v>0</v>
      </c>
      <c r="E148" s="29" t="n">
        <v>0</v>
      </c>
      <c r="F148" s="29" t="n">
        <v>0</v>
      </c>
      <c r="G148" s="30" t="n">
        <v>2</v>
      </c>
      <c r="H148" s="29" t="n">
        <v>0</v>
      </c>
      <c r="I148" s="29" t="n">
        <v>0</v>
      </c>
      <c r="J148" s="30" t="n">
        <v>4</v>
      </c>
      <c r="K148" s="29" t="n">
        <v>0</v>
      </c>
      <c r="L148" s="29" t="n">
        <v>0</v>
      </c>
      <c r="M148" s="29" t="n">
        <v>0</v>
      </c>
      <c r="N148" s="30" t="n">
        <v>10</v>
      </c>
      <c r="O148" s="19">
        <f>SUM(D148:N148)</f>
        <v/>
      </c>
      <c r="P148" s="10" t="inlineStr">
        <is>
          <t>-</t>
        </is>
      </c>
    </row>
    <row r="149">
      <c r="A149" s="10" t="n">
        <v>67</v>
      </c>
      <c r="B149" s="6" t="inlineStr">
        <is>
          <t>Престиж Карамелени бисквити 126гр</t>
        </is>
      </c>
      <c r="C149" s="10" t="inlineStr">
        <is>
          <t>-</t>
        </is>
      </c>
      <c r="D149" s="25" t="n">
        <v>0</v>
      </c>
      <c r="E149" s="25" t="n">
        <v>0</v>
      </c>
      <c r="F149" s="25" t="n">
        <v>0</v>
      </c>
      <c r="G149" s="8" t="n">
        <v>2</v>
      </c>
      <c r="H149" s="25" t="n">
        <v>0</v>
      </c>
      <c r="I149" s="25" t="n">
        <v>0</v>
      </c>
      <c r="J149" s="25" t="n">
        <v>0</v>
      </c>
      <c r="K149" s="25" t="n">
        <v>0</v>
      </c>
      <c r="L149" s="25" t="n">
        <v>0</v>
      </c>
      <c r="M149" s="25" t="n">
        <v>0</v>
      </c>
      <c r="N149" s="25" t="n">
        <v>0</v>
      </c>
      <c r="O149" s="19">
        <f>SUM(D149:N149)</f>
        <v/>
      </c>
      <c r="P149" s="10" t="inlineStr">
        <is>
          <t>-</t>
        </is>
      </c>
    </row>
    <row r="150">
      <c r="A150" s="26" t="n">
        <v>68</v>
      </c>
      <c r="B150" s="32" t="inlineStr">
        <is>
          <t>Престиж Насладки дребни сладки Мандарина 134г</t>
        </is>
      </c>
      <c r="C150" s="26" t="inlineStr">
        <is>
          <t>-</t>
        </is>
      </c>
      <c r="D150" s="30" t="n">
        <v>10</v>
      </c>
      <c r="E150" s="30" t="n">
        <v>10</v>
      </c>
      <c r="F150" s="29" t="n">
        <v>0</v>
      </c>
      <c r="G150" s="30" t="n">
        <v>3</v>
      </c>
      <c r="H150" s="29" t="n">
        <v>0</v>
      </c>
      <c r="I150" s="29" t="n">
        <v>0</v>
      </c>
      <c r="J150" s="29" t="n">
        <v>0</v>
      </c>
      <c r="K150" s="29" t="n">
        <v>0</v>
      </c>
      <c r="L150" s="30" t="n">
        <v>1</v>
      </c>
      <c r="M150" s="29" t="n">
        <v>0</v>
      </c>
      <c r="N150" s="29" t="n">
        <v>0</v>
      </c>
      <c r="O150" s="19">
        <f>SUM(D150:N150)</f>
        <v/>
      </c>
      <c r="P150" s="10" t="inlineStr">
        <is>
          <t>-</t>
        </is>
      </c>
    </row>
    <row r="151">
      <c r="A151" s="10" t="n">
        <v>69</v>
      </c>
      <c r="B151" s="6" t="inlineStr">
        <is>
          <t>Престиж Насладки дребни сладки горски ягоди 134г</t>
        </is>
      </c>
      <c r="C151" s="10" t="inlineStr">
        <is>
          <t>-</t>
        </is>
      </c>
      <c r="D151" s="8" t="n">
        <v>4</v>
      </c>
      <c r="E151" s="8" t="n">
        <v>10</v>
      </c>
      <c r="F151" s="8" t="n">
        <v>8</v>
      </c>
      <c r="G151" s="8" t="n">
        <v>12</v>
      </c>
      <c r="H151" s="25" t="n">
        <v>0</v>
      </c>
      <c r="I151" s="25" t="n">
        <v>0</v>
      </c>
      <c r="J151" s="8" t="n">
        <v>3</v>
      </c>
      <c r="K151" s="25" t="n">
        <v>0</v>
      </c>
      <c r="L151" s="25" t="n">
        <v>0</v>
      </c>
      <c r="M151" s="25" t="n">
        <v>0</v>
      </c>
      <c r="N151" s="8" t="n">
        <v>6</v>
      </c>
      <c r="O151" s="19">
        <f>SUM(D151:N151)</f>
        <v/>
      </c>
      <c r="P151" s="10" t="inlineStr">
        <is>
          <t>-</t>
        </is>
      </c>
    </row>
    <row r="152">
      <c r="A152" s="26" t="n">
        <v>70</v>
      </c>
      <c r="B152" s="32" t="inlineStr">
        <is>
          <t>Престиж Насладки дребни сладки синя слива 134г</t>
        </is>
      </c>
      <c r="C152" s="26" t="inlineStr">
        <is>
          <t>-</t>
        </is>
      </c>
      <c r="D152" s="30" t="n">
        <v>2</v>
      </c>
      <c r="E152" s="30" t="n">
        <v>10</v>
      </c>
      <c r="F152" s="29" t="n">
        <v>0</v>
      </c>
      <c r="G152" s="30" t="n">
        <v>8</v>
      </c>
      <c r="H152" s="30" t="n">
        <v>12</v>
      </c>
      <c r="I152" s="30" t="n">
        <v>4</v>
      </c>
      <c r="J152" s="29" t="n">
        <v>0</v>
      </c>
      <c r="K152" s="30" t="n">
        <v>6</v>
      </c>
      <c r="L152" s="29" t="n">
        <v>0</v>
      </c>
      <c r="M152" s="29" t="n">
        <v>0</v>
      </c>
      <c r="N152" s="30" t="n">
        <v>6</v>
      </c>
      <c r="O152" s="19">
        <f>SUM(D152:N152)</f>
        <v/>
      </c>
      <c r="P152" s="10" t="inlineStr">
        <is>
          <t>-</t>
        </is>
      </c>
    </row>
    <row r="153">
      <c r="A153" s="10" t="n">
        <v>71</v>
      </c>
      <c r="B153" s="6" t="inlineStr">
        <is>
          <t>Престиж Насладки дребни сладки смокиня 134г</t>
        </is>
      </c>
      <c r="C153" s="10" t="inlineStr">
        <is>
          <t>-</t>
        </is>
      </c>
      <c r="D153" s="8" t="n">
        <v>12</v>
      </c>
      <c r="E153" s="25" t="n">
        <v>0</v>
      </c>
      <c r="F153" s="8" t="n">
        <v>4</v>
      </c>
      <c r="G153" s="8" t="n">
        <v>9</v>
      </c>
      <c r="H153" s="8" t="n">
        <v>10</v>
      </c>
      <c r="I153" s="25" t="n">
        <v>0</v>
      </c>
      <c r="J153" s="8" t="n">
        <v>1</v>
      </c>
      <c r="K153" s="8" t="n">
        <v>8</v>
      </c>
      <c r="L153" s="8" t="n">
        <v>2</v>
      </c>
      <c r="M153" s="8" t="n">
        <v>3</v>
      </c>
      <c r="N153" s="25" t="n">
        <v>0</v>
      </c>
      <c r="O153" s="19">
        <f>SUM(D153:N153)</f>
        <v/>
      </c>
      <c r="P153" s="10" t="inlineStr">
        <is>
          <t>-</t>
        </is>
      </c>
    </row>
    <row r="154">
      <c r="A154" s="26" t="n">
        <v>72</v>
      </c>
      <c r="B154" s="32" t="inlineStr">
        <is>
          <t>Престиж Суха паста Роден край 180гр</t>
        </is>
      </c>
      <c r="C154" s="26" t="inlineStr">
        <is>
          <t>-</t>
        </is>
      </c>
      <c r="D154" s="29" t="n">
        <v>0</v>
      </c>
      <c r="E154" s="29" t="n">
        <v>0</v>
      </c>
      <c r="F154" s="29" t="n">
        <v>0</v>
      </c>
      <c r="G154" s="30" t="n">
        <v>2</v>
      </c>
      <c r="H154" s="30" t="n">
        <v>4</v>
      </c>
      <c r="I154" s="29" t="n">
        <v>0</v>
      </c>
      <c r="J154" s="29" t="n">
        <v>0</v>
      </c>
      <c r="K154" s="30" t="n">
        <v>2</v>
      </c>
      <c r="L154" s="30" t="n">
        <v>2</v>
      </c>
      <c r="M154" s="30" t="n">
        <v>3</v>
      </c>
      <c r="N154" s="29" t="n">
        <v>0</v>
      </c>
      <c r="O154" s="19">
        <f>SUM(D154:N154)</f>
        <v/>
      </c>
      <c r="P154" s="10" t="inlineStr">
        <is>
          <t>-</t>
        </is>
      </c>
    </row>
    <row r="155">
      <c r="A155" s="10" t="n">
        <v>73</v>
      </c>
      <c r="B155" s="6" t="inlineStr">
        <is>
          <t>Престиж Суха паста тунк. Шамфъстък 300</t>
        </is>
      </c>
      <c r="C155" s="10" t="inlineStr">
        <is>
          <t>-</t>
        </is>
      </c>
      <c r="D155" s="25" t="n">
        <v>0</v>
      </c>
      <c r="E155" s="25" t="n">
        <v>0</v>
      </c>
      <c r="F155" s="25" t="n">
        <v>0</v>
      </c>
      <c r="G155" s="25" t="n">
        <v>0</v>
      </c>
      <c r="H155" s="8" t="n">
        <v>1</v>
      </c>
      <c r="I155" s="8" t="n">
        <v>2</v>
      </c>
      <c r="J155" s="25" t="n">
        <v>0</v>
      </c>
      <c r="K155" s="8" t="n">
        <v>2</v>
      </c>
      <c r="L155" s="25" t="n">
        <v>0</v>
      </c>
      <c r="M155" s="25" t="n">
        <v>0</v>
      </c>
      <c r="N155" s="25" t="n">
        <v>0</v>
      </c>
      <c r="O155" s="19">
        <f>SUM(D155:N155)</f>
        <v/>
      </c>
      <c r="P155" s="10" t="inlineStr">
        <is>
          <t>-</t>
        </is>
      </c>
    </row>
    <row r="156">
      <c r="A156" s="26" t="n">
        <v>74</v>
      </c>
      <c r="B156" s="32" t="inlineStr">
        <is>
          <t>Престиж Суха паста тунк. ванилов крем 300г</t>
        </is>
      </c>
      <c r="C156" s="26" t="inlineStr">
        <is>
          <t>-</t>
        </is>
      </c>
      <c r="D156" s="29" t="n">
        <v>0</v>
      </c>
      <c r="E156" s="29" t="n">
        <v>0</v>
      </c>
      <c r="F156" s="29" t="n">
        <v>0</v>
      </c>
      <c r="G156" s="30" t="n">
        <v>2</v>
      </c>
      <c r="H156" s="30" t="n">
        <v>12</v>
      </c>
      <c r="I156" s="30" t="n">
        <v>3</v>
      </c>
      <c r="J156" s="30" t="n">
        <v>3</v>
      </c>
      <c r="K156" s="30" t="n">
        <v>4</v>
      </c>
      <c r="L156" s="29" t="n">
        <v>0</v>
      </c>
      <c r="M156" s="29" t="n">
        <v>0</v>
      </c>
      <c r="N156" s="30" t="n">
        <v>2</v>
      </c>
      <c r="O156" s="19">
        <f>SUM(D156:N156)</f>
        <v/>
      </c>
      <c r="P156" s="10" t="inlineStr">
        <is>
          <t>-</t>
        </is>
      </c>
    </row>
    <row r="157">
      <c r="A157" s="10" t="n">
        <v>75</v>
      </c>
      <c r="B157" s="6" t="inlineStr">
        <is>
          <t>Престиж Суха паста тунк. крем какао 300г</t>
        </is>
      </c>
      <c r="C157" s="10" t="inlineStr">
        <is>
          <t>-</t>
        </is>
      </c>
      <c r="D157" s="25" t="n">
        <v>0</v>
      </c>
      <c r="E157" s="8" t="n">
        <v>3</v>
      </c>
      <c r="F157" s="25" t="n">
        <v>0</v>
      </c>
      <c r="G157" s="25" t="n">
        <v>0</v>
      </c>
      <c r="H157" s="8" t="n">
        <v>12</v>
      </c>
      <c r="I157" s="8" t="n">
        <v>2</v>
      </c>
      <c r="J157" s="25" t="n">
        <v>0</v>
      </c>
      <c r="K157" s="8" t="n">
        <v>8</v>
      </c>
      <c r="L157" s="25" t="n">
        <v>0</v>
      </c>
      <c r="M157" s="25" t="n">
        <v>0</v>
      </c>
      <c r="N157" s="8" t="n">
        <v>10</v>
      </c>
      <c r="O157" s="19">
        <f>SUM(D157:N157)</f>
        <v/>
      </c>
      <c r="P157" s="10" t="inlineStr">
        <is>
          <t>-</t>
        </is>
      </c>
    </row>
    <row r="158">
      <c r="A158" s="26" t="n">
        <v>76</v>
      </c>
      <c r="B158" s="32" t="inlineStr">
        <is>
          <t>Престиж Суха паста тунк. млечен крем 300г</t>
        </is>
      </c>
      <c r="C158" s="26" t="inlineStr">
        <is>
          <t>-</t>
        </is>
      </c>
      <c r="D158" s="30" t="n">
        <v>4</v>
      </c>
      <c r="E158" s="29" t="n">
        <v>0</v>
      </c>
      <c r="F158" s="30" t="n">
        <v>3</v>
      </c>
      <c r="G158" s="30" t="n">
        <v>4</v>
      </c>
      <c r="H158" s="30" t="n">
        <v>10</v>
      </c>
      <c r="I158" s="30" t="n">
        <v>4</v>
      </c>
      <c r="J158" s="29" t="n">
        <v>0</v>
      </c>
      <c r="K158" s="30" t="n">
        <v>6</v>
      </c>
      <c r="L158" s="29" t="n">
        <v>0</v>
      </c>
      <c r="M158" s="29" t="n">
        <v>0</v>
      </c>
      <c r="N158" s="30" t="n">
        <v>9</v>
      </c>
      <c r="O158" s="19">
        <f>SUM(D158:N158)</f>
        <v/>
      </c>
      <c r="P158" s="10" t="inlineStr">
        <is>
          <t>-</t>
        </is>
      </c>
    </row>
    <row r="159">
      <c r="A159" s="10" t="n">
        <v>77</v>
      </c>
      <c r="B159" s="6" t="inlineStr">
        <is>
          <t>Престиж Суха паста тунк. ягодов крем 300г</t>
        </is>
      </c>
      <c r="C159" s="10" t="inlineStr">
        <is>
          <t>-</t>
        </is>
      </c>
      <c r="D159" s="25" t="n">
        <v>0</v>
      </c>
      <c r="E159" s="8" t="n">
        <v>3</v>
      </c>
      <c r="F159" s="25" t="n">
        <v>0</v>
      </c>
      <c r="G159" s="25" t="n">
        <v>0</v>
      </c>
      <c r="H159" s="8" t="n">
        <v>7</v>
      </c>
      <c r="I159" s="25" t="n">
        <v>0</v>
      </c>
      <c r="J159" s="25" t="n">
        <v>0</v>
      </c>
      <c r="K159" s="8" t="n">
        <v>6</v>
      </c>
      <c r="L159" s="25" t="n">
        <v>0</v>
      </c>
      <c r="M159" s="25" t="n">
        <v>0</v>
      </c>
      <c r="N159" s="25" t="n">
        <v>0</v>
      </c>
      <c r="O159" s="19">
        <f>SUM(D159:N159)</f>
        <v/>
      </c>
      <c r="P159" s="10" t="inlineStr">
        <is>
          <t>-</t>
        </is>
      </c>
    </row>
    <row r="160">
      <c r="A160" s="26" t="n">
        <v>78</v>
      </c>
      <c r="B160" s="32" t="inlineStr">
        <is>
          <t>Престиж Уелнес Digestive Thins 120гр</t>
        </is>
      </c>
      <c r="C160" s="26" t="inlineStr">
        <is>
          <t>-</t>
        </is>
      </c>
      <c r="D160" s="29" t="n">
        <v>0</v>
      </c>
      <c r="E160" s="29" t="n">
        <v>0</v>
      </c>
      <c r="F160" s="29" t="n">
        <v>0</v>
      </c>
      <c r="G160" s="30" t="n">
        <v>8</v>
      </c>
      <c r="H160" s="30" t="n">
        <v>2</v>
      </c>
      <c r="I160" s="29" t="n">
        <v>0</v>
      </c>
      <c r="J160" s="29" t="n">
        <v>0</v>
      </c>
      <c r="K160" s="30" t="n">
        <v>5</v>
      </c>
      <c r="L160" s="29" t="n">
        <v>0</v>
      </c>
      <c r="M160" s="29" t="n">
        <v>0</v>
      </c>
      <c r="N160" s="30" t="n">
        <v>2</v>
      </c>
      <c r="O160" s="19">
        <f>SUM(D160:N160)</f>
        <v/>
      </c>
      <c r="P160" s="10" t="inlineStr">
        <is>
          <t>-</t>
        </is>
      </c>
    </row>
    <row r="161">
      <c r="A161" s="10" t="n">
        <v>79</v>
      </c>
      <c r="B161" s="6" t="inlineStr">
        <is>
          <t>Престиж Уелнес Какао 102гр</t>
        </is>
      </c>
      <c r="C161" s="10" t="inlineStr">
        <is>
          <t>-</t>
        </is>
      </c>
      <c r="D161" s="25" t="n">
        <v>0</v>
      </c>
      <c r="E161" s="25" t="n">
        <v>0</v>
      </c>
      <c r="F161" s="25" t="n">
        <v>0</v>
      </c>
      <c r="G161" s="8" t="n">
        <v>6</v>
      </c>
      <c r="H161" s="8" t="n">
        <v>2</v>
      </c>
      <c r="I161" s="25" t="n">
        <v>0</v>
      </c>
      <c r="J161" s="25" t="n">
        <v>0</v>
      </c>
      <c r="K161" s="25" t="n">
        <v>0</v>
      </c>
      <c r="L161" s="25" t="n">
        <v>0</v>
      </c>
      <c r="M161" s="25" t="n">
        <v>0</v>
      </c>
      <c r="N161" s="8" t="n">
        <v>4</v>
      </c>
      <c r="O161" s="19">
        <f>SUM(D161:N161)</f>
        <v/>
      </c>
      <c r="P161" s="10" t="inlineStr">
        <is>
          <t>-</t>
        </is>
      </c>
    </row>
    <row r="162">
      <c r="A162" s="26" t="n">
        <v>80</v>
      </c>
      <c r="B162" s="32" t="inlineStr">
        <is>
          <t>Престиж Уелнес Матча 103гр</t>
        </is>
      </c>
      <c r="C162" s="26" t="inlineStr">
        <is>
          <t>-</t>
        </is>
      </c>
      <c r="D162" s="29" t="n">
        <v>0</v>
      </c>
      <c r="E162" s="30" t="n">
        <v>4</v>
      </c>
      <c r="F162" s="29" t="n">
        <v>0</v>
      </c>
      <c r="G162" s="30" t="n">
        <v>10</v>
      </c>
      <c r="H162" s="30" t="n">
        <v>2</v>
      </c>
      <c r="I162" s="29" t="n">
        <v>0</v>
      </c>
      <c r="J162" s="30" t="n">
        <v>2</v>
      </c>
      <c r="K162" s="29" t="n">
        <v>0</v>
      </c>
      <c r="L162" s="29" t="n">
        <v>0</v>
      </c>
      <c r="M162" s="29" t="n">
        <v>0</v>
      </c>
      <c r="N162" s="29" t="n">
        <v>0</v>
      </c>
      <c r="O162" s="19">
        <f>SUM(D162:N162)</f>
        <v/>
      </c>
      <c r="P162" s="10" t="inlineStr">
        <is>
          <t>-</t>
        </is>
      </c>
    </row>
    <row r="163">
      <c r="A163" s="10" t="n">
        <v>81</v>
      </c>
      <c r="B163" s="6" t="inlineStr">
        <is>
          <t>Престиж Уелнес Овес 102гр</t>
        </is>
      </c>
      <c r="C163" s="10" t="inlineStr">
        <is>
          <t>-</t>
        </is>
      </c>
      <c r="D163" s="25" t="n">
        <v>0</v>
      </c>
      <c r="E163" s="25" t="n">
        <v>0</v>
      </c>
      <c r="F163" s="25" t="n">
        <v>0</v>
      </c>
      <c r="G163" s="8" t="n">
        <v>2</v>
      </c>
      <c r="H163" s="25" t="n">
        <v>0</v>
      </c>
      <c r="I163" s="25" t="n">
        <v>0</v>
      </c>
      <c r="J163" s="25" t="n">
        <v>0</v>
      </c>
      <c r="K163" s="8" t="n">
        <v>8</v>
      </c>
      <c r="L163" s="25" t="n">
        <v>0</v>
      </c>
      <c r="M163" s="25" t="n">
        <v>0</v>
      </c>
      <c r="N163" s="25" t="n">
        <v>0</v>
      </c>
      <c r="O163" s="19">
        <f>SUM(D163:N163)</f>
        <v/>
      </c>
      <c r="P163" s="10" t="inlineStr">
        <is>
          <t>-</t>
        </is>
      </c>
    </row>
    <row r="164">
      <c r="A164" s="26" t="n">
        <v>82</v>
      </c>
      <c r="B164" s="32" t="inlineStr">
        <is>
          <t>Престиж Уелнес Пробиотик 103гр</t>
        </is>
      </c>
      <c r="C164" s="26" t="inlineStr">
        <is>
          <t>-</t>
        </is>
      </c>
      <c r="D164" s="29" t="n">
        <v>0</v>
      </c>
      <c r="E164" s="29" t="n">
        <v>0</v>
      </c>
      <c r="F164" s="29" t="n">
        <v>0</v>
      </c>
      <c r="G164" s="30" t="n">
        <v>2</v>
      </c>
      <c r="H164" s="29" t="n">
        <v>0</v>
      </c>
      <c r="I164" s="30" t="n">
        <v>2</v>
      </c>
      <c r="J164" s="29" t="n">
        <v>0</v>
      </c>
      <c r="K164" s="29" t="n">
        <v>0</v>
      </c>
      <c r="L164" s="29" t="n">
        <v>0</v>
      </c>
      <c r="M164" s="29" t="n">
        <v>0</v>
      </c>
      <c r="N164" s="29" t="n">
        <v>0</v>
      </c>
      <c r="O164" s="19">
        <f>SUM(D164:N164)</f>
        <v/>
      </c>
      <c r="P164" s="10" t="inlineStr">
        <is>
          <t>-</t>
        </is>
      </c>
    </row>
    <row r="165">
      <c r="A165" s="10" t="n">
        <v>83</v>
      </c>
      <c r="B165" s="6" t="inlineStr">
        <is>
          <t>Престиж Уелнес вафли какао 135гр</t>
        </is>
      </c>
      <c r="C165" s="10" t="inlineStr">
        <is>
          <t>-</t>
        </is>
      </c>
      <c r="D165" s="25" t="n">
        <v>0</v>
      </c>
      <c r="E165" s="8" t="n">
        <v>4</v>
      </c>
      <c r="F165" s="25" t="n">
        <v>0</v>
      </c>
      <c r="G165" s="8" t="n">
        <v>6</v>
      </c>
      <c r="H165" s="8" t="n">
        <v>6</v>
      </c>
      <c r="I165" s="25" t="n">
        <v>0</v>
      </c>
      <c r="J165" s="8" t="n">
        <v>4</v>
      </c>
      <c r="K165" s="25" t="n">
        <v>0</v>
      </c>
      <c r="L165" s="25" t="n">
        <v>0</v>
      </c>
      <c r="M165" s="25" t="n">
        <v>0</v>
      </c>
      <c r="N165" s="25" t="n">
        <v>0</v>
      </c>
      <c r="O165" s="19">
        <f>SUM(D165:N165)</f>
        <v/>
      </c>
      <c r="P165" s="10" t="inlineStr">
        <is>
          <t>-</t>
        </is>
      </c>
    </row>
    <row r="166">
      <c r="A166" s="26" t="n">
        <v>84</v>
      </c>
      <c r="B166" s="32" t="inlineStr">
        <is>
          <t>Престиж Уелнес вафли какао 35гр</t>
        </is>
      </c>
      <c r="C166" s="26" t="inlineStr">
        <is>
          <t>-</t>
        </is>
      </c>
      <c r="D166" s="29" t="n">
        <v>0</v>
      </c>
      <c r="E166" s="29" t="n">
        <v>0</v>
      </c>
      <c r="F166" s="29" t="n">
        <v>0</v>
      </c>
      <c r="G166" s="30" t="n">
        <v>22</v>
      </c>
      <c r="H166" s="29" t="n">
        <v>0</v>
      </c>
      <c r="I166" s="29" t="n">
        <v>0</v>
      </c>
      <c r="J166" s="29" t="n">
        <v>0</v>
      </c>
      <c r="K166" s="29" t="n">
        <v>0</v>
      </c>
      <c r="L166" s="29" t="n">
        <v>0</v>
      </c>
      <c r="M166" s="29" t="n">
        <v>0</v>
      </c>
      <c r="N166" s="29" t="n">
        <v>0</v>
      </c>
      <c r="O166" s="19">
        <f>SUM(D166:N166)</f>
        <v/>
      </c>
      <c r="P166" s="10" t="inlineStr">
        <is>
          <t>-</t>
        </is>
      </c>
    </row>
    <row r="167">
      <c r="A167" s="10" t="n">
        <v>85</v>
      </c>
      <c r="B167" s="6" t="inlineStr">
        <is>
          <t>Престиж Уелнес вафли тахан 135гр</t>
        </is>
      </c>
      <c r="C167" s="10" t="inlineStr">
        <is>
          <t>-</t>
        </is>
      </c>
      <c r="D167" s="25" t="n">
        <v>0</v>
      </c>
      <c r="E167" s="8" t="n">
        <v>4</v>
      </c>
      <c r="F167" s="25" t="n">
        <v>0</v>
      </c>
      <c r="G167" s="8" t="n">
        <v>2</v>
      </c>
      <c r="H167" s="25" t="n">
        <v>0</v>
      </c>
      <c r="I167" s="8" t="n">
        <v>2</v>
      </c>
      <c r="J167" s="25" t="n">
        <v>0</v>
      </c>
      <c r="K167" s="25" t="n">
        <v>0</v>
      </c>
      <c r="L167" s="25" t="n">
        <v>0</v>
      </c>
      <c r="M167" s="25" t="n">
        <v>0</v>
      </c>
      <c r="N167" s="8" t="n">
        <v>8</v>
      </c>
      <c r="O167" s="19">
        <f>SUM(D167:N167)</f>
        <v/>
      </c>
      <c r="P167" s="10" t="inlineStr">
        <is>
          <t>-</t>
        </is>
      </c>
    </row>
    <row r="168">
      <c r="A168" s="26" t="n">
        <v>86</v>
      </c>
      <c r="B168" s="32" t="inlineStr">
        <is>
          <t>Престиж Хипер Вафлена торта 167/200гр</t>
        </is>
      </c>
      <c r="C168" s="26" t="inlineStr">
        <is>
          <t>-</t>
        </is>
      </c>
      <c r="D168" s="29" t="n">
        <v>0</v>
      </c>
      <c r="E168" s="29" t="n">
        <v>0</v>
      </c>
      <c r="F168" s="29" t="n">
        <v>0</v>
      </c>
      <c r="G168" s="29" t="n">
        <v>0</v>
      </c>
      <c r="H168" s="30" t="n">
        <v>6</v>
      </c>
      <c r="I168" s="29" t="n">
        <v>0</v>
      </c>
      <c r="J168" s="29" t="n">
        <v>0</v>
      </c>
      <c r="K168" s="29" t="n">
        <v>0</v>
      </c>
      <c r="L168" s="29" t="n">
        <v>0</v>
      </c>
      <c r="M168" s="29" t="n">
        <v>0</v>
      </c>
      <c r="N168" s="29" t="n">
        <v>0</v>
      </c>
      <c r="O168" s="19">
        <f>SUM(D168:N168)</f>
        <v/>
      </c>
      <c r="P168" s="10" t="inlineStr">
        <is>
          <t>-</t>
        </is>
      </c>
    </row>
    <row r="169">
      <c r="A169" s="10" t="n">
        <v>87</v>
      </c>
      <c r="B169" s="6" t="inlineStr">
        <is>
          <t>Престиж бисквити Soft Cookies 120гр</t>
        </is>
      </c>
      <c r="C169" s="10" t="inlineStr">
        <is>
          <t>-</t>
        </is>
      </c>
      <c r="D169" s="25" t="n">
        <v>0</v>
      </c>
      <c r="E169" s="8" t="n">
        <v>10</v>
      </c>
      <c r="F169" s="25" t="n">
        <v>0</v>
      </c>
      <c r="G169" s="25" t="n">
        <v>0</v>
      </c>
      <c r="H169" s="25" t="n">
        <v>0</v>
      </c>
      <c r="I169" s="25" t="n">
        <v>0</v>
      </c>
      <c r="J169" s="25" t="n">
        <v>0</v>
      </c>
      <c r="K169" s="25" t="n">
        <v>0</v>
      </c>
      <c r="L169" s="25" t="n">
        <v>0</v>
      </c>
      <c r="M169" s="25" t="n">
        <v>0</v>
      </c>
      <c r="N169" s="25" t="n">
        <v>0</v>
      </c>
      <c r="O169" s="19">
        <f>SUM(D169:N169)</f>
        <v/>
      </c>
      <c r="P169" s="10" t="inlineStr">
        <is>
          <t>-</t>
        </is>
      </c>
    </row>
    <row r="170">
      <c r="A170" s="26" t="n">
        <v>88</v>
      </c>
      <c r="B170" s="32" t="inlineStr">
        <is>
          <t>Престиж суха паста видове 50гр</t>
        </is>
      </c>
      <c r="C170" s="26" t="inlineStr">
        <is>
          <t>-</t>
        </is>
      </c>
      <c r="D170" s="29" t="n">
        <v>0</v>
      </c>
      <c r="E170" s="30" t="n">
        <v>2</v>
      </c>
      <c r="F170" s="29" t="n">
        <v>0</v>
      </c>
      <c r="G170" s="30" t="n">
        <v>80</v>
      </c>
      <c r="H170" s="29" t="n">
        <v>0</v>
      </c>
      <c r="I170" s="30" t="n">
        <v>40</v>
      </c>
      <c r="J170" s="29" t="n">
        <v>0</v>
      </c>
      <c r="K170" s="29" t="n">
        <v>0</v>
      </c>
      <c r="L170" s="29" t="n">
        <v>0</v>
      </c>
      <c r="M170" s="29" t="n">
        <v>0</v>
      </c>
      <c r="N170" s="30" t="n">
        <v>98</v>
      </c>
      <c r="O170" s="19">
        <f>SUM(D170:N170)</f>
        <v/>
      </c>
      <c r="P170" s="10" t="inlineStr">
        <is>
          <t>-</t>
        </is>
      </c>
    </row>
    <row r="171">
      <c r="A171" s="13" t="inlineStr"/>
      <c r="B171" s="13" t="inlineStr">
        <is>
          <t>ОБЩО (бр.)</t>
        </is>
      </c>
      <c r="C171" s="16" t="inlineStr">
        <is>
          <t>-</t>
        </is>
      </c>
      <c r="D171" s="15">
        <f>SUM(D83:D170)</f>
        <v/>
      </c>
      <c r="E171" s="15">
        <f>SUM(E83:E170)</f>
        <v/>
      </c>
      <c r="F171" s="15">
        <f>SUM(F83:F170)</f>
        <v/>
      </c>
      <c r="G171" s="15">
        <f>SUM(G83:G170)</f>
        <v/>
      </c>
      <c r="H171" s="15">
        <f>SUM(H83:H170)</f>
        <v/>
      </c>
      <c r="I171" s="15">
        <f>SUM(I83:I170)</f>
        <v/>
      </c>
      <c r="J171" s="15">
        <f>SUM(J83:J170)</f>
        <v/>
      </c>
      <c r="K171" s="15">
        <f>SUM(K83:K170)</f>
        <v/>
      </c>
      <c r="L171" s="15">
        <f>SUM(L83:L170)</f>
        <v/>
      </c>
      <c r="M171" s="15">
        <f>SUM(M83:M170)</f>
        <v/>
      </c>
      <c r="N171" s="15">
        <f>SUM(N83:N170)</f>
        <v/>
      </c>
      <c r="O171" s="15">
        <f>SUM(O83:O170)</f>
        <v/>
      </c>
      <c r="P171" s="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2026-10-06T09:09:49Z</dcterms:created>
  <dcterms:modified xmlns:dcterms="http://purl.org/dc/terms/" xmlns:xsi="http://www.w3.org/2001/XMLSchema-instance" xsi:type="dcterms:W3CDTF">2026-10-06T09:09:50Z</dcterms:modified>
</cp:coreProperties>
</file>