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анка_Предложения" sheetId="1" state="visible" r:id="rId1"/>
    <sheet xmlns:r="http://schemas.openxmlformats.org/officeDocument/2006/relationships" name="График_2027" sheetId="2" state="visible" r:id="rId2"/>
    <sheet xmlns:r="http://schemas.openxmlformats.org/officeDocument/2006/relationships" name="Инструкции_и_ДТУ" sheetId="3" state="visible" r:id="rId3"/>
    <sheet xmlns:r="http://schemas.openxmlformats.org/officeDocument/2006/relationships" name="Експорт_Предпечат" sheetId="4" state="visible" r:id="rId4"/>
    <sheet xmlns:r="http://schemas.openxmlformats.org/officeDocument/2006/relationships" name="Експорт_Мистрал_ER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E2E8F0"/>
      <sz val="11"/>
    </font>
    <font>
      <name val="Calibri"/>
      <b val="1"/>
      <color rgb="001E293B"/>
      <sz val="11"/>
    </font>
    <font>
      <name val="Calibri"/>
      <b val="1"/>
      <color rgb="000F172A"/>
      <sz val="10"/>
    </font>
    <font>
      <name val="Calibri"/>
      <b val="1"/>
      <color rgb="001B365D"/>
      <sz val="12"/>
    </font>
    <font>
      <name val="Calibri"/>
      <color rgb="000F172A"/>
      <sz val="10"/>
    </font>
    <font>
      <name val="Calibri"/>
      <b val="1"/>
      <color rgb="0092400E"/>
      <sz val="9"/>
    </font>
    <font>
      <name val="Calibri"/>
      <b val="1"/>
      <color rgb="00475569"/>
      <sz val="9"/>
    </font>
    <font>
      <name val="Calibri"/>
      <b val="1"/>
      <color rgb="00FFFFFF"/>
      <sz val="10"/>
    </font>
    <font>
      <name val="Calibri"/>
      <i val="1"/>
      <color rgb="0064748B"/>
      <sz val="9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BEAFE"/>
        <bgColor rgb="00DBEAFE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1E40AF"/>
        <bgColor rgb="001E40AF"/>
      </patternFill>
    </fill>
    <fill>
      <patternFill patternType="solid">
        <fgColor rgb="00DCFCE7"/>
        <bgColor rgb="00DCFCE7"/>
      </patternFill>
    </fill>
    <fill>
      <patternFill patternType="solid">
        <fgColor rgb="00D97706"/>
        <bgColor rgb="00D97706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475569"/>
      </left>
      <right style="thin">
        <color rgb="00475569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1" fontId="6" fillId="4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9" fillId="2" borderId="3" applyAlignment="1" pivotButton="0" quotePrefix="0" xfId="0">
      <alignment horizontal="right" vertical="center" indent="1"/>
    </xf>
    <xf numFmtId="0" fontId="0" fillId="2" borderId="0" pivotButton="0" quotePrefix="0" xfId="0"/>
    <xf numFmtId="164" fontId="9" fillId="2" borderId="3" applyAlignment="1" pivotButton="0" quotePrefix="0" xfId="0">
      <alignment horizontal="right" vertical="center"/>
    </xf>
    <xf numFmtId="3" fontId="9" fillId="2" borderId="3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2"/>
    </xf>
    <xf numFmtId="0" fontId="9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854D0E"/>
        <sz val="10"/>
      </font>
      <fill>
        <patternFill patternType="solid">
          <fgColor rgb="00FEF9C3"/>
          <bgColor rgb="00FEF9C3"/>
        </patternFill>
      </fill>
    </dxf>
    <dxf>
      <font>
        <name val="Calibri"/>
        <b val="1"/>
        <color rgb="00991B1B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showGridLines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34" customWidth="1" min="4" max="4"/>
    <col width="10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3" customWidth="1" min="12" max="12"/>
    <col width="14" customWidth="1" min="13" max="13"/>
    <col width="14" customWidth="1" min="14" max="14"/>
    <col width="13" customWidth="1" min="15" max="15"/>
    <col width="8" customWidth="1" min="16" max="16"/>
    <col width="25" customWidth="1" min="17" max="17"/>
  </cols>
  <sheetData>
    <row r="1" ht="28" customHeight="1">
      <c r="A1" s="1" t="inlineStr">
        <is>
          <t>ВЕРИГА СУПЕРМАРКЕТИ „БАКАЛИЯ“ — ЦЕНТРАЛЕН ТЪРГОВСКИ ОФИС</t>
        </is>
      </c>
    </row>
    <row r="2" ht="20" customHeight="1">
      <c r="A2" s="2" t="inlineStr">
        <is>
          <t>СТАНДАРТИЗИРАНА БЛАНКА ЗА ОФЕРИРАНЕ НА АРТИКУЛИ ЗА ПРОМОЦИОНАЛНА БРОШУРА (2027 Г.)</t>
        </is>
      </c>
    </row>
    <row r="3" ht="8" customHeight="1"/>
    <row r="4" ht="24" customHeight="1">
      <c r="A4" s="3" t="inlineStr">
        <is>
          <t>📅 1. ПАРАМЕТРИ НА КАМПАНИЯТА</t>
        </is>
      </c>
      <c r="I4" s="3" t="inlineStr">
        <is>
          <t>🏢 2. ДАННИ ЗА ПАРТНЬОРА / ДОСТАВЧИКА</t>
        </is>
      </c>
    </row>
    <row r="5" ht="22" customHeight="1">
      <c r="A5" s="4" t="inlineStr">
        <is>
          <t>Целева Брошура (падащ списък):</t>
        </is>
      </c>
      <c r="D5" s="5" t="inlineStr">
        <is>
          <t>Брошура № 01</t>
        </is>
      </c>
      <c r="I5" s="4" t="inlineStr">
        <is>
          <t>Фирма / Контрагент:</t>
        </is>
      </c>
      <c r="L5" s="6" t="inlineStr">
        <is>
          <t>Въведете фирма</t>
        </is>
      </c>
    </row>
    <row r="6" ht="22" customHeight="1">
      <c r="A6" s="4" t="inlineStr">
        <is>
          <t>Период на промоцията в магазините:</t>
        </is>
      </c>
      <c r="D6" s="7">
        <f>VLOOKUP(D5, График_2027!$A$3:$I$27, 4, FALSE)</f>
        <v/>
      </c>
      <c r="I6" s="4" t="inlineStr">
        <is>
          <t>Бранд / Търговска марка:</t>
        </is>
      </c>
      <c r="L6" s="6" t="inlineStr">
        <is>
          <t>Въведете бранд</t>
        </is>
      </c>
    </row>
    <row r="7" ht="22" customHeight="1">
      <c r="A7" s="4" t="inlineStr">
        <is>
          <t>Период намалена доставна цена (ЗКП):</t>
        </is>
      </c>
      <c r="D7" s="7">
        <f>VLOOKUP(D5, График_2027!$A$3:$I$27, 6, FALSE)</f>
        <v/>
      </c>
      <c r="I7" s="4" t="inlineStr">
        <is>
          <t>Лице за контакт:</t>
        </is>
      </c>
      <c r="L7" s="6" t="inlineStr">
        <is>
          <t>Име и фамилия</t>
        </is>
      </c>
    </row>
    <row r="8" ht="22" customHeight="1">
      <c r="A8" s="4" t="inlineStr">
        <is>
          <t>Краен срок за връщане на бланката:</t>
        </is>
      </c>
      <c r="D8" s="7">
        <f>VLOOKUP(D5, График_2027!$A$3:$I$27, 7, FALSE) &amp; " (до 17:00 ч.)"</f>
        <v/>
      </c>
      <c r="I8" s="4" t="inlineStr">
        <is>
          <t>Телефон и Имейл за връзка:</t>
        </is>
      </c>
      <c r="L8" s="6" t="inlineStr">
        <is>
          <t>тел. / имейл</t>
        </is>
      </c>
    </row>
    <row r="9" ht="6" customHeight="1"/>
    <row r="10" ht="22" customHeight="1">
      <c r="A10" s="8" t="inlineStr">
        <is>
          <t>⚠️ ВАЖНО: 1) Промоционалната доставна цена (ЗКП) влиза в сила точно 7 дни преди старта на брошурата! 2) Попълвайте само жълтите полета. 3) Формулите за марж, отстъпки и статуси се смятат автоматично.</t>
        </is>
      </c>
    </row>
    <row r="11" ht="18" customHeight="1">
      <c r="A11" s="9" t="inlineStr">
        <is>
          <t>БРОЙ ПРЕДЛОЖЕНИЯ</t>
        </is>
      </c>
      <c r="D11" s="9" t="inlineStr">
        <is>
          <t>СРЕДНА ТО НА ВХОДА</t>
        </is>
      </c>
      <c r="G11" s="9" t="inlineStr">
        <is>
          <t>СРЕДНО НАМАЛЕНИЕ ЗА КЛИЕНТА</t>
        </is>
      </c>
      <c r="J11" s="9" t="inlineStr">
        <is>
          <t>СРЕДЕН ПРОГНОЗЕН МАРЖ</t>
        </is>
      </c>
      <c r="N11" s="9" t="inlineStr">
        <is>
          <t>ОБЩ БРОЙ КАРЕТА / УЧАСТИЯ</t>
        </is>
      </c>
    </row>
    <row r="12" ht="24" customHeight="1">
      <c r="A12" s="10">
        <f>COUNTA(D15:D49)</f>
        <v/>
      </c>
      <c r="D12" s="11">
        <f>IFERROR(AVERAGE(I15:I49), 0)</f>
        <v/>
      </c>
      <c r="G12" s="11">
        <f>IFERROR(AVERAGE(L15:L49), 0)</f>
        <v/>
      </c>
      <c r="J12" s="11">
        <f>IFERROR(AVERAGE(M15:M49), 0)</f>
        <v/>
      </c>
      <c r="N12" s="10">
        <f>SUM(P15:P49)</f>
        <v/>
      </c>
    </row>
    <row r="13" ht="6" customHeight="1"/>
    <row r="14" ht="36" customHeight="1">
      <c r="A14" s="12" t="inlineStr">
        <is>
          <t>№</t>
        </is>
      </c>
      <c r="B14" s="12" t="inlineStr">
        <is>
          <t>Код в Бакалия
(Мистрал ID)</t>
        </is>
      </c>
      <c r="C14" s="12" t="inlineStr">
        <is>
          <t>Баркод
(EAN-13)</t>
        </is>
      </c>
      <c r="D14" s="12" t="inlineStr">
        <is>
          <t>Наименование на артикула
(по етикет в каре)</t>
        </is>
      </c>
      <c r="E14" s="12" t="inlineStr">
        <is>
          <t>Мярка
/ Грамаж</t>
        </is>
      </c>
      <c r="F14" s="12" t="inlineStr">
        <is>
          <t>Бранд /
Производител</t>
        </is>
      </c>
      <c r="G14" s="12" t="inlineStr">
        <is>
          <t>Редовна Д.Ц.
без ДДС (лв.)</t>
        </is>
      </c>
      <c r="H14" s="12" t="inlineStr">
        <is>
          <t>ПРОМО Д.Ц.
без ДДС (лв.)</t>
        </is>
      </c>
      <c r="I14" s="12" t="inlineStr">
        <is>
          <t>Търговска
отстъпка ТО %</t>
        </is>
      </c>
      <c r="J14" s="12" t="inlineStr">
        <is>
          <t>Редовна П.Ц.
с ДДС (лв.)</t>
        </is>
      </c>
      <c r="K14" s="12" t="inlineStr">
        <is>
          <t>ПРОМО П.Ц.
с ДДС (лв.)</t>
        </is>
      </c>
      <c r="L14" s="12" t="inlineStr">
        <is>
          <t>Клиентска
отстъпка %</t>
        </is>
      </c>
      <c r="M14" s="12" t="inlineStr">
        <is>
          <t>Брутен марж
за Бакалия %</t>
        </is>
      </c>
      <c r="N14" s="12" t="inlineStr">
        <is>
          <t>Статус на
маржа</t>
        </is>
      </c>
      <c r="O14" s="12" t="inlineStr">
        <is>
          <t>Издание
(Период)</t>
        </is>
      </c>
      <c r="P14" s="12" t="inlineStr">
        <is>
          <t>Брой
карета</t>
        </is>
      </c>
      <c r="Q14" s="12" t="inlineStr">
        <is>
          <t>Специфика / Забележка
за предпечата</t>
        </is>
      </c>
    </row>
    <row r="15" ht="22" customHeight="1">
      <c r="A15" s="7" t="n">
        <v>1</v>
      </c>
      <c r="B15" s="13" t="n">
        <v>5075</v>
      </c>
      <c r="C15" s="14" t="inlineStr">
        <is>
          <t>380000000001</t>
        </is>
      </c>
      <c r="D15" s="15" t="inlineStr">
        <is>
          <t>Мляно месо 100% свинско</t>
        </is>
      </c>
      <c r="E15" s="16" t="inlineStr">
        <is>
          <t>кг.</t>
        </is>
      </c>
      <c r="F15" s="17" t="inlineStr">
        <is>
          <t>Собствено</t>
        </is>
      </c>
      <c r="G15" s="18" t="n">
        <v>3.07</v>
      </c>
      <c r="H15" s="19" t="n">
        <v>2.7</v>
      </c>
      <c r="I15" s="20">
        <f>IF(AND(ISNUMBER(G15),ISNUMBER(H15),G15&gt;0),(G15-H15)/G15,"")</f>
        <v/>
      </c>
      <c r="J15" s="18" t="n">
        <v>4.99</v>
      </c>
      <c r="K15" s="19" t="n">
        <v>3.99</v>
      </c>
      <c r="L15" s="21">
        <f>IF(AND(ISNUMBER(J15),ISNUMBER(K15),J15&gt;0),(J15-K15)/J15,"")</f>
        <v/>
      </c>
      <c r="M15" s="20">
        <f>IF(AND(ISNUMBER(K15),ISNUMBER(H15),K15&gt;0),((K15/1.2)-H15)/(K15/1.2),"")</f>
        <v/>
      </c>
      <c r="N15" s="7">
        <f>IF(M15="","",IF(M15&gt;=0.22,"🟢 Отличен",IF(M15&gt;=0.15,"🟡 За преглед","🔴 Нисък марж")))</f>
        <v/>
      </c>
      <c r="O15" s="16" t="inlineStr">
        <is>
          <t>Брошура 1</t>
        </is>
      </c>
      <c r="P15" s="22" t="n">
        <v>1</v>
      </c>
      <c r="Q15" s="23" t="inlineStr">
        <is>
          <t>Корица / ТОП цена</t>
        </is>
      </c>
    </row>
    <row r="16" ht="22" customHeight="1">
      <c r="A16" s="7" t="n">
        <v>2</v>
      </c>
      <c r="B16" s="13" t="n">
        <v>18974</v>
      </c>
      <c r="C16" s="14" t="inlineStr">
        <is>
          <t>380000000002</t>
        </is>
      </c>
      <c r="D16" s="15" t="inlineStr">
        <is>
          <t>Кет Джой пастет за котки</t>
        </is>
      </c>
      <c r="E16" s="16" t="inlineStr">
        <is>
          <t>100гр.</t>
        </is>
      </c>
      <c r="F16" s="17" t="inlineStr">
        <is>
          <t>Кет Джой</t>
        </is>
      </c>
      <c r="G16" s="18" t="n">
        <v>0.39</v>
      </c>
      <c r="H16" s="19" t="n">
        <v>0.32</v>
      </c>
      <c r="I16" s="20">
        <f>IF(AND(ISNUMBER(G16),ISNUMBER(H16),G16&gt;0),(G16-H16)/G16,"")</f>
        <v/>
      </c>
      <c r="J16" s="18" t="n">
        <v>0.79</v>
      </c>
      <c r="K16" s="19" t="n">
        <v>0.49</v>
      </c>
      <c r="L16" s="21">
        <f>IF(AND(ISNUMBER(J16),ISNUMBER(K16),J16&gt;0),(J16-K16)/J16,"")</f>
        <v/>
      </c>
      <c r="M16" s="20">
        <f>IF(AND(ISNUMBER(K16),ISNUMBER(H16),K16&gt;0),((K16/1.2)-H16)/(K16/1.2),"")</f>
        <v/>
      </c>
      <c r="N16" s="7">
        <f>IF(M16="","",IF(M16&gt;=0.22,"🟢 Отличен",IF(M16&gt;=0.15,"🟡 За преглед","🔴 Нисък марж")))</f>
        <v/>
      </c>
      <c r="O16" s="16" t="inlineStr">
        <is>
          <t>Брошура 1</t>
        </is>
      </c>
      <c r="P16" s="22" t="n">
        <v>1</v>
      </c>
      <c r="Q16" s="23" t="inlineStr">
        <is>
          <t>Различни вкусове</t>
        </is>
      </c>
    </row>
    <row r="17" ht="22" customHeight="1">
      <c r="A17" s="7" t="n">
        <v>3</v>
      </c>
      <c r="B17" s="13" t="n">
        <v>15044</v>
      </c>
      <c r="C17" s="14" t="inlineStr">
        <is>
          <t>380000000003</t>
        </is>
      </c>
      <c r="D17" s="15" t="inlineStr">
        <is>
          <t>Airwick фреш матик пълнител</t>
        </is>
      </c>
      <c r="E17" s="16" t="inlineStr">
        <is>
          <t>250мл.</t>
        </is>
      </c>
      <c r="F17" s="17" t="inlineStr">
        <is>
          <t>Аксон</t>
        </is>
      </c>
      <c r="G17" s="18" t="n">
        <v>5.36</v>
      </c>
      <c r="H17" s="19" t="n">
        <v>4.41</v>
      </c>
      <c r="I17" s="20">
        <f>IF(AND(ISNUMBER(G17),ISNUMBER(H17),G17&gt;0),(G17-H17)/G17,"")</f>
        <v/>
      </c>
      <c r="J17" s="18" t="n">
        <v>7.56</v>
      </c>
      <c r="K17" s="19" t="n">
        <v>4.99</v>
      </c>
      <c r="L17" s="21">
        <f>IF(AND(ISNUMBER(J17),ISNUMBER(K17),J17&gt;0),(J17-K17)/J17,"")</f>
        <v/>
      </c>
      <c r="M17" s="20">
        <f>IF(AND(ISNUMBER(K17),ISNUMBER(H17),K17&gt;0),((K17/1.2)-H17)/(K17/1.2),"")</f>
        <v/>
      </c>
      <c r="N17" s="7">
        <f>IF(M17="","",IF(M17&gt;=0.22,"🟢 Отличен",IF(M17&gt;=0.15,"🟡 За преглед","🔴 Нисък марж")))</f>
        <v/>
      </c>
      <c r="O17" s="16" t="inlineStr">
        <is>
          <t>Брошура 1</t>
        </is>
      </c>
      <c r="P17" s="22" t="n">
        <v>1</v>
      </c>
      <c r="Q17" s="23" t="inlineStr">
        <is>
          <t>Асортимент аромати</t>
        </is>
      </c>
    </row>
    <row r="18" ht="22" customHeight="1">
      <c r="A18" s="7" t="n">
        <v>4</v>
      </c>
      <c r="B18" s="13" t="n">
        <v>7524</v>
      </c>
      <c r="C18" s="14" t="inlineStr">
        <is>
          <t>380000000004</t>
        </is>
      </c>
      <c r="D18" s="15" t="inlineStr">
        <is>
          <t>Аспазия газирани напитки</t>
        </is>
      </c>
      <c r="E18" s="16" t="inlineStr">
        <is>
          <t>2л.</t>
        </is>
      </c>
      <c r="F18" s="17" t="inlineStr">
        <is>
          <t>Аспазия 92</t>
        </is>
      </c>
      <c r="G18" s="18" t="n">
        <v>0.67</v>
      </c>
      <c r="H18" s="19" t="n">
        <v>0.53</v>
      </c>
      <c r="I18" s="20">
        <f>IF(AND(ISNUMBER(G18),ISNUMBER(H18),G18&gt;0),(G18-H18)/G18,"")</f>
        <v/>
      </c>
      <c r="J18" s="18" t="n">
        <v>1.02</v>
      </c>
      <c r="K18" s="19" t="n">
        <v>0.65</v>
      </c>
      <c r="L18" s="21">
        <f>IF(AND(ISNUMBER(J18),ISNUMBER(K18),J18&gt;0),(J18-K18)/J18,"")</f>
        <v/>
      </c>
      <c r="M18" s="20">
        <f>IF(AND(ISNUMBER(K18),ISNUMBER(H18),K18&gt;0),((K18/1.2)-H18)/(K18/1.2),"")</f>
        <v/>
      </c>
      <c r="N18" s="7">
        <f>IF(M18="","",IF(M18&gt;=0.22,"🟢 Отличен",IF(M18&gt;=0.15,"🟡 За преглед","🔴 Нисък марж")))</f>
        <v/>
      </c>
      <c r="O18" s="16" t="inlineStr">
        <is>
          <t>Брошура 2</t>
        </is>
      </c>
      <c r="P18" s="22" t="n">
        <v>1</v>
      </c>
      <c r="Q18" s="23" t="inlineStr">
        <is>
          <t>Портокал / Лимон</t>
        </is>
      </c>
    </row>
    <row r="19" ht="22" customHeight="1">
      <c r="A19" s="7" t="n">
        <v>5</v>
      </c>
      <c r="B19" s="13" t="n">
        <v>5147</v>
      </c>
      <c r="C19" s="14" t="inlineStr">
        <is>
          <t>380000000005</t>
        </is>
      </c>
      <c r="D19" s="15" t="inlineStr">
        <is>
          <t>Здравец кисело мляко 2%</t>
        </is>
      </c>
      <c r="E19" s="16" t="inlineStr">
        <is>
          <t>500гр.</t>
        </is>
      </c>
      <c r="F19" s="17" t="inlineStr">
        <is>
          <t>Бел Групс</t>
        </is>
      </c>
      <c r="G19" s="18" t="n">
        <v>0.72</v>
      </c>
      <c r="H19" s="19" t="n">
        <v>0.61</v>
      </c>
      <c r="I19" s="20">
        <f>IF(AND(ISNUMBER(G19),ISNUMBER(H19),G19&gt;0),(G19-H19)/G19,"")</f>
        <v/>
      </c>
      <c r="J19" s="18" t="n">
        <v>0.96</v>
      </c>
      <c r="K19" s="19" t="n">
        <v>0.79</v>
      </c>
      <c r="L19" s="21">
        <f>IF(AND(ISNUMBER(J19),ISNUMBER(K19),J19&gt;0),(J19-K19)/J19,"")</f>
        <v/>
      </c>
      <c r="M19" s="20">
        <f>IF(AND(ISNUMBER(K19),ISNUMBER(H19),K19&gt;0),((K19/1.2)-H19)/(K19/1.2),"")</f>
        <v/>
      </c>
      <c r="N19" s="7">
        <f>IF(M19="","",IF(M19&gt;=0.22,"🟢 Отличен",IF(M19&gt;=0.15,"🟡 За преглед","🔴 Нисък марж")))</f>
        <v/>
      </c>
      <c r="O19" s="16" t="inlineStr">
        <is>
          <t>Брошура 2</t>
        </is>
      </c>
      <c r="P19" s="22" t="n">
        <v>1</v>
      </c>
      <c r="Q19" s="23" t="inlineStr">
        <is>
          <t>БДС стандарт</t>
        </is>
      </c>
    </row>
    <row r="20" ht="22" customHeight="1">
      <c r="A20" s="7" t="n">
        <v>6</v>
      </c>
      <c r="B20" s="13" t="n"/>
      <c r="C20" s="14" t="n"/>
      <c r="D20" s="17" t="n"/>
      <c r="E20" s="16" t="n"/>
      <c r="F20" s="17" t="n"/>
      <c r="G20" s="18" t="n"/>
      <c r="H20" s="19" t="n"/>
      <c r="I20" s="20">
        <f>IF(AND(ISNUMBER(G20),ISNUMBER(H20),G20&gt;0),(G20-H20)/G20,"")</f>
        <v/>
      </c>
      <c r="J20" s="18" t="n"/>
      <c r="K20" s="19" t="n"/>
      <c r="L20" s="21">
        <f>IF(AND(ISNUMBER(J20),ISNUMBER(K20),J20&gt;0),(J20-K20)/J20,"")</f>
        <v/>
      </c>
      <c r="M20" s="20">
        <f>IF(AND(ISNUMBER(K20),ISNUMBER(H20),K20&gt;0),((K20/1.2)-H20)/(K20/1.2),"")</f>
        <v/>
      </c>
      <c r="N20" s="7">
        <f>IF(M20="","",IF(M20&gt;=0.22,"🟢 Отличен",IF(M20&gt;=0.15,"🟡 За преглед","🔴 Нисък марж")))</f>
        <v/>
      </c>
      <c r="O20" s="16" t="inlineStr">
        <is>
          <t>Брошура 1</t>
        </is>
      </c>
      <c r="P20" s="22" t="n">
        <v>1</v>
      </c>
      <c r="Q20" s="23" t="n"/>
    </row>
    <row r="21" ht="22" customHeight="1">
      <c r="A21" s="7" t="n">
        <v>7</v>
      </c>
      <c r="B21" s="13" t="n"/>
      <c r="C21" s="14" t="n"/>
      <c r="D21" s="17" t="n"/>
      <c r="E21" s="16" t="n"/>
      <c r="F21" s="17" t="n"/>
      <c r="G21" s="18" t="n"/>
      <c r="H21" s="19" t="n"/>
      <c r="I21" s="20">
        <f>IF(AND(ISNUMBER(G21),ISNUMBER(H21),G21&gt;0),(G21-H21)/G21,"")</f>
        <v/>
      </c>
      <c r="J21" s="18" t="n"/>
      <c r="K21" s="19" t="n"/>
      <c r="L21" s="21">
        <f>IF(AND(ISNUMBER(J21),ISNUMBER(K21),J21&gt;0),(J21-K21)/J21,"")</f>
        <v/>
      </c>
      <c r="M21" s="20">
        <f>IF(AND(ISNUMBER(K21),ISNUMBER(H21),K21&gt;0),((K21/1.2)-H21)/(K21/1.2),"")</f>
        <v/>
      </c>
      <c r="N21" s="7">
        <f>IF(M21="","",IF(M21&gt;=0.22,"🟢 Отличен",IF(M21&gt;=0.15,"🟡 За преглед","🔴 Нисък марж")))</f>
        <v/>
      </c>
      <c r="O21" s="16" t="inlineStr">
        <is>
          <t>Брошура 1</t>
        </is>
      </c>
      <c r="P21" s="22" t="n">
        <v>1</v>
      </c>
      <c r="Q21" s="23" t="n"/>
    </row>
    <row r="22" ht="22" customHeight="1">
      <c r="A22" s="7" t="n">
        <v>8</v>
      </c>
      <c r="B22" s="13" t="n"/>
      <c r="C22" s="14" t="n"/>
      <c r="D22" s="17" t="n"/>
      <c r="E22" s="16" t="n"/>
      <c r="F22" s="17" t="n"/>
      <c r="G22" s="18" t="n"/>
      <c r="H22" s="19" t="n"/>
      <c r="I22" s="20">
        <f>IF(AND(ISNUMBER(G22),ISNUMBER(H22),G22&gt;0),(G22-H22)/G22,"")</f>
        <v/>
      </c>
      <c r="J22" s="18" t="n"/>
      <c r="K22" s="19" t="n"/>
      <c r="L22" s="21">
        <f>IF(AND(ISNUMBER(J22),ISNUMBER(K22),J22&gt;0),(J22-K22)/J22,"")</f>
        <v/>
      </c>
      <c r="M22" s="20">
        <f>IF(AND(ISNUMBER(K22),ISNUMBER(H22),K22&gt;0),((K22/1.2)-H22)/(K22/1.2),"")</f>
        <v/>
      </c>
      <c r="N22" s="7">
        <f>IF(M22="","",IF(M22&gt;=0.22,"🟢 Отличен",IF(M22&gt;=0.15,"🟡 За преглед","🔴 Нисък марж")))</f>
        <v/>
      </c>
      <c r="O22" s="16" t="inlineStr">
        <is>
          <t>Брошура 1</t>
        </is>
      </c>
      <c r="P22" s="22" t="n">
        <v>1</v>
      </c>
      <c r="Q22" s="23" t="n"/>
    </row>
    <row r="23" ht="22" customHeight="1">
      <c r="A23" s="7" t="n">
        <v>9</v>
      </c>
      <c r="B23" s="13" t="n"/>
      <c r="C23" s="14" t="n"/>
      <c r="D23" s="17" t="n"/>
      <c r="E23" s="16" t="n"/>
      <c r="F23" s="17" t="n"/>
      <c r="G23" s="18" t="n"/>
      <c r="H23" s="19" t="n"/>
      <c r="I23" s="20">
        <f>IF(AND(ISNUMBER(G23),ISNUMBER(H23),G23&gt;0),(G23-H23)/G23,"")</f>
        <v/>
      </c>
      <c r="J23" s="18" t="n"/>
      <c r="K23" s="19" t="n"/>
      <c r="L23" s="21">
        <f>IF(AND(ISNUMBER(J23),ISNUMBER(K23),J23&gt;0),(J23-K23)/J23,"")</f>
        <v/>
      </c>
      <c r="M23" s="20">
        <f>IF(AND(ISNUMBER(K23),ISNUMBER(H23),K23&gt;0),((K23/1.2)-H23)/(K23/1.2),"")</f>
        <v/>
      </c>
      <c r="N23" s="7">
        <f>IF(M23="","",IF(M23&gt;=0.22,"🟢 Отличен",IF(M23&gt;=0.15,"🟡 За преглед","🔴 Нисък марж")))</f>
        <v/>
      </c>
      <c r="O23" s="16" t="inlineStr">
        <is>
          <t>Брошура 1</t>
        </is>
      </c>
      <c r="P23" s="22" t="n">
        <v>1</v>
      </c>
      <c r="Q23" s="23" t="n"/>
    </row>
    <row r="24" ht="22" customHeight="1">
      <c r="A24" s="7" t="n">
        <v>10</v>
      </c>
      <c r="B24" s="13" t="n"/>
      <c r="C24" s="14" t="n"/>
      <c r="D24" s="17" t="n"/>
      <c r="E24" s="16" t="n"/>
      <c r="F24" s="17" t="n"/>
      <c r="G24" s="18" t="n"/>
      <c r="H24" s="19" t="n"/>
      <c r="I24" s="20">
        <f>IF(AND(ISNUMBER(G24),ISNUMBER(H24),G24&gt;0),(G24-H24)/G24,"")</f>
        <v/>
      </c>
      <c r="J24" s="18" t="n"/>
      <c r="K24" s="19" t="n"/>
      <c r="L24" s="21">
        <f>IF(AND(ISNUMBER(J24),ISNUMBER(K24),J24&gt;0),(J24-K24)/J24,"")</f>
        <v/>
      </c>
      <c r="M24" s="20">
        <f>IF(AND(ISNUMBER(K24),ISNUMBER(H24),K24&gt;0),((K24/1.2)-H24)/(K24/1.2),"")</f>
        <v/>
      </c>
      <c r="N24" s="7">
        <f>IF(M24="","",IF(M24&gt;=0.22,"🟢 Отличен",IF(M24&gt;=0.15,"🟡 За преглед","🔴 Нисък марж")))</f>
        <v/>
      </c>
      <c r="O24" s="16" t="inlineStr">
        <is>
          <t>Брошура 1</t>
        </is>
      </c>
      <c r="P24" s="22" t="n">
        <v>1</v>
      </c>
      <c r="Q24" s="23" t="n"/>
    </row>
    <row r="25" ht="22" customHeight="1">
      <c r="A25" s="7" t="n">
        <v>11</v>
      </c>
      <c r="B25" s="13" t="n"/>
      <c r="C25" s="14" t="n"/>
      <c r="D25" s="17" t="n"/>
      <c r="E25" s="16" t="n"/>
      <c r="F25" s="17" t="n"/>
      <c r="G25" s="18" t="n"/>
      <c r="H25" s="19" t="n"/>
      <c r="I25" s="20">
        <f>IF(AND(ISNUMBER(G25),ISNUMBER(H25),G25&gt;0),(G25-H25)/G25,"")</f>
        <v/>
      </c>
      <c r="J25" s="18" t="n"/>
      <c r="K25" s="19" t="n"/>
      <c r="L25" s="21">
        <f>IF(AND(ISNUMBER(J25),ISNUMBER(K25),J25&gt;0),(J25-K25)/J25,"")</f>
        <v/>
      </c>
      <c r="M25" s="20">
        <f>IF(AND(ISNUMBER(K25),ISNUMBER(H25),K25&gt;0),((K25/1.2)-H25)/(K25/1.2),"")</f>
        <v/>
      </c>
      <c r="N25" s="7">
        <f>IF(M25="","",IF(M25&gt;=0.22,"🟢 Отличен",IF(M25&gt;=0.15,"🟡 За преглед","🔴 Нисък марж")))</f>
        <v/>
      </c>
      <c r="O25" s="16" t="inlineStr">
        <is>
          <t>Брошура 1</t>
        </is>
      </c>
      <c r="P25" s="22" t="n">
        <v>1</v>
      </c>
      <c r="Q25" s="23" t="n"/>
    </row>
    <row r="26" ht="22" customHeight="1">
      <c r="A26" s="7" t="n">
        <v>12</v>
      </c>
      <c r="B26" s="13" t="n"/>
      <c r="C26" s="14" t="n"/>
      <c r="D26" s="17" t="n"/>
      <c r="E26" s="16" t="n"/>
      <c r="F26" s="17" t="n"/>
      <c r="G26" s="18" t="n"/>
      <c r="H26" s="19" t="n"/>
      <c r="I26" s="20">
        <f>IF(AND(ISNUMBER(G26),ISNUMBER(H26),G26&gt;0),(G26-H26)/G26,"")</f>
        <v/>
      </c>
      <c r="J26" s="18" t="n"/>
      <c r="K26" s="19" t="n"/>
      <c r="L26" s="21">
        <f>IF(AND(ISNUMBER(J26),ISNUMBER(K26),J26&gt;0),(J26-K26)/J26,"")</f>
        <v/>
      </c>
      <c r="M26" s="20">
        <f>IF(AND(ISNUMBER(K26),ISNUMBER(H26),K26&gt;0),((K26/1.2)-H26)/(K26/1.2),"")</f>
        <v/>
      </c>
      <c r="N26" s="7">
        <f>IF(M26="","",IF(M26&gt;=0.22,"🟢 Отличен",IF(M26&gt;=0.15,"🟡 За преглед","🔴 Нисък марж")))</f>
        <v/>
      </c>
      <c r="O26" s="16" t="inlineStr">
        <is>
          <t>Брошура 1</t>
        </is>
      </c>
      <c r="P26" s="22" t="n">
        <v>1</v>
      </c>
      <c r="Q26" s="23" t="n"/>
    </row>
    <row r="27" ht="22" customHeight="1">
      <c r="A27" s="7" t="n">
        <v>13</v>
      </c>
      <c r="B27" s="13" t="n"/>
      <c r="C27" s="14" t="n"/>
      <c r="D27" s="17" t="n"/>
      <c r="E27" s="16" t="n"/>
      <c r="F27" s="17" t="n"/>
      <c r="G27" s="18" t="n"/>
      <c r="H27" s="19" t="n"/>
      <c r="I27" s="20">
        <f>IF(AND(ISNUMBER(G27),ISNUMBER(H27),G27&gt;0),(G27-H27)/G27,"")</f>
        <v/>
      </c>
      <c r="J27" s="18" t="n"/>
      <c r="K27" s="19" t="n"/>
      <c r="L27" s="21">
        <f>IF(AND(ISNUMBER(J27),ISNUMBER(K27),J27&gt;0),(J27-K27)/J27,"")</f>
        <v/>
      </c>
      <c r="M27" s="20">
        <f>IF(AND(ISNUMBER(K27),ISNUMBER(H27),K27&gt;0),((K27/1.2)-H27)/(K27/1.2),"")</f>
        <v/>
      </c>
      <c r="N27" s="7">
        <f>IF(M27="","",IF(M27&gt;=0.22,"🟢 Отличен",IF(M27&gt;=0.15,"🟡 За преглед","🔴 Нисък марж")))</f>
        <v/>
      </c>
      <c r="O27" s="16" t="inlineStr">
        <is>
          <t>Брошура 1</t>
        </is>
      </c>
      <c r="P27" s="22" t="n">
        <v>1</v>
      </c>
      <c r="Q27" s="23" t="n"/>
    </row>
    <row r="28" ht="22" customHeight="1">
      <c r="A28" s="7" t="n">
        <v>14</v>
      </c>
      <c r="B28" s="13" t="n"/>
      <c r="C28" s="14" t="n"/>
      <c r="D28" s="17" t="n"/>
      <c r="E28" s="16" t="n"/>
      <c r="F28" s="17" t="n"/>
      <c r="G28" s="18" t="n"/>
      <c r="H28" s="19" t="n"/>
      <c r="I28" s="20">
        <f>IF(AND(ISNUMBER(G28),ISNUMBER(H28),G28&gt;0),(G28-H28)/G28,"")</f>
        <v/>
      </c>
      <c r="J28" s="18" t="n"/>
      <c r="K28" s="19" t="n"/>
      <c r="L28" s="21">
        <f>IF(AND(ISNUMBER(J28),ISNUMBER(K28),J28&gt;0),(J28-K28)/J28,"")</f>
        <v/>
      </c>
      <c r="M28" s="20">
        <f>IF(AND(ISNUMBER(K28),ISNUMBER(H28),K28&gt;0),((K28/1.2)-H28)/(K28/1.2),"")</f>
        <v/>
      </c>
      <c r="N28" s="7">
        <f>IF(M28="","",IF(M28&gt;=0.22,"🟢 Отличен",IF(M28&gt;=0.15,"🟡 За преглед","🔴 Нисък марж")))</f>
        <v/>
      </c>
      <c r="O28" s="16" t="inlineStr">
        <is>
          <t>Брошура 1</t>
        </is>
      </c>
      <c r="P28" s="22" t="n">
        <v>1</v>
      </c>
      <c r="Q28" s="23" t="n"/>
    </row>
    <row r="29" ht="22" customHeight="1">
      <c r="A29" s="7" t="n">
        <v>15</v>
      </c>
      <c r="B29" s="13" t="n"/>
      <c r="C29" s="14" t="n"/>
      <c r="D29" s="17" t="n"/>
      <c r="E29" s="16" t="n"/>
      <c r="F29" s="17" t="n"/>
      <c r="G29" s="18" t="n"/>
      <c r="H29" s="19" t="n"/>
      <c r="I29" s="20">
        <f>IF(AND(ISNUMBER(G29),ISNUMBER(H29),G29&gt;0),(G29-H29)/G29,"")</f>
        <v/>
      </c>
      <c r="J29" s="18" t="n"/>
      <c r="K29" s="19" t="n"/>
      <c r="L29" s="21">
        <f>IF(AND(ISNUMBER(J29),ISNUMBER(K29),J29&gt;0),(J29-K29)/J29,"")</f>
        <v/>
      </c>
      <c r="M29" s="20">
        <f>IF(AND(ISNUMBER(K29),ISNUMBER(H29),K29&gt;0),((K29/1.2)-H29)/(K29/1.2),"")</f>
        <v/>
      </c>
      <c r="N29" s="7">
        <f>IF(M29="","",IF(M29&gt;=0.22,"🟢 Отличен",IF(M29&gt;=0.15,"🟡 За преглед","🔴 Нисък марж")))</f>
        <v/>
      </c>
      <c r="O29" s="16" t="inlineStr">
        <is>
          <t>Брошура 1</t>
        </is>
      </c>
      <c r="P29" s="22" t="n">
        <v>1</v>
      </c>
      <c r="Q29" s="23" t="n"/>
    </row>
    <row r="30" ht="22" customHeight="1">
      <c r="A30" s="7" t="n">
        <v>16</v>
      </c>
      <c r="B30" s="13" t="n"/>
      <c r="C30" s="14" t="n"/>
      <c r="D30" s="17" t="n"/>
      <c r="E30" s="16" t="n"/>
      <c r="F30" s="17" t="n"/>
      <c r="G30" s="18" t="n"/>
      <c r="H30" s="19" t="n"/>
      <c r="I30" s="20">
        <f>IF(AND(ISNUMBER(G30),ISNUMBER(H30),G30&gt;0),(G30-H30)/G30,"")</f>
        <v/>
      </c>
      <c r="J30" s="18" t="n"/>
      <c r="K30" s="19" t="n"/>
      <c r="L30" s="21">
        <f>IF(AND(ISNUMBER(J30),ISNUMBER(K30),J30&gt;0),(J30-K30)/J30,"")</f>
        <v/>
      </c>
      <c r="M30" s="20">
        <f>IF(AND(ISNUMBER(K30),ISNUMBER(H30),K30&gt;0),((K30/1.2)-H30)/(K30/1.2),"")</f>
        <v/>
      </c>
      <c r="N30" s="7">
        <f>IF(M30="","",IF(M30&gt;=0.22,"🟢 Отличен",IF(M30&gt;=0.15,"🟡 За преглед","🔴 Нисък марж")))</f>
        <v/>
      </c>
      <c r="O30" s="16" t="inlineStr">
        <is>
          <t>Брошура 1</t>
        </is>
      </c>
      <c r="P30" s="22" t="n">
        <v>1</v>
      </c>
      <c r="Q30" s="23" t="n"/>
    </row>
    <row r="31" ht="22" customHeight="1">
      <c r="A31" s="7" t="n">
        <v>17</v>
      </c>
      <c r="B31" s="13" t="n"/>
      <c r="C31" s="14" t="n"/>
      <c r="D31" s="17" t="n"/>
      <c r="E31" s="16" t="n"/>
      <c r="F31" s="17" t="n"/>
      <c r="G31" s="18" t="n"/>
      <c r="H31" s="19" t="n"/>
      <c r="I31" s="20">
        <f>IF(AND(ISNUMBER(G31),ISNUMBER(H31),G31&gt;0),(G31-H31)/G31,"")</f>
        <v/>
      </c>
      <c r="J31" s="18" t="n"/>
      <c r="K31" s="19" t="n"/>
      <c r="L31" s="21">
        <f>IF(AND(ISNUMBER(J31),ISNUMBER(K31),J31&gt;0),(J31-K31)/J31,"")</f>
        <v/>
      </c>
      <c r="M31" s="20">
        <f>IF(AND(ISNUMBER(K31),ISNUMBER(H31),K31&gt;0),((K31/1.2)-H31)/(K31/1.2),"")</f>
        <v/>
      </c>
      <c r="N31" s="7">
        <f>IF(M31="","",IF(M31&gt;=0.22,"🟢 Отличен",IF(M31&gt;=0.15,"🟡 За преглед","🔴 Нисък марж")))</f>
        <v/>
      </c>
      <c r="O31" s="16" t="inlineStr">
        <is>
          <t>Брошура 1</t>
        </is>
      </c>
      <c r="P31" s="22" t="n">
        <v>1</v>
      </c>
      <c r="Q31" s="23" t="n"/>
    </row>
    <row r="32" ht="22" customHeight="1">
      <c r="A32" s="7" t="n">
        <v>18</v>
      </c>
      <c r="B32" s="13" t="n"/>
      <c r="C32" s="14" t="n"/>
      <c r="D32" s="17" t="n"/>
      <c r="E32" s="16" t="n"/>
      <c r="F32" s="17" t="n"/>
      <c r="G32" s="18" t="n"/>
      <c r="H32" s="19" t="n"/>
      <c r="I32" s="20">
        <f>IF(AND(ISNUMBER(G32),ISNUMBER(H32),G32&gt;0),(G32-H32)/G32,"")</f>
        <v/>
      </c>
      <c r="J32" s="18" t="n"/>
      <c r="K32" s="19" t="n"/>
      <c r="L32" s="21">
        <f>IF(AND(ISNUMBER(J32),ISNUMBER(K32),J32&gt;0),(J32-K32)/J32,"")</f>
        <v/>
      </c>
      <c r="M32" s="20">
        <f>IF(AND(ISNUMBER(K32),ISNUMBER(H32),K32&gt;0),((K32/1.2)-H32)/(K32/1.2),"")</f>
        <v/>
      </c>
      <c r="N32" s="7">
        <f>IF(M32="","",IF(M32&gt;=0.22,"🟢 Отличен",IF(M32&gt;=0.15,"🟡 За преглед","🔴 Нисък марж")))</f>
        <v/>
      </c>
      <c r="O32" s="16" t="inlineStr">
        <is>
          <t>Брошура 1</t>
        </is>
      </c>
      <c r="P32" s="22" t="n">
        <v>1</v>
      </c>
      <c r="Q32" s="23" t="n"/>
    </row>
    <row r="33" ht="22" customHeight="1">
      <c r="A33" s="7" t="n">
        <v>19</v>
      </c>
      <c r="B33" s="13" t="n"/>
      <c r="C33" s="14" t="n"/>
      <c r="D33" s="17" t="n"/>
      <c r="E33" s="16" t="n"/>
      <c r="F33" s="17" t="n"/>
      <c r="G33" s="18" t="n"/>
      <c r="H33" s="19" t="n"/>
      <c r="I33" s="20">
        <f>IF(AND(ISNUMBER(G33),ISNUMBER(H33),G33&gt;0),(G33-H33)/G33,"")</f>
        <v/>
      </c>
      <c r="J33" s="18" t="n"/>
      <c r="K33" s="19" t="n"/>
      <c r="L33" s="21">
        <f>IF(AND(ISNUMBER(J33),ISNUMBER(K33),J33&gt;0),(J33-K33)/J33,"")</f>
        <v/>
      </c>
      <c r="M33" s="20">
        <f>IF(AND(ISNUMBER(K33),ISNUMBER(H33),K33&gt;0),((K33/1.2)-H33)/(K33/1.2),"")</f>
        <v/>
      </c>
      <c r="N33" s="7">
        <f>IF(M33="","",IF(M33&gt;=0.22,"🟢 Отличен",IF(M33&gt;=0.15,"🟡 За преглед","🔴 Нисък марж")))</f>
        <v/>
      </c>
      <c r="O33" s="16" t="inlineStr">
        <is>
          <t>Брошура 1</t>
        </is>
      </c>
      <c r="P33" s="22" t="n">
        <v>1</v>
      </c>
      <c r="Q33" s="23" t="n"/>
    </row>
    <row r="34" ht="22" customHeight="1">
      <c r="A34" s="7" t="n">
        <v>20</v>
      </c>
      <c r="B34" s="13" t="n"/>
      <c r="C34" s="14" t="n"/>
      <c r="D34" s="17" t="n"/>
      <c r="E34" s="16" t="n"/>
      <c r="F34" s="17" t="n"/>
      <c r="G34" s="18" t="n"/>
      <c r="H34" s="19" t="n"/>
      <c r="I34" s="20">
        <f>IF(AND(ISNUMBER(G34),ISNUMBER(H34),G34&gt;0),(G34-H34)/G34,"")</f>
        <v/>
      </c>
      <c r="J34" s="18" t="n"/>
      <c r="K34" s="19" t="n"/>
      <c r="L34" s="21">
        <f>IF(AND(ISNUMBER(J34),ISNUMBER(K34),J34&gt;0),(J34-K34)/J34,"")</f>
        <v/>
      </c>
      <c r="M34" s="20">
        <f>IF(AND(ISNUMBER(K34),ISNUMBER(H34),K34&gt;0),((K34/1.2)-H34)/(K34/1.2),"")</f>
        <v/>
      </c>
      <c r="N34" s="7">
        <f>IF(M34="","",IF(M34&gt;=0.22,"🟢 Отличен",IF(M34&gt;=0.15,"🟡 За преглед","🔴 Нисък марж")))</f>
        <v/>
      </c>
      <c r="O34" s="16" t="inlineStr">
        <is>
          <t>Брошура 1</t>
        </is>
      </c>
      <c r="P34" s="22" t="n">
        <v>1</v>
      </c>
      <c r="Q34" s="23" t="n"/>
    </row>
    <row r="35" ht="22" customHeight="1">
      <c r="A35" s="7" t="n">
        <v>21</v>
      </c>
      <c r="B35" s="13" t="n"/>
      <c r="C35" s="14" t="n"/>
      <c r="D35" s="17" t="n"/>
      <c r="E35" s="16" t="n"/>
      <c r="F35" s="17" t="n"/>
      <c r="G35" s="18" t="n"/>
      <c r="H35" s="19" t="n"/>
      <c r="I35" s="20">
        <f>IF(AND(ISNUMBER(G35),ISNUMBER(H35),G35&gt;0),(G35-H35)/G35,"")</f>
        <v/>
      </c>
      <c r="J35" s="18" t="n"/>
      <c r="K35" s="19" t="n"/>
      <c r="L35" s="21">
        <f>IF(AND(ISNUMBER(J35),ISNUMBER(K35),J35&gt;0),(J35-K35)/J35,"")</f>
        <v/>
      </c>
      <c r="M35" s="20">
        <f>IF(AND(ISNUMBER(K35),ISNUMBER(H35),K35&gt;0),((K35/1.2)-H35)/(K35/1.2),"")</f>
        <v/>
      </c>
      <c r="N35" s="7">
        <f>IF(M35="","",IF(M35&gt;=0.22,"🟢 Отличен",IF(M35&gt;=0.15,"🟡 За преглед","🔴 Нисък марж")))</f>
        <v/>
      </c>
      <c r="O35" s="16" t="inlineStr">
        <is>
          <t>Брошура 1</t>
        </is>
      </c>
      <c r="P35" s="22" t="n">
        <v>1</v>
      </c>
      <c r="Q35" s="23" t="n"/>
    </row>
    <row r="36" ht="22" customHeight="1">
      <c r="A36" s="7" t="n">
        <v>22</v>
      </c>
      <c r="B36" s="13" t="n"/>
      <c r="C36" s="14" t="n"/>
      <c r="D36" s="17" t="n"/>
      <c r="E36" s="16" t="n"/>
      <c r="F36" s="17" t="n"/>
      <c r="G36" s="18" t="n"/>
      <c r="H36" s="19" t="n"/>
      <c r="I36" s="20">
        <f>IF(AND(ISNUMBER(G36),ISNUMBER(H36),G36&gt;0),(G36-H36)/G36,"")</f>
        <v/>
      </c>
      <c r="J36" s="18" t="n"/>
      <c r="K36" s="19" t="n"/>
      <c r="L36" s="21">
        <f>IF(AND(ISNUMBER(J36),ISNUMBER(K36),J36&gt;0),(J36-K36)/J36,"")</f>
        <v/>
      </c>
      <c r="M36" s="20">
        <f>IF(AND(ISNUMBER(K36),ISNUMBER(H36),K36&gt;0),((K36/1.2)-H36)/(K36/1.2),"")</f>
        <v/>
      </c>
      <c r="N36" s="7">
        <f>IF(M36="","",IF(M36&gt;=0.22,"🟢 Отличен",IF(M36&gt;=0.15,"🟡 За преглед","🔴 Нисък марж")))</f>
        <v/>
      </c>
      <c r="O36" s="16" t="inlineStr">
        <is>
          <t>Брошура 1</t>
        </is>
      </c>
      <c r="P36" s="22" t="n">
        <v>1</v>
      </c>
      <c r="Q36" s="23" t="n"/>
    </row>
    <row r="37" ht="22" customHeight="1">
      <c r="A37" s="7" t="n">
        <v>23</v>
      </c>
      <c r="B37" s="13" t="n"/>
      <c r="C37" s="14" t="n"/>
      <c r="D37" s="17" t="n"/>
      <c r="E37" s="16" t="n"/>
      <c r="F37" s="17" t="n"/>
      <c r="G37" s="18" t="n"/>
      <c r="H37" s="19" t="n"/>
      <c r="I37" s="20">
        <f>IF(AND(ISNUMBER(G37),ISNUMBER(H37),G37&gt;0),(G37-H37)/G37,"")</f>
        <v/>
      </c>
      <c r="J37" s="18" t="n"/>
      <c r="K37" s="19" t="n"/>
      <c r="L37" s="21">
        <f>IF(AND(ISNUMBER(J37),ISNUMBER(K37),J37&gt;0),(J37-K37)/J37,"")</f>
        <v/>
      </c>
      <c r="M37" s="20">
        <f>IF(AND(ISNUMBER(K37),ISNUMBER(H37),K37&gt;0),((K37/1.2)-H37)/(K37/1.2),"")</f>
        <v/>
      </c>
      <c r="N37" s="7">
        <f>IF(M37="","",IF(M37&gt;=0.22,"🟢 Отличен",IF(M37&gt;=0.15,"🟡 За преглед","🔴 Нисък марж")))</f>
        <v/>
      </c>
      <c r="O37" s="16" t="inlineStr">
        <is>
          <t>Брошура 1</t>
        </is>
      </c>
      <c r="P37" s="22" t="n">
        <v>1</v>
      </c>
      <c r="Q37" s="23" t="n"/>
    </row>
    <row r="38" ht="22" customHeight="1">
      <c r="A38" s="7" t="n">
        <v>24</v>
      </c>
      <c r="B38" s="13" t="n"/>
      <c r="C38" s="14" t="n"/>
      <c r="D38" s="17" t="n"/>
      <c r="E38" s="16" t="n"/>
      <c r="F38" s="17" t="n"/>
      <c r="G38" s="18" t="n"/>
      <c r="H38" s="19" t="n"/>
      <c r="I38" s="20">
        <f>IF(AND(ISNUMBER(G38),ISNUMBER(H38),G38&gt;0),(G38-H38)/G38,"")</f>
        <v/>
      </c>
      <c r="J38" s="18" t="n"/>
      <c r="K38" s="19" t="n"/>
      <c r="L38" s="21">
        <f>IF(AND(ISNUMBER(J38),ISNUMBER(K38),J38&gt;0),(J38-K38)/J38,"")</f>
        <v/>
      </c>
      <c r="M38" s="20">
        <f>IF(AND(ISNUMBER(K38),ISNUMBER(H38),K38&gt;0),((K38/1.2)-H38)/(K38/1.2),"")</f>
        <v/>
      </c>
      <c r="N38" s="7">
        <f>IF(M38="","",IF(M38&gt;=0.22,"🟢 Отличен",IF(M38&gt;=0.15,"🟡 За преглед","🔴 Нисък марж")))</f>
        <v/>
      </c>
      <c r="O38" s="16" t="inlineStr">
        <is>
          <t>Брошура 1</t>
        </is>
      </c>
      <c r="P38" s="22" t="n">
        <v>1</v>
      </c>
      <c r="Q38" s="23" t="n"/>
    </row>
    <row r="39" ht="22" customHeight="1">
      <c r="A39" s="7" t="n">
        <v>25</v>
      </c>
      <c r="B39" s="13" t="n"/>
      <c r="C39" s="14" t="n"/>
      <c r="D39" s="17" t="n"/>
      <c r="E39" s="16" t="n"/>
      <c r="F39" s="17" t="n"/>
      <c r="G39" s="18" t="n"/>
      <c r="H39" s="19" t="n"/>
      <c r="I39" s="20">
        <f>IF(AND(ISNUMBER(G39),ISNUMBER(H39),G39&gt;0),(G39-H39)/G39,"")</f>
        <v/>
      </c>
      <c r="J39" s="18" t="n"/>
      <c r="K39" s="19" t="n"/>
      <c r="L39" s="21">
        <f>IF(AND(ISNUMBER(J39),ISNUMBER(K39),J39&gt;0),(J39-K39)/J39,"")</f>
        <v/>
      </c>
      <c r="M39" s="20">
        <f>IF(AND(ISNUMBER(K39),ISNUMBER(H39),K39&gt;0),((K39/1.2)-H39)/(K39/1.2),"")</f>
        <v/>
      </c>
      <c r="N39" s="7">
        <f>IF(M39="","",IF(M39&gt;=0.22,"🟢 Отличен",IF(M39&gt;=0.15,"🟡 За преглед","🔴 Нисък марж")))</f>
        <v/>
      </c>
      <c r="O39" s="16" t="inlineStr">
        <is>
          <t>Брошура 1</t>
        </is>
      </c>
      <c r="P39" s="22" t="n">
        <v>1</v>
      </c>
      <c r="Q39" s="23" t="n"/>
    </row>
    <row r="40" ht="22" customHeight="1">
      <c r="A40" s="7" t="n">
        <v>26</v>
      </c>
      <c r="B40" s="13" t="n"/>
      <c r="C40" s="14" t="n"/>
      <c r="D40" s="17" t="n"/>
      <c r="E40" s="16" t="n"/>
      <c r="F40" s="17" t="n"/>
      <c r="G40" s="18" t="n"/>
      <c r="H40" s="19" t="n"/>
      <c r="I40" s="20">
        <f>IF(AND(ISNUMBER(G40),ISNUMBER(H40),G40&gt;0),(G40-H40)/G40,"")</f>
        <v/>
      </c>
      <c r="J40" s="18" t="n"/>
      <c r="K40" s="19" t="n"/>
      <c r="L40" s="21">
        <f>IF(AND(ISNUMBER(J40),ISNUMBER(K40),J40&gt;0),(J40-K40)/J40,"")</f>
        <v/>
      </c>
      <c r="M40" s="20">
        <f>IF(AND(ISNUMBER(K40),ISNUMBER(H40),K40&gt;0),((K40/1.2)-H40)/(K40/1.2),"")</f>
        <v/>
      </c>
      <c r="N40" s="7">
        <f>IF(M40="","",IF(M40&gt;=0.22,"🟢 Отличен",IF(M40&gt;=0.15,"🟡 За преглед","🔴 Нисък марж")))</f>
        <v/>
      </c>
      <c r="O40" s="16" t="inlineStr">
        <is>
          <t>Брошура 1</t>
        </is>
      </c>
      <c r="P40" s="22" t="n">
        <v>1</v>
      </c>
      <c r="Q40" s="23" t="n"/>
    </row>
    <row r="41" ht="22" customHeight="1">
      <c r="A41" s="7" t="n">
        <v>27</v>
      </c>
      <c r="B41" s="13" t="n"/>
      <c r="C41" s="14" t="n"/>
      <c r="D41" s="17" t="n"/>
      <c r="E41" s="16" t="n"/>
      <c r="F41" s="17" t="n"/>
      <c r="G41" s="18" t="n"/>
      <c r="H41" s="19" t="n"/>
      <c r="I41" s="20">
        <f>IF(AND(ISNUMBER(G41),ISNUMBER(H41),G41&gt;0),(G41-H41)/G41,"")</f>
        <v/>
      </c>
      <c r="J41" s="18" t="n"/>
      <c r="K41" s="19" t="n"/>
      <c r="L41" s="21">
        <f>IF(AND(ISNUMBER(J41),ISNUMBER(K41),J41&gt;0),(J41-K41)/J41,"")</f>
        <v/>
      </c>
      <c r="M41" s="20">
        <f>IF(AND(ISNUMBER(K41),ISNUMBER(H41),K41&gt;0),((K41/1.2)-H41)/(K41/1.2),"")</f>
        <v/>
      </c>
      <c r="N41" s="7">
        <f>IF(M41="","",IF(M41&gt;=0.22,"🟢 Отличен",IF(M41&gt;=0.15,"🟡 За преглед","🔴 Нисък марж")))</f>
        <v/>
      </c>
      <c r="O41" s="16" t="inlineStr">
        <is>
          <t>Брошура 1</t>
        </is>
      </c>
      <c r="P41" s="22" t="n">
        <v>1</v>
      </c>
      <c r="Q41" s="23" t="n"/>
    </row>
    <row r="42" ht="22" customHeight="1">
      <c r="A42" s="7" t="n">
        <v>28</v>
      </c>
      <c r="B42" s="13" t="n"/>
      <c r="C42" s="14" t="n"/>
      <c r="D42" s="17" t="n"/>
      <c r="E42" s="16" t="n"/>
      <c r="F42" s="17" t="n"/>
      <c r="G42" s="18" t="n"/>
      <c r="H42" s="19" t="n"/>
      <c r="I42" s="20">
        <f>IF(AND(ISNUMBER(G42),ISNUMBER(H42),G42&gt;0),(G42-H42)/G42,"")</f>
        <v/>
      </c>
      <c r="J42" s="18" t="n"/>
      <c r="K42" s="19" t="n"/>
      <c r="L42" s="21">
        <f>IF(AND(ISNUMBER(J42),ISNUMBER(K42),J42&gt;0),(J42-K42)/J42,"")</f>
        <v/>
      </c>
      <c r="M42" s="20">
        <f>IF(AND(ISNUMBER(K42),ISNUMBER(H42),K42&gt;0),((K42/1.2)-H42)/(K42/1.2),"")</f>
        <v/>
      </c>
      <c r="N42" s="7">
        <f>IF(M42="","",IF(M42&gt;=0.22,"🟢 Отличен",IF(M42&gt;=0.15,"🟡 За преглед","🔴 Нисък марж")))</f>
        <v/>
      </c>
      <c r="O42" s="16" t="inlineStr">
        <is>
          <t>Брошура 1</t>
        </is>
      </c>
      <c r="P42" s="22" t="n">
        <v>1</v>
      </c>
      <c r="Q42" s="23" t="n"/>
    </row>
    <row r="43" ht="22" customHeight="1">
      <c r="A43" s="7" t="n">
        <v>29</v>
      </c>
      <c r="B43" s="13" t="n"/>
      <c r="C43" s="14" t="n"/>
      <c r="D43" s="17" t="n"/>
      <c r="E43" s="16" t="n"/>
      <c r="F43" s="17" t="n"/>
      <c r="G43" s="18" t="n"/>
      <c r="H43" s="19" t="n"/>
      <c r="I43" s="20">
        <f>IF(AND(ISNUMBER(G43),ISNUMBER(H43),G43&gt;0),(G43-H43)/G43,"")</f>
        <v/>
      </c>
      <c r="J43" s="18" t="n"/>
      <c r="K43" s="19" t="n"/>
      <c r="L43" s="21">
        <f>IF(AND(ISNUMBER(J43),ISNUMBER(K43),J43&gt;0),(J43-K43)/J43,"")</f>
        <v/>
      </c>
      <c r="M43" s="20">
        <f>IF(AND(ISNUMBER(K43),ISNUMBER(H43),K43&gt;0),((K43/1.2)-H43)/(K43/1.2),"")</f>
        <v/>
      </c>
      <c r="N43" s="7">
        <f>IF(M43="","",IF(M43&gt;=0.22,"🟢 Отличен",IF(M43&gt;=0.15,"🟡 За преглед","🔴 Нисък марж")))</f>
        <v/>
      </c>
      <c r="O43" s="16" t="inlineStr">
        <is>
          <t>Брошура 1</t>
        </is>
      </c>
      <c r="P43" s="22" t="n">
        <v>1</v>
      </c>
      <c r="Q43" s="23" t="n"/>
    </row>
    <row r="44" ht="22" customHeight="1">
      <c r="A44" s="7" t="n">
        <v>30</v>
      </c>
      <c r="B44" s="13" t="n"/>
      <c r="C44" s="14" t="n"/>
      <c r="D44" s="17" t="n"/>
      <c r="E44" s="16" t="n"/>
      <c r="F44" s="17" t="n"/>
      <c r="G44" s="18" t="n"/>
      <c r="H44" s="19" t="n"/>
      <c r="I44" s="20">
        <f>IF(AND(ISNUMBER(G44),ISNUMBER(H44),G44&gt;0),(G44-H44)/G44,"")</f>
        <v/>
      </c>
      <c r="J44" s="18" t="n"/>
      <c r="K44" s="19" t="n"/>
      <c r="L44" s="21">
        <f>IF(AND(ISNUMBER(J44),ISNUMBER(K44),J44&gt;0),(J44-K44)/J44,"")</f>
        <v/>
      </c>
      <c r="M44" s="20">
        <f>IF(AND(ISNUMBER(K44),ISNUMBER(H44),K44&gt;0),((K44/1.2)-H44)/(K44/1.2),"")</f>
        <v/>
      </c>
      <c r="N44" s="7">
        <f>IF(M44="","",IF(M44&gt;=0.22,"🟢 Отличен",IF(M44&gt;=0.15,"🟡 За преглед","🔴 Нисък марж")))</f>
        <v/>
      </c>
      <c r="O44" s="16" t="inlineStr">
        <is>
          <t>Брошура 1</t>
        </is>
      </c>
      <c r="P44" s="22" t="n">
        <v>1</v>
      </c>
      <c r="Q44" s="23" t="n"/>
    </row>
    <row r="45" ht="22" customHeight="1">
      <c r="A45" s="7" t="n">
        <v>31</v>
      </c>
      <c r="B45" s="13" t="n"/>
      <c r="C45" s="14" t="n"/>
      <c r="D45" s="17" t="n"/>
      <c r="E45" s="16" t="n"/>
      <c r="F45" s="17" t="n"/>
      <c r="G45" s="18" t="n"/>
      <c r="H45" s="19" t="n"/>
      <c r="I45" s="20">
        <f>IF(AND(ISNUMBER(G45),ISNUMBER(H45),G45&gt;0),(G45-H45)/G45,"")</f>
        <v/>
      </c>
      <c r="J45" s="18" t="n"/>
      <c r="K45" s="19" t="n"/>
      <c r="L45" s="21">
        <f>IF(AND(ISNUMBER(J45),ISNUMBER(K45),J45&gt;0),(J45-K45)/J45,"")</f>
        <v/>
      </c>
      <c r="M45" s="20">
        <f>IF(AND(ISNUMBER(K45),ISNUMBER(H45),K45&gt;0),((K45/1.2)-H45)/(K45/1.2),"")</f>
        <v/>
      </c>
      <c r="N45" s="7">
        <f>IF(M45="","",IF(M45&gt;=0.22,"🟢 Отличен",IF(M45&gt;=0.15,"🟡 За преглед","🔴 Нисък марж")))</f>
        <v/>
      </c>
      <c r="O45" s="16" t="inlineStr">
        <is>
          <t>Брошура 1</t>
        </is>
      </c>
      <c r="P45" s="22" t="n">
        <v>1</v>
      </c>
      <c r="Q45" s="23" t="n"/>
    </row>
    <row r="46" ht="22" customHeight="1">
      <c r="A46" s="7" t="n">
        <v>32</v>
      </c>
      <c r="B46" s="13" t="n"/>
      <c r="C46" s="14" t="n"/>
      <c r="D46" s="17" t="n"/>
      <c r="E46" s="16" t="n"/>
      <c r="F46" s="17" t="n"/>
      <c r="G46" s="18" t="n"/>
      <c r="H46" s="19" t="n"/>
      <c r="I46" s="20">
        <f>IF(AND(ISNUMBER(G46),ISNUMBER(H46),G46&gt;0),(G46-H46)/G46,"")</f>
        <v/>
      </c>
      <c r="J46" s="18" t="n"/>
      <c r="K46" s="19" t="n"/>
      <c r="L46" s="21">
        <f>IF(AND(ISNUMBER(J46),ISNUMBER(K46),J46&gt;0),(J46-K46)/J46,"")</f>
        <v/>
      </c>
      <c r="M46" s="20">
        <f>IF(AND(ISNUMBER(K46),ISNUMBER(H46),K46&gt;0),((K46/1.2)-H46)/(K46/1.2),"")</f>
        <v/>
      </c>
      <c r="N46" s="7">
        <f>IF(M46="","",IF(M46&gt;=0.22,"🟢 Отличен",IF(M46&gt;=0.15,"🟡 За преглед","🔴 Нисък марж")))</f>
        <v/>
      </c>
      <c r="O46" s="16" t="inlineStr">
        <is>
          <t>Брошура 1</t>
        </is>
      </c>
      <c r="P46" s="22" t="n">
        <v>1</v>
      </c>
      <c r="Q46" s="23" t="n"/>
    </row>
    <row r="47" ht="22" customHeight="1">
      <c r="A47" s="7" t="n">
        <v>33</v>
      </c>
      <c r="B47" s="13" t="n"/>
      <c r="C47" s="14" t="n"/>
      <c r="D47" s="17" t="n"/>
      <c r="E47" s="16" t="n"/>
      <c r="F47" s="17" t="n"/>
      <c r="G47" s="18" t="n"/>
      <c r="H47" s="19" t="n"/>
      <c r="I47" s="20">
        <f>IF(AND(ISNUMBER(G47),ISNUMBER(H47),G47&gt;0),(G47-H47)/G47,"")</f>
        <v/>
      </c>
      <c r="J47" s="18" t="n"/>
      <c r="K47" s="19" t="n"/>
      <c r="L47" s="21">
        <f>IF(AND(ISNUMBER(J47),ISNUMBER(K47),J47&gt;0),(J47-K47)/J47,"")</f>
        <v/>
      </c>
      <c r="M47" s="20">
        <f>IF(AND(ISNUMBER(K47),ISNUMBER(H47),K47&gt;0),((K47/1.2)-H47)/(K47/1.2),"")</f>
        <v/>
      </c>
      <c r="N47" s="7">
        <f>IF(M47="","",IF(M47&gt;=0.22,"🟢 Отличен",IF(M47&gt;=0.15,"🟡 За преглед","🔴 Нисък марж")))</f>
        <v/>
      </c>
      <c r="O47" s="16" t="inlineStr">
        <is>
          <t>Брошура 1</t>
        </is>
      </c>
      <c r="P47" s="22" t="n">
        <v>1</v>
      </c>
      <c r="Q47" s="23" t="n"/>
    </row>
    <row r="48" ht="22" customHeight="1">
      <c r="A48" s="7" t="n">
        <v>34</v>
      </c>
      <c r="B48" s="13" t="n"/>
      <c r="C48" s="14" t="n"/>
      <c r="D48" s="17" t="n"/>
      <c r="E48" s="16" t="n"/>
      <c r="F48" s="17" t="n"/>
      <c r="G48" s="18" t="n"/>
      <c r="H48" s="19" t="n"/>
      <c r="I48" s="20">
        <f>IF(AND(ISNUMBER(G48),ISNUMBER(H48),G48&gt;0),(G48-H48)/G48,"")</f>
        <v/>
      </c>
      <c r="J48" s="18" t="n"/>
      <c r="K48" s="19" t="n"/>
      <c r="L48" s="21">
        <f>IF(AND(ISNUMBER(J48),ISNUMBER(K48),J48&gt;0),(J48-K48)/J48,"")</f>
        <v/>
      </c>
      <c r="M48" s="20">
        <f>IF(AND(ISNUMBER(K48),ISNUMBER(H48),K48&gt;0),((K48/1.2)-H48)/(K48/1.2),"")</f>
        <v/>
      </c>
      <c r="N48" s="7">
        <f>IF(M48="","",IF(M48&gt;=0.22,"🟢 Отличен",IF(M48&gt;=0.15,"🟡 За преглед","🔴 Нисък марж")))</f>
        <v/>
      </c>
      <c r="O48" s="16" t="inlineStr">
        <is>
          <t>Брошура 1</t>
        </is>
      </c>
      <c r="P48" s="22" t="n">
        <v>1</v>
      </c>
      <c r="Q48" s="23" t="n"/>
    </row>
    <row r="49" ht="22" customHeight="1">
      <c r="A49" s="7" t="n">
        <v>35</v>
      </c>
      <c r="B49" s="13" t="n"/>
      <c r="C49" s="14" t="n"/>
      <c r="D49" s="17" t="n"/>
      <c r="E49" s="16" t="n"/>
      <c r="F49" s="17" t="n"/>
      <c r="G49" s="18" t="n"/>
      <c r="H49" s="19" t="n"/>
      <c r="I49" s="20">
        <f>IF(AND(ISNUMBER(G49),ISNUMBER(H49),G49&gt;0),(G49-H49)/G49,"")</f>
        <v/>
      </c>
      <c r="J49" s="18" t="n"/>
      <c r="K49" s="19" t="n"/>
      <c r="L49" s="21">
        <f>IF(AND(ISNUMBER(J49),ISNUMBER(K49),J49&gt;0),(J49-K49)/J49,"")</f>
        <v/>
      </c>
      <c r="M49" s="20">
        <f>IF(AND(ISNUMBER(K49),ISNUMBER(H49),K49&gt;0),((K49/1.2)-H49)/(K49/1.2),"")</f>
        <v/>
      </c>
      <c r="N49" s="7">
        <f>IF(M49="","",IF(M49&gt;=0.22,"🟢 Отличен",IF(M49&gt;=0.15,"🟡 За преглед","🔴 Нисък марж")))</f>
        <v/>
      </c>
      <c r="O49" s="16" t="inlineStr">
        <is>
          <t>Брошура 1</t>
        </is>
      </c>
      <c r="P49" s="22" t="n">
        <v>1</v>
      </c>
      <c r="Q49" s="23" t="n"/>
    </row>
    <row r="50" ht="26" customHeight="1">
      <c r="A50" s="24" t="inlineStr">
        <is>
          <t>ОБЩО / СРЕДНО ЗА БЛАНКАТА:</t>
        </is>
      </c>
      <c r="G50" s="25" t="inlineStr"/>
      <c r="H50" s="25" t="inlineStr"/>
      <c r="I50" s="26">
        <f>IFERROR(AVERAGE(I15:I49),0)</f>
        <v/>
      </c>
      <c r="J50" s="25" t="inlineStr"/>
      <c r="K50" s="25" t="inlineStr"/>
      <c r="L50" s="26">
        <f>IFERROR(AVERAGE(L15:L49),0)</f>
        <v/>
      </c>
      <c r="M50" s="26">
        <f>IFERROR(AVERAGE(M15:M49),0)</f>
        <v/>
      </c>
      <c r="N50" s="25" t="inlineStr"/>
      <c r="O50" s="25" t="inlineStr"/>
      <c r="P50" s="27">
        <f>SUM(P15:P49)</f>
        <v/>
      </c>
      <c r="Q50" s="25" t="inlineStr"/>
    </row>
  </sheetData>
  <mergeCells count="32">
    <mergeCell ref="D11:F11"/>
    <mergeCell ref="L5:Q5"/>
    <mergeCell ref="J12:M12"/>
    <mergeCell ref="A50:F50"/>
    <mergeCell ref="L8:Q8"/>
    <mergeCell ref="A12:C12"/>
    <mergeCell ref="A1:Q1"/>
    <mergeCell ref="D6:H6"/>
    <mergeCell ref="A5:C5"/>
    <mergeCell ref="I5:K5"/>
    <mergeCell ref="A8:C8"/>
    <mergeCell ref="I8:K8"/>
    <mergeCell ref="D12:F12"/>
    <mergeCell ref="N11:Q11"/>
    <mergeCell ref="L6:Q6"/>
    <mergeCell ref="I4:Q4"/>
    <mergeCell ref="D7:H7"/>
    <mergeCell ref="A2:Q2"/>
    <mergeCell ref="N12:Q12"/>
    <mergeCell ref="G12:I12"/>
    <mergeCell ref="I6:K6"/>
    <mergeCell ref="G11:I11"/>
    <mergeCell ref="A4:H4"/>
    <mergeCell ref="L7:Q7"/>
    <mergeCell ref="D8:H8"/>
    <mergeCell ref="A11:C11"/>
    <mergeCell ref="A6:C6"/>
    <mergeCell ref="J11:M11"/>
    <mergeCell ref="D5:H5"/>
    <mergeCell ref="A10:Q10"/>
    <mergeCell ref="A7:C7"/>
    <mergeCell ref="I7:K7"/>
  </mergeCells>
  <conditionalFormatting sqref="N15:N49">
    <cfRule type="cellIs" priority="1" operator="equal" dxfId="0">
      <formula>"🟢 Отличен"</formula>
    </cfRule>
    <cfRule type="cellIs" priority="2" operator="equal" dxfId="1">
      <formula>"🟡 За преглед"</formula>
    </cfRule>
    <cfRule type="cellIs" priority="3" operator="equal" dxfId="2">
      <formula>"🔴 Нисък марж"</formula>
    </cfRule>
  </conditionalFormatting>
  <dataValidations count="3">
    <dataValidation sqref="D5" showDropDown="0" showInputMessage="0" showErrorMessage="0" allowBlank="0" errorTitle="Невалиден избор" error="Моля изберете валиден номер на брошура от списъка!" type="list">
      <formula1>=График_2027!$A$3:$A$27</formula1>
    </dataValidation>
    <dataValidation sqref="E15:E49" showDropDown="0" showInputMessage="0" showErrorMessage="0" allowBlank="1" type="list">
      <formula1>"бр.,кг.,100гр.,200гр.,250гр.,400гр.,500гр.,700гр.,800гр.,1л.,1.5л.,2л.,оп.,пакет"</formula1>
    </dataValidation>
    <dataValidation sqref="O15:O49" showDropDown="0" showInputMessage="0" showErrorMessage="0" allowBlank="1" type="list">
      <formula1>"Брошура 1,Брошура 2,И двете издания"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6" customWidth="1" min="4" max="4"/>
    <col width="8" customWidth="1" min="5" max="5"/>
    <col width="30" customWidth="1" min="6" max="6"/>
    <col width="20" customWidth="1" min="7" max="7"/>
    <col width="20" customWidth="1" min="8" max="8"/>
    <col width="18" customWidth="1" min="9" max="9"/>
  </cols>
  <sheetData>
    <row r="1" ht="35" customHeight="1">
      <c r="A1" s="28" t="inlineStr">
        <is>
          <t>ОФИЦИАЛЕН ГРАФИК ЗА ПРОМОЦИОНАЛНИ БРОШУРИ — 2027 ГОДИНА</t>
        </is>
      </c>
    </row>
    <row r="2" ht="28" customHeight="1">
      <c r="A2" s="29" t="inlineStr">
        <is>
          <t>Код на Брошурата</t>
        </is>
      </c>
      <c r="B2" s="29" t="inlineStr">
        <is>
          <t>Старт промоция (магазини)</t>
        </is>
      </c>
      <c r="C2" s="29" t="inlineStr">
        <is>
          <t>Край промоция (магазини)</t>
        </is>
      </c>
      <c r="D2" s="29" t="inlineStr">
        <is>
          <t>Период на промоцията</t>
        </is>
      </c>
      <c r="E2" s="29" t="inlineStr">
        <is>
          <t>Дни</t>
        </is>
      </c>
      <c r="F2" s="29" t="inlineStr">
        <is>
          <t>Период промо доставна цена (ЗКП, X-7)</t>
        </is>
      </c>
      <c r="G2" s="29" t="inlineStr">
        <is>
          <t>Краен срок за предложения</t>
        </is>
      </c>
      <c r="H2" s="29" t="inlineStr">
        <is>
          <t>Краен срок за предпечат (X-10)</t>
        </is>
      </c>
      <c r="I2" s="29" t="inlineStr">
        <is>
          <t>Старт ЗКП (ISO дата)</t>
        </is>
      </c>
    </row>
    <row r="3" ht="20" customHeight="1">
      <c r="A3" s="30" t="inlineStr">
        <is>
          <t>Брошура № 01</t>
        </is>
      </c>
      <c r="B3" s="31" t="inlineStr">
        <is>
          <t>2027-01-09</t>
        </is>
      </c>
      <c r="C3" s="31" t="inlineStr">
        <is>
          <t>2027-01-17</t>
        </is>
      </c>
      <c r="D3" s="31" t="inlineStr">
        <is>
          <t>09.01.2027 – 17.01.2027</t>
        </is>
      </c>
      <c r="E3" s="31" t="n">
        <v>9</v>
      </c>
      <c r="F3" s="31" t="inlineStr">
        <is>
          <t>02.01.2027 – 17.01.2027</t>
        </is>
      </c>
      <c r="G3" s="31" t="inlineStr">
        <is>
          <t>28.12.2026</t>
        </is>
      </c>
      <c r="H3" s="31" t="inlineStr">
        <is>
          <t>30.12.2026</t>
        </is>
      </c>
      <c r="I3" s="31" t="inlineStr">
        <is>
          <t>2027-01-02</t>
        </is>
      </c>
    </row>
    <row r="4" ht="20" customHeight="1">
      <c r="A4" s="30" t="inlineStr">
        <is>
          <t>Брошура № 02</t>
        </is>
      </c>
      <c r="B4" s="31" t="inlineStr">
        <is>
          <t>2027-01-23</t>
        </is>
      </c>
      <c r="C4" s="31" t="inlineStr">
        <is>
          <t>2027-01-31</t>
        </is>
      </c>
      <c r="D4" s="31" t="inlineStr">
        <is>
          <t>23.01.2027 – 31.01.2027</t>
        </is>
      </c>
      <c r="E4" s="31" t="n">
        <v>9</v>
      </c>
      <c r="F4" s="31" t="inlineStr">
        <is>
          <t>16.01.2027 – 31.01.2027</t>
        </is>
      </c>
      <c r="G4" s="31" t="inlineStr">
        <is>
          <t>11.01.2027</t>
        </is>
      </c>
      <c r="H4" s="31" t="inlineStr">
        <is>
          <t>13.01.2027</t>
        </is>
      </c>
      <c r="I4" s="31" t="inlineStr">
        <is>
          <t>2027-01-16</t>
        </is>
      </c>
    </row>
    <row r="5" ht="20" customHeight="1">
      <c r="A5" s="30" t="inlineStr">
        <is>
          <t>Брошура № 03</t>
        </is>
      </c>
      <c r="B5" s="31" t="inlineStr">
        <is>
          <t>2027-02-06</t>
        </is>
      </c>
      <c r="C5" s="31" t="inlineStr">
        <is>
          <t>2027-02-14</t>
        </is>
      </c>
      <c r="D5" s="31" t="inlineStr">
        <is>
          <t>06.02.2027 – 14.02.2027</t>
        </is>
      </c>
      <c r="E5" s="31" t="n">
        <v>9</v>
      </c>
      <c r="F5" s="31" t="inlineStr">
        <is>
          <t>30.01.2027 – 14.02.2027</t>
        </is>
      </c>
      <c r="G5" s="31" t="inlineStr">
        <is>
          <t>25.01.2027</t>
        </is>
      </c>
      <c r="H5" s="31" t="inlineStr">
        <is>
          <t>27.01.2027</t>
        </is>
      </c>
      <c r="I5" s="31" t="inlineStr">
        <is>
          <t>2027-01-30</t>
        </is>
      </c>
    </row>
    <row r="6" ht="20" customHeight="1">
      <c r="A6" s="30" t="inlineStr">
        <is>
          <t>Брошура № 04</t>
        </is>
      </c>
      <c r="B6" s="31" t="inlineStr">
        <is>
          <t>2027-02-20</t>
        </is>
      </c>
      <c r="C6" s="31" t="inlineStr">
        <is>
          <t>2027-02-28</t>
        </is>
      </c>
      <c r="D6" s="31" t="inlineStr">
        <is>
          <t>20.02.2027 – 28.02.2027</t>
        </is>
      </c>
      <c r="E6" s="31" t="n">
        <v>9</v>
      </c>
      <c r="F6" s="31" t="inlineStr">
        <is>
          <t>13.02.2027 – 28.02.2027</t>
        </is>
      </c>
      <c r="G6" s="31" t="inlineStr">
        <is>
          <t>08.02.2027</t>
        </is>
      </c>
      <c r="H6" s="31" t="inlineStr">
        <is>
          <t>10.02.2027</t>
        </is>
      </c>
      <c r="I6" s="31" t="inlineStr">
        <is>
          <t>2027-02-13</t>
        </is>
      </c>
    </row>
    <row r="7" ht="20" customHeight="1">
      <c r="A7" s="30" t="inlineStr">
        <is>
          <t>Брошура № 05</t>
        </is>
      </c>
      <c r="B7" s="31" t="inlineStr">
        <is>
          <t>2027-03-06</t>
        </is>
      </c>
      <c r="C7" s="31" t="inlineStr">
        <is>
          <t>2027-03-14</t>
        </is>
      </c>
      <c r="D7" s="31" t="inlineStr">
        <is>
          <t>06.03.2027 – 14.03.2027</t>
        </is>
      </c>
      <c r="E7" s="31" t="n">
        <v>9</v>
      </c>
      <c r="F7" s="31" t="inlineStr">
        <is>
          <t>27.02.2027 – 14.03.2027</t>
        </is>
      </c>
      <c r="G7" s="31" t="inlineStr">
        <is>
          <t>22.02.2027</t>
        </is>
      </c>
      <c r="H7" s="31" t="inlineStr">
        <is>
          <t>24.02.2027</t>
        </is>
      </c>
      <c r="I7" s="31" t="inlineStr">
        <is>
          <t>2027-02-27</t>
        </is>
      </c>
    </row>
    <row r="8" ht="20" customHeight="1">
      <c r="A8" s="30" t="inlineStr">
        <is>
          <t>Брошура № 06</t>
        </is>
      </c>
      <c r="B8" s="31" t="inlineStr">
        <is>
          <t>2027-03-20</t>
        </is>
      </c>
      <c r="C8" s="31" t="inlineStr">
        <is>
          <t>2027-03-28</t>
        </is>
      </c>
      <c r="D8" s="31" t="inlineStr">
        <is>
          <t>20.03.2027 – 28.03.2027</t>
        </is>
      </c>
      <c r="E8" s="31" t="n">
        <v>9</v>
      </c>
      <c r="F8" s="31" t="inlineStr">
        <is>
          <t>13.03.2027 – 28.03.2027</t>
        </is>
      </c>
      <c r="G8" s="31" t="inlineStr">
        <is>
          <t>08.03.2027</t>
        </is>
      </c>
      <c r="H8" s="31" t="inlineStr">
        <is>
          <t>10.03.2027</t>
        </is>
      </c>
      <c r="I8" s="31" t="inlineStr">
        <is>
          <t>2027-03-13</t>
        </is>
      </c>
    </row>
    <row r="9" ht="20" customHeight="1">
      <c r="A9" s="30" t="inlineStr">
        <is>
          <t>Брошура № 07</t>
        </is>
      </c>
      <c r="B9" s="31" t="inlineStr">
        <is>
          <t>2027-04-03</t>
        </is>
      </c>
      <c r="C9" s="31" t="inlineStr">
        <is>
          <t>2027-04-11</t>
        </is>
      </c>
      <c r="D9" s="31" t="inlineStr">
        <is>
          <t>03.04.2027 – 11.04.2027</t>
        </is>
      </c>
      <c r="E9" s="31" t="n">
        <v>9</v>
      </c>
      <c r="F9" s="31" t="inlineStr">
        <is>
          <t>27.03.2027 – 11.04.2027</t>
        </is>
      </c>
      <c r="G9" s="31" t="inlineStr">
        <is>
          <t>22.03.2027</t>
        </is>
      </c>
      <c r="H9" s="31" t="inlineStr">
        <is>
          <t>24.03.2027</t>
        </is>
      </c>
      <c r="I9" s="31" t="inlineStr">
        <is>
          <t>2027-03-27</t>
        </is>
      </c>
    </row>
    <row r="10" ht="20" customHeight="1">
      <c r="A10" s="30" t="inlineStr">
        <is>
          <t>Брошура № 08</t>
        </is>
      </c>
      <c r="B10" s="31" t="inlineStr">
        <is>
          <t>2027-04-17</t>
        </is>
      </c>
      <c r="C10" s="31" t="inlineStr">
        <is>
          <t>2027-04-25</t>
        </is>
      </c>
      <c r="D10" s="31" t="inlineStr">
        <is>
          <t>17.04.2027 – 25.04.2027</t>
        </is>
      </c>
      <c r="E10" s="31" t="n">
        <v>9</v>
      </c>
      <c r="F10" s="31" t="inlineStr">
        <is>
          <t>10.04.2027 – 25.04.2027</t>
        </is>
      </c>
      <c r="G10" s="31" t="inlineStr">
        <is>
          <t>05.04.2027</t>
        </is>
      </c>
      <c r="H10" s="31" t="inlineStr">
        <is>
          <t>07.04.2027</t>
        </is>
      </c>
      <c r="I10" s="31" t="inlineStr">
        <is>
          <t>2027-04-10</t>
        </is>
      </c>
    </row>
    <row r="11" ht="20" customHeight="1">
      <c r="A11" s="30" t="inlineStr">
        <is>
          <t>Брошура № 09</t>
        </is>
      </c>
      <c r="B11" s="31" t="inlineStr">
        <is>
          <t>2027-04-29</t>
        </is>
      </c>
      <c r="C11" s="31" t="inlineStr">
        <is>
          <t>2027-05-09</t>
        </is>
      </c>
      <c r="D11" s="31" t="inlineStr">
        <is>
          <t>29.04.2027 – 09.05.2027</t>
        </is>
      </c>
      <c r="E11" s="31" t="n">
        <v>11</v>
      </c>
      <c r="F11" s="31" t="inlineStr">
        <is>
          <t>22.04.2027 – 09.05.2027</t>
        </is>
      </c>
      <c r="G11" s="31" t="inlineStr">
        <is>
          <t>17.04.2027</t>
        </is>
      </c>
      <c r="H11" s="31" t="inlineStr">
        <is>
          <t>19.04.2027</t>
        </is>
      </c>
      <c r="I11" s="31" t="inlineStr">
        <is>
          <t>2027-04-22</t>
        </is>
      </c>
    </row>
    <row r="12" ht="20" customHeight="1">
      <c r="A12" s="30" t="inlineStr">
        <is>
          <t>Брошура № 10</t>
        </is>
      </c>
      <c r="B12" s="31" t="inlineStr">
        <is>
          <t>2027-05-22</t>
        </is>
      </c>
      <c r="C12" s="31" t="inlineStr">
        <is>
          <t>2027-05-30</t>
        </is>
      </c>
      <c r="D12" s="31" t="inlineStr">
        <is>
          <t>22.05.2027 – 30.05.2027</t>
        </is>
      </c>
      <c r="E12" s="31" t="n">
        <v>9</v>
      </c>
      <c r="F12" s="31" t="inlineStr">
        <is>
          <t>15.05.2027 – 30.05.2027</t>
        </is>
      </c>
      <c r="G12" s="31" t="inlineStr">
        <is>
          <t>10.05.2027</t>
        </is>
      </c>
      <c r="H12" s="31" t="inlineStr">
        <is>
          <t>12.05.2027</t>
        </is>
      </c>
      <c r="I12" s="31" t="inlineStr">
        <is>
          <t>2027-05-15</t>
        </is>
      </c>
    </row>
    <row r="13" ht="20" customHeight="1">
      <c r="A13" s="30" t="inlineStr">
        <is>
          <t>Брошура № 11</t>
        </is>
      </c>
      <c r="B13" s="31" t="inlineStr">
        <is>
          <t>2027-06-05</t>
        </is>
      </c>
      <c r="C13" s="31" t="inlineStr">
        <is>
          <t>2027-06-13</t>
        </is>
      </c>
      <c r="D13" s="31" t="inlineStr">
        <is>
          <t>05.06.2027 – 13.06.2027</t>
        </is>
      </c>
      <c r="E13" s="31" t="n">
        <v>9</v>
      </c>
      <c r="F13" s="31" t="inlineStr">
        <is>
          <t>29.05.2027 – 13.06.2027</t>
        </is>
      </c>
      <c r="G13" s="31" t="inlineStr">
        <is>
          <t>24.05.2027</t>
        </is>
      </c>
      <c r="H13" s="31" t="inlineStr">
        <is>
          <t>26.05.2027</t>
        </is>
      </c>
      <c r="I13" s="31" t="inlineStr">
        <is>
          <t>2027-05-29</t>
        </is>
      </c>
    </row>
    <row r="14" ht="20" customHeight="1">
      <c r="A14" s="30" t="inlineStr">
        <is>
          <t>Брошура № 12</t>
        </is>
      </c>
      <c r="B14" s="31" t="inlineStr">
        <is>
          <t>2027-06-19</t>
        </is>
      </c>
      <c r="C14" s="31" t="inlineStr">
        <is>
          <t>2027-06-27</t>
        </is>
      </c>
      <c r="D14" s="31" t="inlineStr">
        <is>
          <t>19.06.2027 – 27.06.2027</t>
        </is>
      </c>
      <c r="E14" s="31" t="n">
        <v>9</v>
      </c>
      <c r="F14" s="31" t="inlineStr">
        <is>
          <t>12.06.2027 – 27.06.2027</t>
        </is>
      </c>
      <c r="G14" s="31" t="inlineStr">
        <is>
          <t>07.06.2027</t>
        </is>
      </c>
      <c r="H14" s="31" t="inlineStr">
        <is>
          <t>09.06.2027</t>
        </is>
      </c>
      <c r="I14" s="31" t="inlineStr">
        <is>
          <t>2027-06-12</t>
        </is>
      </c>
    </row>
    <row r="15" ht="20" customHeight="1">
      <c r="A15" s="30" t="inlineStr">
        <is>
          <t>Брошура № 13</t>
        </is>
      </c>
      <c r="B15" s="31" t="inlineStr">
        <is>
          <t>2027-07-03</t>
        </is>
      </c>
      <c r="C15" s="31" t="inlineStr">
        <is>
          <t>2027-07-11</t>
        </is>
      </c>
      <c r="D15" s="31" t="inlineStr">
        <is>
          <t>03.07.2027 – 11.07.2027</t>
        </is>
      </c>
      <c r="E15" s="31" t="n">
        <v>9</v>
      </c>
      <c r="F15" s="31" t="inlineStr">
        <is>
          <t>26.06.2027 – 11.07.2027</t>
        </is>
      </c>
      <c r="G15" s="31" t="inlineStr">
        <is>
          <t>21.06.2027</t>
        </is>
      </c>
      <c r="H15" s="31" t="inlineStr">
        <is>
          <t>23.06.2027</t>
        </is>
      </c>
      <c r="I15" s="31" t="inlineStr">
        <is>
          <t>2027-06-26</t>
        </is>
      </c>
    </row>
    <row r="16" ht="20" customHeight="1">
      <c r="A16" s="30" t="inlineStr">
        <is>
          <t>Брошура № 14</t>
        </is>
      </c>
      <c r="B16" s="31" t="inlineStr">
        <is>
          <t>2027-07-17</t>
        </is>
      </c>
      <c r="C16" s="31" t="inlineStr">
        <is>
          <t>2027-07-25</t>
        </is>
      </c>
      <c r="D16" s="31" t="inlineStr">
        <is>
          <t>17.07.2027 – 25.07.2027</t>
        </is>
      </c>
      <c r="E16" s="31" t="n">
        <v>9</v>
      </c>
      <c r="F16" s="31" t="inlineStr">
        <is>
          <t>10.07.2027 – 25.07.2027</t>
        </is>
      </c>
      <c r="G16" s="31" t="inlineStr">
        <is>
          <t>05.07.2027</t>
        </is>
      </c>
      <c r="H16" s="31" t="inlineStr">
        <is>
          <t>07.07.2027</t>
        </is>
      </c>
      <c r="I16" s="31" t="inlineStr">
        <is>
          <t>2027-07-10</t>
        </is>
      </c>
    </row>
    <row r="17" ht="20" customHeight="1">
      <c r="A17" s="30" t="inlineStr">
        <is>
          <t>Брошура № 15</t>
        </is>
      </c>
      <c r="B17" s="31" t="inlineStr">
        <is>
          <t>2027-08-07</t>
        </is>
      </c>
      <c r="C17" s="31" t="inlineStr">
        <is>
          <t>2027-08-15</t>
        </is>
      </c>
      <c r="D17" s="31" t="inlineStr">
        <is>
          <t>07.08.2027 – 15.08.2027</t>
        </is>
      </c>
      <c r="E17" s="31" t="n">
        <v>9</v>
      </c>
      <c r="F17" s="31" t="inlineStr">
        <is>
          <t>31.07.2027 – 15.08.2027</t>
        </is>
      </c>
      <c r="G17" s="31" t="inlineStr">
        <is>
          <t>26.07.2027</t>
        </is>
      </c>
      <c r="H17" s="31" t="inlineStr">
        <is>
          <t>28.07.2027</t>
        </is>
      </c>
      <c r="I17" s="31" t="inlineStr">
        <is>
          <t>2027-07-31</t>
        </is>
      </c>
    </row>
    <row r="18" ht="20" customHeight="1">
      <c r="A18" s="30" t="inlineStr">
        <is>
          <t>Брошура № 16</t>
        </is>
      </c>
      <c r="B18" s="31" t="inlineStr">
        <is>
          <t>2027-08-21</t>
        </is>
      </c>
      <c r="C18" s="31" t="inlineStr">
        <is>
          <t>2027-08-29</t>
        </is>
      </c>
      <c r="D18" s="31" t="inlineStr">
        <is>
          <t>21.08.2027 – 29.08.2027</t>
        </is>
      </c>
      <c r="E18" s="31" t="n">
        <v>9</v>
      </c>
      <c r="F18" s="31" t="inlineStr">
        <is>
          <t>14.08.2027 – 29.08.2027</t>
        </is>
      </c>
      <c r="G18" s="31" t="inlineStr">
        <is>
          <t>09.08.2027</t>
        </is>
      </c>
      <c r="H18" s="31" t="inlineStr">
        <is>
          <t>11.08.2027</t>
        </is>
      </c>
      <c r="I18" s="31" t="inlineStr">
        <is>
          <t>2027-08-14</t>
        </is>
      </c>
    </row>
    <row r="19" ht="20" customHeight="1">
      <c r="A19" s="30" t="inlineStr">
        <is>
          <t>Брошура № 17</t>
        </is>
      </c>
      <c r="B19" s="31" t="inlineStr">
        <is>
          <t>2027-09-04</t>
        </is>
      </c>
      <c r="C19" s="31" t="inlineStr">
        <is>
          <t>2027-09-12</t>
        </is>
      </c>
      <c r="D19" s="31" t="inlineStr">
        <is>
          <t>04.09.2027 – 12.09.2027</t>
        </is>
      </c>
      <c r="E19" s="31" t="n">
        <v>9</v>
      </c>
      <c r="F19" s="31" t="inlineStr">
        <is>
          <t>28.08.2027 – 12.09.2027</t>
        </is>
      </c>
      <c r="G19" s="31" t="inlineStr">
        <is>
          <t>23.08.2027</t>
        </is>
      </c>
      <c r="H19" s="31" t="inlineStr">
        <is>
          <t>25.08.2027</t>
        </is>
      </c>
      <c r="I19" s="31" t="inlineStr">
        <is>
          <t>2027-08-28</t>
        </is>
      </c>
    </row>
    <row r="20" ht="20" customHeight="1">
      <c r="A20" s="30" t="inlineStr">
        <is>
          <t>Брошура № 18</t>
        </is>
      </c>
      <c r="B20" s="31" t="inlineStr">
        <is>
          <t>2027-09-18</t>
        </is>
      </c>
      <c r="C20" s="31" t="inlineStr">
        <is>
          <t>2027-09-26</t>
        </is>
      </c>
      <c r="D20" s="31" t="inlineStr">
        <is>
          <t>18.09.2027 – 26.09.2027</t>
        </is>
      </c>
      <c r="E20" s="31" t="n">
        <v>9</v>
      </c>
      <c r="F20" s="31" t="inlineStr">
        <is>
          <t>11.09.2027 – 26.09.2027</t>
        </is>
      </c>
      <c r="G20" s="31" t="inlineStr">
        <is>
          <t>06.09.2027</t>
        </is>
      </c>
      <c r="H20" s="31" t="inlineStr">
        <is>
          <t>08.09.2027</t>
        </is>
      </c>
      <c r="I20" s="31" t="inlineStr">
        <is>
          <t>2027-09-11</t>
        </is>
      </c>
    </row>
    <row r="21" ht="20" customHeight="1">
      <c r="A21" s="30" t="inlineStr">
        <is>
          <t>Брошура № 19</t>
        </is>
      </c>
      <c r="B21" s="31" t="inlineStr">
        <is>
          <t>2027-10-02</t>
        </is>
      </c>
      <c r="C21" s="31" t="inlineStr">
        <is>
          <t>2027-10-10</t>
        </is>
      </c>
      <c r="D21" s="31" t="inlineStr">
        <is>
          <t>02.10.2027 – 10.10.2027</t>
        </is>
      </c>
      <c r="E21" s="31" t="n">
        <v>9</v>
      </c>
      <c r="F21" s="31" t="inlineStr">
        <is>
          <t>25.09.2027 – 10.10.2027</t>
        </is>
      </c>
      <c r="G21" s="31" t="inlineStr">
        <is>
          <t>20.09.2027</t>
        </is>
      </c>
      <c r="H21" s="31" t="inlineStr">
        <is>
          <t>22.09.2027</t>
        </is>
      </c>
      <c r="I21" s="31" t="inlineStr">
        <is>
          <t>2027-09-25</t>
        </is>
      </c>
    </row>
    <row r="22" ht="20" customHeight="1">
      <c r="A22" s="30" t="inlineStr">
        <is>
          <t>Брошура № 20</t>
        </is>
      </c>
      <c r="B22" s="31" t="inlineStr">
        <is>
          <t>2027-10-23</t>
        </is>
      </c>
      <c r="C22" s="31" t="inlineStr">
        <is>
          <t>2027-10-31</t>
        </is>
      </c>
      <c r="D22" s="31" t="inlineStr">
        <is>
          <t>23.10.2027 – 31.10.2027</t>
        </is>
      </c>
      <c r="E22" s="31" t="n">
        <v>9</v>
      </c>
      <c r="F22" s="31" t="inlineStr">
        <is>
          <t>16.10.2027 – 31.10.2027</t>
        </is>
      </c>
      <c r="G22" s="31" t="inlineStr">
        <is>
          <t>11.10.2027</t>
        </is>
      </c>
      <c r="H22" s="31" t="inlineStr">
        <is>
          <t>13.10.2027</t>
        </is>
      </c>
      <c r="I22" s="31" t="inlineStr">
        <is>
          <t>2027-10-16</t>
        </is>
      </c>
    </row>
    <row r="23" ht="20" customHeight="1">
      <c r="A23" s="30" t="inlineStr">
        <is>
          <t>Брошура № 21</t>
        </is>
      </c>
      <c r="B23" s="31" t="inlineStr">
        <is>
          <t>2027-11-06</t>
        </is>
      </c>
      <c r="C23" s="31" t="inlineStr">
        <is>
          <t>2027-11-14</t>
        </is>
      </c>
      <c r="D23" s="31" t="inlineStr">
        <is>
          <t>06.11.2027 – 14.11.2027</t>
        </is>
      </c>
      <c r="E23" s="31" t="n">
        <v>9</v>
      </c>
      <c r="F23" s="31" t="inlineStr">
        <is>
          <t>30.10.2027 – 14.11.2027</t>
        </is>
      </c>
      <c r="G23" s="31" t="inlineStr">
        <is>
          <t>25.10.2027</t>
        </is>
      </c>
      <c r="H23" s="31" t="inlineStr">
        <is>
          <t>27.10.2027</t>
        </is>
      </c>
      <c r="I23" s="31" t="inlineStr">
        <is>
          <t>2027-10-30</t>
        </is>
      </c>
    </row>
    <row r="24" ht="20" customHeight="1">
      <c r="A24" s="30" t="inlineStr">
        <is>
          <t>Брошура № 22</t>
        </is>
      </c>
      <c r="B24" s="31" t="inlineStr">
        <is>
          <t>2027-11-20</t>
        </is>
      </c>
      <c r="C24" s="31" t="inlineStr">
        <is>
          <t>2027-11-28</t>
        </is>
      </c>
      <c r="D24" s="31" t="inlineStr">
        <is>
          <t>20.11.2027 – 28.11.2027</t>
        </is>
      </c>
      <c r="E24" s="31" t="n">
        <v>9</v>
      </c>
      <c r="F24" s="31" t="inlineStr">
        <is>
          <t>13.11.2027 – 28.11.2027</t>
        </is>
      </c>
      <c r="G24" s="31" t="inlineStr">
        <is>
          <t>08.11.2027</t>
        </is>
      </c>
      <c r="H24" s="31" t="inlineStr">
        <is>
          <t>10.11.2027</t>
        </is>
      </c>
      <c r="I24" s="31" t="inlineStr">
        <is>
          <t>2027-11-13</t>
        </is>
      </c>
    </row>
    <row r="25" ht="20" customHeight="1">
      <c r="A25" s="30" t="inlineStr">
        <is>
          <t>Брошура № 23</t>
        </is>
      </c>
      <c r="B25" s="31" t="inlineStr">
        <is>
          <t>2027-12-04</t>
        </is>
      </c>
      <c r="C25" s="31" t="inlineStr">
        <is>
          <t>2027-12-12</t>
        </is>
      </c>
      <c r="D25" s="31" t="inlineStr">
        <is>
          <t>04.12.2027 – 12.12.2027</t>
        </is>
      </c>
      <c r="E25" s="31" t="n">
        <v>9</v>
      </c>
      <c r="F25" s="31" t="inlineStr">
        <is>
          <t>27.11.2027 – 12.12.2027</t>
        </is>
      </c>
      <c r="G25" s="31" t="inlineStr">
        <is>
          <t>22.11.2027</t>
        </is>
      </c>
      <c r="H25" s="31" t="inlineStr">
        <is>
          <t>24.11.2027</t>
        </is>
      </c>
      <c r="I25" s="31" t="inlineStr">
        <is>
          <t>2027-11-27</t>
        </is>
      </c>
    </row>
    <row r="26" ht="20" customHeight="1">
      <c r="A26" s="30" t="inlineStr">
        <is>
          <t>Брошура № 24</t>
        </is>
      </c>
      <c r="B26" s="31" t="inlineStr">
        <is>
          <t>2027-12-18</t>
        </is>
      </c>
      <c r="C26" s="31" t="inlineStr">
        <is>
          <t>2027-12-26</t>
        </is>
      </c>
      <c r="D26" s="31" t="inlineStr">
        <is>
          <t>18.12.2027 – 26.12.2027</t>
        </is>
      </c>
      <c r="E26" s="31" t="n">
        <v>9</v>
      </c>
      <c r="F26" s="31" t="inlineStr">
        <is>
          <t>11.12.2027 – 26.12.2027</t>
        </is>
      </c>
      <c r="G26" s="31" t="inlineStr">
        <is>
          <t>06.12.2027</t>
        </is>
      </c>
      <c r="H26" s="31" t="inlineStr">
        <is>
          <t>08.12.2027</t>
        </is>
      </c>
      <c r="I26" s="31" t="inlineStr">
        <is>
          <t>2027-12-11</t>
        </is>
      </c>
    </row>
    <row r="27" ht="20" customHeight="1">
      <c r="A27" s="30" t="inlineStr">
        <is>
          <t>Брошура № 25</t>
        </is>
      </c>
      <c r="B27" s="31" t="inlineStr">
        <is>
          <t>2027-12-27</t>
        </is>
      </c>
      <c r="C27" s="31" t="inlineStr">
        <is>
          <t>2028-01-02</t>
        </is>
      </c>
      <c r="D27" s="31" t="inlineStr">
        <is>
          <t>27.12.2027 – 02.01.2028</t>
        </is>
      </c>
      <c r="E27" s="31" t="n">
        <v>7</v>
      </c>
      <c r="F27" s="31" t="inlineStr">
        <is>
          <t>20.12.2027 – 02.01.2028</t>
        </is>
      </c>
      <c r="G27" s="31" t="inlineStr">
        <is>
          <t>15.12.2027</t>
        </is>
      </c>
      <c r="H27" s="31" t="inlineStr">
        <is>
          <t>17.12.2027</t>
        </is>
      </c>
      <c r="I27" s="31" t="inlineStr">
        <is>
          <t>2027-12-20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 ht="32" customHeight="1">
      <c r="A1" s="1" t="inlineStr">
        <is>
          <t>УКАЗАНИЯ ЗА УЧАСТИЕ В ПРОМОЦИОНАЛНИ БРОШУРИ — ВЕРИГА „БАКАЛИЯ“</t>
        </is>
      </c>
    </row>
    <row r="3" ht="24" customHeight="1">
      <c r="A3" s="3" t="inlineStr">
        <is>
          <t>1. Период на намалената доставна цена (ЗКП - Златно правило)</t>
        </is>
      </c>
    </row>
    <row r="4" ht="20" customHeight="1">
      <c r="A4" s="32" t="inlineStr">
        <is>
          <t>• Промоционалната доставна цена (ЗКП) ЗАДЪЛЖИТЕЛНО влиза в сила точно 7 календарни дни преди старта на промоцията.</t>
        </is>
      </c>
    </row>
    <row r="5" ht="20" customHeight="1">
      <c r="A5" s="32" t="inlineStr">
        <is>
          <t>• Пример: За брошура с период 09.01 - 17.01.2027 г., доставната промо цена важи от 02.01.2027 г. до 17.01.2027 г.</t>
        </is>
      </c>
    </row>
    <row r="6" ht="20" customHeight="1">
      <c r="A6" s="32" t="inlineStr">
        <is>
          <t>• Цел: Осигуряване на навременно зареждане на Централния склад и 11-те супермаркета на промоционална себестойност.</t>
        </is>
      </c>
    </row>
    <row r="8" ht="24" customHeight="1">
      <c r="A8" s="3" t="inlineStr">
        <is>
          <t>2. Попълване и идентификация на артикулите</t>
        </is>
      </c>
    </row>
    <row r="9" ht="20" customHeight="1">
      <c r="A9" s="32" t="inlineStr">
        <is>
          <t>• Моля попълвайте задължително Баркод (EAN-13) и/или Вашия код в Бакалия (Мистрал ID), за да се избегнат грешки при зареждането на касите.</t>
        </is>
      </c>
    </row>
    <row r="10" ht="20" customHeight="1">
      <c r="A10" s="32" t="inlineStr">
        <is>
          <t>• Наименованието на артикула следва да бъде точно и ясно (вкл. грамаж / разфасовка), както следва да се изпише на етикета и карето.</t>
        </is>
      </c>
    </row>
    <row r="11" ht="20" customHeight="1">
      <c r="A11" s="32" t="inlineStr">
        <is>
          <t>• При промоции тип „асортимент“ (различни видове/вкусове на една цена), посочете вкусовете в колона „Специфика / Забележка“.</t>
        </is>
      </c>
    </row>
    <row r="13" ht="24" customHeight="1">
      <c r="A13" s="3" t="inlineStr">
        <is>
          <t>3. Ценообразуване и целеви маржове</t>
        </is>
      </c>
    </row>
    <row r="14" ht="20" customHeight="1">
      <c r="A14" s="32" t="inlineStr">
        <is>
          <t>• Предложената промоционална продажна цена (с ДДС) трябва да гарантира реално потребителско намаление и целевия брутен марж.</t>
        </is>
      </c>
    </row>
    <row r="15" ht="20" customHeight="1">
      <c r="A15" s="32" t="inlineStr">
        <is>
          <t>• Колона „Статус на маржа“ изчислява автоматично доходността: 🟢 Отличен (над 22%), 🟡 За преглед (15-22%), 🔴 Нисък марж (под 15%).</t>
        </is>
      </c>
    </row>
    <row r="16" ht="20" customHeight="1">
      <c r="A16" s="32" t="inlineStr">
        <is>
          <t>• Всички цени са централно фиксирани и заключени от Централния офис на „Бакалия“.</t>
        </is>
      </c>
    </row>
    <row r="18" ht="24" customHeight="1">
      <c r="A18" s="3" t="inlineStr">
        <is>
          <t>4. Договорени търговски условия (ДТУ) и такси участия</t>
        </is>
      </c>
    </row>
    <row r="19" ht="20" customHeight="1">
      <c r="A19" s="32" t="inlineStr">
        <is>
          <t>• Стандартна такса за 1 брой каре/участие в промоционална брошура: 110.00 лв. без ДДС.</t>
        </is>
      </c>
    </row>
    <row r="20" ht="20" customHeight="1">
      <c r="A20" s="32" t="inlineStr">
        <is>
          <t>• За партньори с фиксирани месечни пакети (Оптимо, Смм Комерс, Филикон, Николов Дистрибюшън) важат договорените пакетни условия.</t>
        </is>
      </c>
    </row>
    <row r="21" ht="20" customHeight="1">
      <c r="A21" s="32" t="inlineStr">
        <is>
          <t>• За партньори с компенсиран висок % Бонус Оборот (БО) таксата брошура е 0.00 лв., съгласно индивидуалния ДТУ договор.</t>
        </is>
      </c>
    </row>
    <row r="22" ht="20" customHeight="1">
      <c r="A22" s="32" t="inlineStr">
        <is>
          <t>• Фактурирането на таксите за брошури се извършва след края на съответния отчетен месец.</t>
        </is>
      </c>
    </row>
    <row r="24" ht="24" customHeight="1">
      <c r="A24" s="3" t="inlineStr">
        <is>
          <t>5. Срокове и подаване</t>
        </is>
      </c>
    </row>
    <row r="25" ht="20" customHeight="1">
      <c r="A25" s="32" t="inlineStr">
        <is>
          <t>• Попълнената бланка се изпраща обратно по имейл най-късно до посочения краен срок в шапката на бланката.</t>
        </is>
      </c>
    </row>
    <row r="26" ht="20" customHeight="1">
      <c r="A26" s="32" t="inlineStr">
        <is>
          <t>• Запитвания и потвърждения се изпращат към търговския отдел на „Бакалия“: s.mart.tonev@gmail.com.</t>
        </is>
      </c>
    </row>
  </sheetData>
  <mergeCells count="21">
    <mergeCell ref="A14:G14"/>
    <mergeCell ref="A8:G8"/>
    <mergeCell ref="A22:G22"/>
    <mergeCell ref="A4:G4"/>
    <mergeCell ref="A20:G20"/>
    <mergeCell ref="A19:G19"/>
    <mergeCell ref="A10:G10"/>
    <mergeCell ref="A13:G13"/>
    <mergeCell ref="A9:G9"/>
    <mergeCell ref="A24:G24"/>
    <mergeCell ref="A15:G15"/>
    <mergeCell ref="A11:G11"/>
    <mergeCell ref="A1:G1"/>
    <mergeCell ref="A6:G6"/>
    <mergeCell ref="A16:G16"/>
    <mergeCell ref="A25:G25"/>
    <mergeCell ref="A18:G18"/>
    <mergeCell ref="A3:G3"/>
    <mergeCell ref="A21:G21"/>
    <mergeCell ref="A26:G26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ТЕХНИЧЕСКИ ЕКСПОРТ КЪМ АГЕНЦИЯТА ЗА ПРЕДПЕЧАТ (100% СЪВМЕСТИМ ФОРМАТ)</t>
        </is>
      </c>
    </row>
    <row r="2" ht="26" customHeight="1">
      <c r="A2" s="33" t="inlineStr">
        <is>
          <t>Арт. Номер</t>
        </is>
      </c>
      <c r="B2" s="33" t="inlineStr">
        <is>
          <t>Наименование артикул</t>
        </is>
      </c>
      <c r="C2" s="33" t="inlineStr">
        <is>
          <t>М. Ед</t>
        </is>
      </c>
      <c r="D2" s="33" t="inlineStr">
        <is>
          <t>Фирма</t>
        </is>
      </c>
      <c r="E2" s="33" t="inlineStr">
        <is>
          <t>Д.ц.</t>
        </is>
      </c>
      <c r="F2" s="33" t="inlineStr">
        <is>
          <t>Промо д.ц.</t>
        </is>
      </c>
      <c r="G2" s="33" t="inlineStr">
        <is>
          <t>Пр.ц.</t>
        </is>
      </c>
      <c r="H2" s="33" t="inlineStr">
        <is>
          <t>Промо пр.ц.</t>
        </is>
      </c>
      <c r="I2" s="33" t="inlineStr">
        <is>
          <t>Период</t>
        </is>
      </c>
      <c r="J2" s="33" t="inlineStr">
        <is>
          <t>Участия</t>
        </is>
      </c>
    </row>
    <row r="3" ht="20" customHeight="1">
      <c r="A3" s="31">
        <f>IF(Бланка_Предложения!D15="","",IF(Бланка_Предложения!B15&lt;&gt;"",Бланка_Предложения!B15,Бланка_Предложения!C15))</f>
        <v/>
      </c>
      <c r="B3" s="34">
        <f>IF(Бланка_Предложения!D15="","",Бланка_Предложения!D15)</f>
        <v/>
      </c>
      <c r="C3" s="31">
        <f>IF(Бланка_Предложения!D15="","",Бланка_Предложения!E15)</f>
        <v/>
      </c>
      <c r="D3" s="34">
        <f>IF(Бланка_Предложения!D15="","",IF(Бланка_Предложения!F15&lt;&gt;"",Бланка_Предложения!F15,Бланка_Предложения!$D$9))</f>
        <v/>
      </c>
      <c r="E3" s="35">
        <f>IF(Бланка_Предложения!D15="","",Бланка_Предложения!G15)</f>
        <v/>
      </c>
      <c r="F3" s="35">
        <f>IF(Бланка_Предложения!D15="","",Бланка_Предложения!H15)</f>
        <v/>
      </c>
      <c r="G3" s="35">
        <f>IF(Бланка_Предложения!D15="","",Бланка_Предложения!J15)</f>
        <v/>
      </c>
      <c r="H3" s="35">
        <f>IF(Бланка_Предложения!D15="","",Бланка_Предложения!K15)</f>
        <v/>
      </c>
      <c r="I3" s="31">
        <f>IF(Бланка_Предложения!D15="","",Бланка_Предложения!O15)</f>
        <v/>
      </c>
      <c r="J3" s="31">
        <f>IF(Бланка_Предложения!D15="","",Бланка_Предложения!P15)</f>
        <v/>
      </c>
    </row>
    <row r="4" ht="20" customHeight="1">
      <c r="A4" s="31">
        <f>IF(Бланка_Предложения!D16="","",IF(Бланка_Предложения!B16&lt;&gt;"",Бланка_Предложения!B16,Бланка_Предложения!C16))</f>
        <v/>
      </c>
      <c r="B4" s="34">
        <f>IF(Бланка_Предложения!D16="","",Бланка_Предложения!D16)</f>
        <v/>
      </c>
      <c r="C4" s="31">
        <f>IF(Бланка_Предложения!D16="","",Бланка_Предложения!E16)</f>
        <v/>
      </c>
      <c r="D4" s="34">
        <f>IF(Бланка_Предложения!D16="","",IF(Бланка_Предложения!F16&lt;&gt;"",Бланка_Предложения!F16,Бланка_Предложения!$D$9))</f>
        <v/>
      </c>
      <c r="E4" s="35">
        <f>IF(Бланка_Предложения!D16="","",Бланка_Предложения!G16)</f>
        <v/>
      </c>
      <c r="F4" s="35">
        <f>IF(Бланка_Предложения!D16="","",Бланка_Предложения!H16)</f>
        <v/>
      </c>
      <c r="G4" s="35">
        <f>IF(Бланка_Предложения!D16="","",Бланка_Предложения!J16)</f>
        <v/>
      </c>
      <c r="H4" s="35">
        <f>IF(Бланка_Предложения!D16="","",Бланка_Предложения!K16)</f>
        <v/>
      </c>
      <c r="I4" s="31">
        <f>IF(Бланка_Предложения!D16="","",Бланка_Предложения!O16)</f>
        <v/>
      </c>
      <c r="J4" s="31">
        <f>IF(Бланка_Предложения!D16="","",Бланка_Предложения!P16)</f>
        <v/>
      </c>
    </row>
    <row r="5" ht="20" customHeight="1">
      <c r="A5" s="31">
        <f>IF(Бланка_Предложения!D17="","",IF(Бланка_Предложения!B17&lt;&gt;"",Бланка_Предложения!B17,Бланка_Предложения!C17))</f>
        <v/>
      </c>
      <c r="B5" s="34">
        <f>IF(Бланка_Предложения!D17="","",Бланка_Предложения!D17)</f>
        <v/>
      </c>
      <c r="C5" s="31">
        <f>IF(Бланка_Предложения!D17="","",Бланка_Предложения!E17)</f>
        <v/>
      </c>
      <c r="D5" s="34">
        <f>IF(Бланка_Предложения!D17="","",IF(Бланка_Предложения!F17&lt;&gt;"",Бланка_Предложения!F17,Бланка_Предложения!$D$9))</f>
        <v/>
      </c>
      <c r="E5" s="35">
        <f>IF(Бланка_Предложения!D17="","",Бланка_Предложения!G17)</f>
        <v/>
      </c>
      <c r="F5" s="35">
        <f>IF(Бланка_Предложения!D17="","",Бланка_Предложения!H17)</f>
        <v/>
      </c>
      <c r="G5" s="35">
        <f>IF(Бланка_Предложения!D17="","",Бланка_Предложения!J17)</f>
        <v/>
      </c>
      <c r="H5" s="35">
        <f>IF(Бланка_Предложения!D17="","",Бланка_Предложения!K17)</f>
        <v/>
      </c>
      <c r="I5" s="31">
        <f>IF(Бланка_Предложения!D17="","",Бланка_Предложения!O17)</f>
        <v/>
      </c>
      <c r="J5" s="31">
        <f>IF(Бланка_Предложения!D17="","",Бланка_Предложения!P17)</f>
        <v/>
      </c>
    </row>
    <row r="6" ht="20" customHeight="1">
      <c r="A6" s="31">
        <f>IF(Бланка_Предложения!D18="","",IF(Бланка_Предложения!B18&lt;&gt;"",Бланка_Предложения!B18,Бланка_Предложения!C18))</f>
        <v/>
      </c>
      <c r="B6" s="34">
        <f>IF(Бланка_Предложения!D18="","",Бланка_Предложения!D18)</f>
        <v/>
      </c>
      <c r="C6" s="31">
        <f>IF(Бланка_Предложения!D18="","",Бланка_Предложения!E18)</f>
        <v/>
      </c>
      <c r="D6" s="34">
        <f>IF(Бланка_Предложения!D18="","",IF(Бланка_Предложения!F18&lt;&gt;"",Бланка_Предложения!F18,Бланка_Предложения!$D$9))</f>
        <v/>
      </c>
      <c r="E6" s="35">
        <f>IF(Бланка_Предложения!D18="","",Бланка_Предложения!G18)</f>
        <v/>
      </c>
      <c r="F6" s="35">
        <f>IF(Бланка_Предложения!D18="","",Бланка_Предложения!H18)</f>
        <v/>
      </c>
      <c r="G6" s="35">
        <f>IF(Бланка_Предложения!D18="","",Бланка_Предложения!J18)</f>
        <v/>
      </c>
      <c r="H6" s="35">
        <f>IF(Бланка_Предложения!D18="","",Бланка_Предложения!K18)</f>
        <v/>
      </c>
      <c r="I6" s="31">
        <f>IF(Бланка_Предложения!D18="","",Бланка_Предложения!O18)</f>
        <v/>
      </c>
      <c r="J6" s="31">
        <f>IF(Бланка_Предложения!D18="","",Бланка_Предложения!P18)</f>
        <v/>
      </c>
    </row>
    <row r="7" ht="20" customHeight="1">
      <c r="A7" s="31">
        <f>IF(Бланка_Предложения!D19="","",IF(Бланка_Предложения!B19&lt;&gt;"",Бланка_Предложения!B19,Бланка_Предложения!C19))</f>
        <v/>
      </c>
      <c r="B7" s="34">
        <f>IF(Бланка_Предложения!D19="","",Бланка_Предложения!D19)</f>
        <v/>
      </c>
      <c r="C7" s="31">
        <f>IF(Бланка_Предложения!D19="","",Бланка_Предложения!E19)</f>
        <v/>
      </c>
      <c r="D7" s="34">
        <f>IF(Бланка_Предложения!D19="","",IF(Бланка_Предложения!F19&lt;&gt;"",Бланка_Предложения!F19,Бланка_Предложения!$D$9))</f>
        <v/>
      </c>
      <c r="E7" s="35">
        <f>IF(Бланка_Предложения!D19="","",Бланка_Предложения!G19)</f>
        <v/>
      </c>
      <c r="F7" s="35">
        <f>IF(Бланка_Предложения!D19="","",Бланка_Предложения!H19)</f>
        <v/>
      </c>
      <c r="G7" s="35">
        <f>IF(Бланка_Предложения!D19="","",Бланка_Предложения!J19)</f>
        <v/>
      </c>
      <c r="H7" s="35">
        <f>IF(Бланка_Предложения!D19="","",Бланка_Предложения!K19)</f>
        <v/>
      </c>
      <c r="I7" s="31">
        <f>IF(Бланка_Предложения!D19="","",Бланка_Предложения!O19)</f>
        <v/>
      </c>
      <c r="J7" s="31">
        <f>IF(Бланка_Предложения!D19="","",Бланка_Предложения!P19)</f>
        <v/>
      </c>
    </row>
    <row r="8" ht="20" customHeight="1">
      <c r="A8" s="31">
        <f>IF(Бланка_Предложения!D20="","",IF(Бланка_Предложения!B20&lt;&gt;"",Бланка_Предложения!B20,Бланка_Предложения!C20))</f>
        <v/>
      </c>
      <c r="B8" s="34">
        <f>IF(Бланка_Предложения!D20="","",Бланка_Предложения!D20)</f>
        <v/>
      </c>
      <c r="C8" s="31">
        <f>IF(Бланка_Предложения!D20="","",Бланка_Предложения!E20)</f>
        <v/>
      </c>
      <c r="D8" s="34">
        <f>IF(Бланка_Предложения!D20="","",IF(Бланка_Предложения!F20&lt;&gt;"",Бланка_Предложения!F20,Бланка_Предложения!$D$9))</f>
        <v/>
      </c>
      <c r="E8" s="35">
        <f>IF(Бланка_Предложения!D20="","",Бланка_Предложения!G20)</f>
        <v/>
      </c>
      <c r="F8" s="35">
        <f>IF(Бланка_Предложения!D20="","",Бланка_Предложения!H20)</f>
        <v/>
      </c>
      <c r="G8" s="35">
        <f>IF(Бланка_Предложения!D20="","",Бланка_Предложения!J20)</f>
        <v/>
      </c>
      <c r="H8" s="35">
        <f>IF(Бланка_Предложения!D20="","",Бланка_Предложения!K20)</f>
        <v/>
      </c>
      <c r="I8" s="31">
        <f>IF(Бланка_Предложения!D20="","",Бланка_Предложения!O20)</f>
        <v/>
      </c>
      <c r="J8" s="31">
        <f>IF(Бланка_Предложения!D20="","",Бланка_Предложения!P20)</f>
        <v/>
      </c>
    </row>
    <row r="9" ht="20" customHeight="1">
      <c r="A9" s="31">
        <f>IF(Бланка_Предложения!D21="","",IF(Бланка_Предложения!B21&lt;&gt;"",Бланка_Предложения!B21,Бланка_Предложения!C21))</f>
        <v/>
      </c>
      <c r="B9" s="34">
        <f>IF(Бланка_Предложения!D21="","",Бланка_Предложения!D21)</f>
        <v/>
      </c>
      <c r="C9" s="31">
        <f>IF(Бланка_Предложения!D21="","",Бланка_Предложения!E21)</f>
        <v/>
      </c>
      <c r="D9" s="34">
        <f>IF(Бланка_Предложения!D21="","",IF(Бланка_Предложения!F21&lt;&gt;"",Бланка_Предложения!F21,Бланка_Предложения!$D$9))</f>
        <v/>
      </c>
      <c r="E9" s="35">
        <f>IF(Бланка_Предложения!D21="","",Бланка_Предложения!G21)</f>
        <v/>
      </c>
      <c r="F9" s="35">
        <f>IF(Бланка_Предложения!D21="","",Бланка_Предложения!H21)</f>
        <v/>
      </c>
      <c r="G9" s="35">
        <f>IF(Бланка_Предложения!D21="","",Бланка_Предложения!J21)</f>
        <v/>
      </c>
      <c r="H9" s="35">
        <f>IF(Бланка_Предложения!D21="","",Бланка_Предложения!K21)</f>
        <v/>
      </c>
      <c r="I9" s="31">
        <f>IF(Бланка_Предложения!D21="","",Бланка_Предложения!O21)</f>
        <v/>
      </c>
      <c r="J9" s="31">
        <f>IF(Бланка_Предложения!D21="","",Бланка_Предложения!P21)</f>
        <v/>
      </c>
    </row>
    <row r="10" ht="20" customHeight="1">
      <c r="A10" s="31">
        <f>IF(Бланка_Предложения!D22="","",IF(Бланка_Предложения!B22&lt;&gt;"",Бланка_Предложения!B22,Бланка_Предложения!C22))</f>
        <v/>
      </c>
      <c r="B10" s="34">
        <f>IF(Бланка_Предложения!D22="","",Бланка_Предложения!D22)</f>
        <v/>
      </c>
      <c r="C10" s="31">
        <f>IF(Бланка_Предложения!D22="","",Бланка_Предложения!E22)</f>
        <v/>
      </c>
      <c r="D10" s="34">
        <f>IF(Бланка_Предложения!D22="","",IF(Бланка_Предложения!F22&lt;&gt;"",Бланка_Предложения!F22,Бланка_Предложения!$D$9))</f>
        <v/>
      </c>
      <c r="E10" s="35">
        <f>IF(Бланка_Предложения!D22="","",Бланка_Предложения!G22)</f>
        <v/>
      </c>
      <c r="F10" s="35">
        <f>IF(Бланка_Предложения!D22="","",Бланка_Предложения!H22)</f>
        <v/>
      </c>
      <c r="G10" s="35">
        <f>IF(Бланка_Предложения!D22="","",Бланка_Предложения!J22)</f>
        <v/>
      </c>
      <c r="H10" s="35">
        <f>IF(Бланка_Предложения!D22="","",Бланка_Предложения!K22)</f>
        <v/>
      </c>
      <c r="I10" s="31">
        <f>IF(Бланка_Предложения!D22="","",Бланка_Предложения!O22)</f>
        <v/>
      </c>
      <c r="J10" s="31">
        <f>IF(Бланка_Предложения!D22="","",Бланка_Предложения!P22)</f>
        <v/>
      </c>
    </row>
    <row r="11" ht="20" customHeight="1">
      <c r="A11" s="31">
        <f>IF(Бланка_Предложения!D23="","",IF(Бланка_Предложения!B23&lt;&gt;"",Бланка_Предложения!B23,Бланка_Предложения!C23))</f>
        <v/>
      </c>
      <c r="B11" s="34">
        <f>IF(Бланка_Предложения!D23="","",Бланка_Предложения!D23)</f>
        <v/>
      </c>
      <c r="C11" s="31">
        <f>IF(Бланка_Предложения!D23="","",Бланка_Предложения!E23)</f>
        <v/>
      </c>
      <c r="D11" s="34">
        <f>IF(Бланка_Предложения!D23="","",IF(Бланка_Предложения!F23&lt;&gt;"",Бланка_Предложения!F23,Бланка_Предложения!$D$9))</f>
        <v/>
      </c>
      <c r="E11" s="35">
        <f>IF(Бланка_Предложения!D23="","",Бланка_Предложения!G23)</f>
        <v/>
      </c>
      <c r="F11" s="35">
        <f>IF(Бланка_Предложения!D23="","",Бланка_Предложения!H23)</f>
        <v/>
      </c>
      <c r="G11" s="35">
        <f>IF(Бланка_Предложения!D23="","",Бланка_Предложения!J23)</f>
        <v/>
      </c>
      <c r="H11" s="35">
        <f>IF(Бланка_Предложения!D23="","",Бланка_Предложения!K23)</f>
        <v/>
      </c>
      <c r="I11" s="31">
        <f>IF(Бланка_Предложения!D23="","",Бланка_Предложения!O23)</f>
        <v/>
      </c>
      <c r="J11" s="31">
        <f>IF(Бланка_Предложения!D23="","",Бланка_Предложения!P23)</f>
        <v/>
      </c>
    </row>
    <row r="12" ht="20" customHeight="1">
      <c r="A12" s="31">
        <f>IF(Бланка_Предложения!D24="","",IF(Бланка_Предложения!B24&lt;&gt;"",Бланка_Предложения!B24,Бланка_Предложения!C24))</f>
        <v/>
      </c>
      <c r="B12" s="34">
        <f>IF(Бланка_Предложения!D24="","",Бланка_Предложения!D24)</f>
        <v/>
      </c>
      <c r="C12" s="31">
        <f>IF(Бланка_Предложения!D24="","",Бланка_Предложения!E24)</f>
        <v/>
      </c>
      <c r="D12" s="34">
        <f>IF(Бланка_Предложения!D24="","",IF(Бланка_Предложения!F24&lt;&gt;"",Бланка_Предложения!F24,Бланка_Предложения!$D$9))</f>
        <v/>
      </c>
      <c r="E12" s="35">
        <f>IF(Бланка_Предложения!D24="","",Бланка_Предложения!G24)</f>
        <v/>
      </c>
      <c r="F12" s="35">
        <f>IF(Бланка_Предложения!D24="","",Бланка_Предложения!H24)</f>
        <v/>
      </c>
      <c r="G12" s="35">
        <f>IF(Бланка_Предложения!D24="","",Бланка_Предложения!J24)</f>
        <v/>
      </c>
      <c r="H12" s="35">
        <f>IF(Бланка_Предложения!D24="","",Бланка_Предложения!K24)</f>
        <v/>
      </c>
      <c r="I12" s="31">
        <f>IF(Бланка_Предложения!D24="","",Бланка_Предложения!O24)</f>
        <v/>
      </c>
      <c r="J12" s="31">
        <f>IF(Бланка_Предложения!D24="","",Бланка_Предложения!P24)</f>
        <v/>
      </c>
    </row>
    <row r="13" ht="20" customHeight="1">
      <c r="A13" s="31">
        <f>IF(Бланка_Предложения!D25="","",IF(Бланка_Предложения!B25&lt;&gt;"",Бланка_Предложения!B25,Бланка_Предложения!C25))</f>
        <v/>
      </c>
      <c r="B13" s="34">
        <f>IF(Бланка_Предложения!D25="","",Бланка_Предложения!D25)</f>
        <v/>
      </c>
      <c r="C13" s="31">
        <f>IF(Бланка_Предложения!D25="","",Бланка_Предложения!E25)</f>
        <v/>
      </c>
      <c r="D13" s="34">
        <f>IF(Бланка_Предложения!D25="","",IF(Бланка_Предложения!F25&lt;&gt;"",Бланка_Предложения!F25,Бланка_Предложения!$D$9))</f>
        <v/>
      </c>
      <c r="E13" s="35">
        <f>IF(Бланка_Предложения!D25="","",Бланка_Предложения!G25)</f>
        <v/>
      </c>
      <c r="F13" s="35">
        <f>IF(Бланка_Предложения!D25="","",Бланка_Предложения!H25)</f>
        <v/>
      </c>
      <c r="G13" s="35">
        <f>IF(Бланка_Предложения!D25="","",Бланка_Предложения!J25)</f>
        <v/>
      </c>
      <c r="H13" s="35">
        <f>IF(Бланка_Предложения!D25="","",Бланка_Предложения!K25)</f>
        <v/>
      </c>
      <c r="I13" s="31">
        <f>IF(Бланка_Предложения!D25="","",Бланка_Предложения!O25)</f>
        <v/>
      </c>
      <c r="J13" s="31">
        <f>IF(Бланка_Предложения!D25="","",Бланка_Предложения!P25)</f>
        <v/>
      </c>
    </row>
    <row r="14" ht="20" customHeight="1">
      <c r="A14" s="31">
        <f>IF(Бланка_Предложения!D26="","",IF(Бланка_Предложения!B26&lt;&gt;"",Бланка_Предложения!B26,Бланка_Предложения!C26))</f>
        <v/>
      </c>
      <c r="B14" s="34">
        <f>IF(Бланка_Предложения!D26="","",Бланка_Предложения!D26)</f>
        <v/>
      </c>
      <c r="C14" s="31">
        <f>IF(Бланка_Предложения!D26="","",Бланка_Предложения!E26)</f>
        <v/>
      </c>
      <c r="D14" s="34">
        <f>IF(Бланка_Предложения!D26="","",IF(Бланка_Предложения!F26&lt;&gt;"",Бланка_Предложения!F26,Бланка_Предложения!$D$9))</f>
        <v/>
      </c>
      <c r="E14" s="35">
        <f>IF(Бланка_Предложения!D26="","",Бланка_Предложения!G26)</f>
        <v/>
      </c>
      <c r="F14" s="35">
        <f>IF(Бланка_Предложения!D26="","",Бланка_Предложения!H26)</f>
        <v/>
      </c>
      <c r="G14" s="35">
        <f>IF(Бланка_Предложения!D26="","",Бланка_Предложения!J26)</f>
        <v/>
      </c>
      <c r="H14" s="35">
        <f>IF(Бланка_Предложения!D26="","",Бланка_Предложения!K26)</f>
        <v/>
      </c>
      <c r="I14" s="31">
        <f>IF(Бланка_Предложения!D26="","",Бланка_Предложения!O26)</f>
        <v/>
      </c>
      <c r="J14" s="31">
        <f>IF(Бланка_Предложения!D26="","",Бланка_Предложения!P26)</f>
        <v/>
      </c>
    </row>
    <row r="15" ht="20" customHeight="1">
      <c r="A15" s="31">
        <f>IF(Бланка_Предложения!D27="","",IF(Бланка_Предложения!B27&lt;&gt;"",Бланка_Предложения!B27,Бланка_Предложения!C27))</f>
        <v/>
      </c>
      <c r="B15" s="34">
        <f>IF(Бланка_Предложения!D27="","",Бланка_Предложения!D27)</f>
        <v/>
      </c>
      <c r="C15" s="31">
        <f>IF(Бланка_Предложения!D27="","",Бланка_Предложения!E27)</f>
        <v/>
      </c>
      <c r="D15" s="34">
        <f>IF(Бланка_Предложения!D27="","",IF(Бланка_Предложения!F27&lt;&gt;"",Бланка_Предложения!F27,Бланка_Предложения!$D$9))</f>
        <v/>
      </c>
      <c r="E15" s="35">
        <f>IF(Бланка_Предложения!D27="","",Бланка_Предложения!G27)</f>
        <v/>
      </c>
      <c r="F15" s="35">
        <f>IF(Бланка_Предложения!D27="","",Бланка_Предложения!H27)</f>
        <v/>
      </c>
      <c r="G15" s="35">
        <f>IF(Бланка_Предложения!D27="","",Бланка_Предложения!J27)</f>
        <v/>
      </c>
      <c r="H15" s="35">
        <f>IF(Бланка_Предложения!D27="","",Бланка_Предложения!K27)</f>
        <v/>
      </c>
      <c r="I15" s="31">
        <f>IF(Бланка_Предложения!D27="","",Бланка_Предложения!O27)</f>
        <v/>
      </c>
      <c r="J15" s="31">
        <f>IF(Бланка_Предложения!D27="","",Бланка_Предложения!P27)</f>
        <v/>
      </c>
    </row>
    <row r="16" ht="20" customHeight="1">
      <c r="A16" s="31">
        <f>IF(Бланка_Предложения!D28="","",IF(Бланка_Предложения!B28&lt;&gt;"",Бланка_Предложения!B28,Бланка_Предложения!C28))</f>
        <v/>
      </c>
      <c r="B16" s="34">
        <f>IF(Бланка_Предложения!D28="","",Бланка_Предложения!D28)</f>
        <v/>
      </c>
      <c r="C16" s="31">
        <f>IF(Бланка_Предложения!D28="","",Бланка_Предложения!E28)</f>
        <v/>
      </c>
      <c r="D16" s="34">
        <f>IF(Бланка_Предложения!D28="","",IF(Бланка_Предложения!F28&lt;&gt;"",Бланка_Предложения!F28,Бланка_Предложения!$D$9))</f>
        <v/>
      </c>
      <c r="E16" s="35">
        <f>IF(Бланка_Предложения!D28="","",Бланка_Предложения!G28)</f>
        <v/>
      </c>
      <c r="F16" s="35">
        <f>IF(Бланка_Предложения!D28="","",Бланка_Предложения!H28)</f>
        <v/>
      </c>
      <c r="G16" s="35">
        <f>IF(Бланка_Предложения!D28="","",Бланка_Предложения!J28)</f>
        <v/>
      </c>
      <c r="H16" s="35">
        <f>IF(Бланка_Предложения!D28="","",Бланка_Предложения!K28)</f>
        <v/>
      </c>
      <c r="I16" s="31">
        <f>IF(Бланка_Предложения!D28="","",Бланка_Предложения!O28)</f>
        <v/>
      </c>
      <c r="J16" s="31">
        <f>IF(Бланка_Предложения!D28="","",Бланка_Предложения!P28)</f>
        <v/>
      </c>
    </row>
    <row r="17" ht="20" customHeight="1">
      <c r="A17" s="31">
        <f>IF(Бланка_Предложения!D29="","",IF(Бланка_Предложения!B29&lt;&gt;"",Бланка_Предложения!B29,Бланка_Предложения!C29))</f>
        <v/>
      </c>
      <c r="B17" s="34">
        <f>IF(Бланка_Предложения!D29="","",Бланка_Предложения!D29)</f>
        <v/>
      </c>
      <c r="C17" s="31">
        <f>IF(Бланка_Предложения!D29="","",Бланка_Предложения!E29)</f>
        <v/>
      </c>
      <c r="D17" s="34">
        <f>IF(Бланка_Предложения!D29="","",IF(Бланка_Предложения!F29&lt;&gt;"",Бланка_Предложения!F29,Бланка_Предложения!$D$9))</f>
        <v/>
      </c>
      <c r="E17" s="35">
        <f>IF(Бланка_Предложения!D29="","",Бланка_Предложения!G29)</f>
        <v/>
      </c>
      <c r="F17" s="35">
        <f>IF(Бланка_Предложения!D29="","",Бланка_Предложения!H29)</f>
        <v/>
      </c>
      <c r="G17" s="35">
        <f>IF(Бланка_Предложения!D29="","",Бланка_Предложения!J29)</f>
        <v/>
      </c>
      <c r="H17" s="35">
        <f>IF(Бланка_Предложения!D29="","",Бланка_Предложения!K29)</f>
        <v/>
      </c>
      <c r="I17" s="31">
        <f>IF(Бланка_Предложения!D29="","",Бланка_Предложения!O29)</f>
        <v/>
      </c>
      <c r="J17" s="31">
        <f>IF(Бланка_Предложения!D29="","",Бланка_Предложения!P29)</f>
        <v/>
      </c>
    </row>
    <row r="18" ht="20" customHeight="1">
      <c r="A18" s="31">
        <f>IF(Бланка_Предложения!D30="","",IF(Бланка_Предложения!B30&lt;&gt;"",Бланка_Предложения!B30,Бланка_Предложения!C30))</f>
        <v/>
      </c>
      <c r="B18" s="34">
        <f>IF(Бланка_Предложения!D30="","",Бланка_Предложения!D30)</f>
        <v/>
      </c>
      <c r="C18" s="31">
        <f>IF(Бланка_Предложения!D30="","",Бланка_Предложения!E30)</f>
        <v/>
      </c>
      <c r="D18" s="34">
        <f>IF(Бланка_Предложения!D30="","",IF(Бланка_Предложения!F30&lt;&gt;"",Бланка_Предложения!F30,Бланка_Предложения!$D$9))</f>
        <v/>
      </c>
      <c r="E18" s="35">
        <f>IF(Бланка_Предложения!D30="","",Бланка_Предложения!G30)</f>
        <v/>
      </c>
      <c r="F18" s="35">
        <f>IF(Бланка_Предложения!D30="","",Бланка_Предложения!H30)</f>
        <v/>
      </c>
      <c r="G18" s="35">
        <f>IF(Бланка_Предложения!D30="","",Бланка_Предложения!J30)</f>
        <v/>
      </c>
      <c r="H18" s="35">
        <f>IF(Бланка_Предложения!D30="","",Бланка_Предложения!K30)</f>
        <v/>
      </c>
      <c r="I18" s="31">
        <f>IF(Бланка_Предложения!D30="","",Бланка_Предложения!O30)</f>
        <v/>
      </c>
      <c r="J18" s="31">
        <f>IF(Бланка_Предложения!D30="","",Бланка_Предложения!P30)</f>
        <v/>
      </c>
    </row>
    <row r="19" ht="20" customHeight="1">
      <c r="A19" s="31">
        <f>IF(Бланка_Предложения!D31="","",IF(Бланка_Предложения!B31&lt;&gt;"",Бланка_Предложения!B31,Бланка_Предложения!C31))</f>
        <v/>
      </c>
      <c r="B19" s="34">
        <f>IF(Бланка_Предложения!D31="","",Бланка_Предложения!D31)</f>
        <v/>
      </c>
      <c r="C19" s="31">
        <f>IF(Бланка_Предложения!D31="","",Бланка_Предложения!E31)</f>
        <v/>
      </c>
      <c r="D19" s="34">
        <f>IF(Бланка_Предложения!D31="","",IF(Бланка_Предложения!F31&lt;&gt;"",Бланка_Предложения!F31,Бланка_Предложения!$D$9))</f>
        <v/>
      </c>
      <c r="E19" s="35">
        <f>IF(Бланка_Предложения!D31="","",Бланка_Предложения!G31)</f>
        <v/>
      </c>
      <c r="F19" s="35">
        <f>IF(Бланка_Предложения!D31="","",Бланка_Предложения!H31)</f>
        <v/>
      </c>
      <c r="G19" s="35">
        <f>IF(Бланка_Предложения!D31="","",Бланка_Предложения!J31)</f>
        <v/>
      </c>
      <c r="H19" s="35">
        <f>IF(Бланка_Предложения!D31="","",Бланка_Предложения!K31)</f>
        <v/>
      </c>
      <c r="I19" s="31">
        <f>IF(Бланка_Предложения!D31="","",Бланка_Предложения!O31)</f>
        <v/>
      </c>
      <c r="J19" s="31">
        <f>IF(Бланка_Предложения!D31="","",Бланка_Предложения!P31)</f>
        <v/>
      </c>
    </row>
    <row r="20" ht="20" customHeight="1">
      <c r="A20" s="31">
        <f>IF(Бланка_Предложения!D32="","",IF(Бланка_Предложения!B32&lt;&gt;"",Бланка_Предложения!B32,Бланка_Предложения!C32))</f>
        <v/>
      </c>
      <c r="B20" s="34">
        <f>IF(Бланка_Предложения!D32="","",Бланка_Предложения!D32)</f>
        <v/>
      </c>
      <c r="C20" s="31">
        <f>IF(Бланка_Предложения!D32="","",Бланка_Предложения!E32)</f>
        <v/>
      </c>
      <c r="D20" s="34">
        <f>IF(Бланка_Предложения!D32="","",IF(Бланка_Предложения!F32&lt;&gt;"",Бланка_Предложения!F32,Бланка_Предложения!$D$9))</f>
        <v/>
      </c>
      <c r="E20" s="35">
        <f>IF(Бланка_Предложения!D32="","",Бланка_Предложения!G32)</f>
        <v/>
      </c>
      <c r="F20" s="35">
        <f>IF(Бланка_Предложения!D32="","",Бланка_Предложения!H32)</f>
        <v/>
      </c>
      <c r="G20" s="35">
        <f>IF(Бланка_Предложения!D32="","",Бланка_Предложения!J32)</f>
        <v/>
      </c>
      <c r="H20" s="35">
        <f>IF(Бланка_Предложения!D32="","",Бланка_Предложения!K32)</f>
        <v/>
      </c>
      <c r="I20" s="31">
        <f>IF(Бланка_Предложения!D32="","",Бланка_Предложения!O32)</f>
        <v/>
      </c>
      <c r="J20" s="31">
        <f>IF(Бланка_Предложения!D32="","",Бланка_Предложения!P32)</f>
        <v/>
      </c>
    </row>
    <row r="21" ht="20" customHeight="1">
      <c r="A21" s="31">
        <f>IF(Бланка_Предложения!D33="","",IF(Бланка_Предложения!B33&lt;&gt;"",Бланка_Предложения!B33,Бланка_Предложения!C33))</f>
        <v/>
      </c>
      <c r="B21" s="34">
        <f>IF(Бланка_Предложения!D33="","",Бланка_Предложения!D33)</f>
        <v/>
      </c>
      <c r="C21" s="31">
        <f>IF(Бланка_Предложения!D33="","",Бланка_Предложения!E33)</f>
        <v/>
      </c>
      <c r="D21" s="34">
        <f>IF(Бланка_Предложения!D33="","",IF(Бланка_Предложения!F33&lt;&gt;"",Бланка_Предложения!F33,Бланка_Предложения!$D$9))</f>
        <v/>
      </c>
      <c r="E21" s="35">
        <f>IF(Бланка_Предложения!D33="","",Бланка_Предложения!G33)</f>
        <v/>
      </c>
      <c r="F21" s="35">
        <f>IF(Бланка_Предложения!D33="","",Бланка_Предложения!H33)</f>
        <v/>
      </c>
      <c r="G21" s="35">
        <f>IF(Бланка_Предложения!D33="","",Бланка_Предложения!J33)</f>
        <v/>
      </c>
      <c r="H21" s="35">
        <f>IF(Бланка_Предложения!D33="","",Бланка_Предложения!K33)</f>
        <v/>
      </c>
      <c r="I21" s="31">
        <f>IF(Бланка_Предложения!D33="","",Бланка_Предложения!O33)</f>
        <v/>
      </c>
      <c r="J21" s="31">
        <f>IF(Бланка_Предложения!D33="","",Бланка_Предложения!P33)</f>
        <v/>
      </c>
    </row>
    <row r="22" ht="20" customHeight="1">
      <c r="A22" s="31">
        <f>IF(Бланка_Предложения!D34="","",IF(Бланка_Предложения!B34&lt;&gt;"",Бланка_Предложения!B34,Бланка_Предложения!C34))</f>
        <v/>
      </c>
      <c r="B22" s="34">
        <f>IF(Бланка_Предложения!D34="","",Бланка_Предложения!D34)</f>
        <v/>
      </c>
      <c r="C22" s="31">
        <f>IF(Бланка_Предложения!D34="","",Бланка_Предложения!E34)</f>
        <v/>
      </c>
      <c r="D22" s="34">
        <f>IF(Бланка_Предложения!D34="","",IF(Бланка_Предложения!F34&lt;&gt;"",Бланка_Предложения!F34,Бланка_Предложения!$D$9))</f>
        <v/>
      </c>
      <c r="E22" s="35">
        <f>IF(Бланка_Предложения!D34="","",Бланка_Предложения!G34)</f>
        <v/>
      </c>
      <c r="F22" s="35">
        <f>IF(Бланка_Предложения!D34="","",Бланка_Предложения!H34)</f>
        <v/>
      </c>
      <c r="G22" s="35">
        <f>IF(Бланка_Предложения!D34="","",Бланка_Предложения!J34)</f>
        <v/>
      </c>
      <c r="H22" s="35">
        <f>IF(Бланка_Предложения!D34="","",Бланка_Предложения!K34)</f>
        <v/>
      </c>
      <c r="I22" s="31">
        <f>IF(Бланка_Предложения!D34="","",Бланка_Предложения!O34)</f>
        <v/>
      </c>
      <c r="J22" s="31">
        <f>IF(Бланка_Предложения!D34="","",Бланка_Предложения!P34)</f>
        <v/>
      </c>
    </row>
    <row r="23" ht="20" customHeight="1">
      <c r="A23" s="31">
        <f>IF(Бланка_Предложения!D35="","",IF(Бланка_Предложения!B35&lt;&gt;"",Бланка_Предложения!B35,Бланка_Предложения!C35))</f>
        <v/>
      </c>
      <c r="B23" s="34">
        <f>IF(Бланка_Предложения!D35="","",Бланка_Предложения!D35)</f>
        <v/>
      </c>
      <c r="C23" s="31">
        <f>IF(Бланка_Предложения!D35="","",Бланка_Предложения!E35)</f>
        <v/>
      </c>
      <c r="D23" s="34">
        <f>IF(Бланка_Предложения!D35="","",IF(Бланка_Предложения!F35&lt;&gt;"",Бланка_Предложения!F35,Бланка_Предложения!$D$9))</f>
        <v/>
      </c>
      <c r="E23" s="35">
        <f>IF(Бланка_Предложения!D35="","",Бланка_Предложения!G35)</f>
        <v/>
      </c>
      <c r="F23" s="35">
        <f>IF(Бланка_Предложения!D35="","",Бланка_Предложения!H35)</f>
        <v/>
      </c>
      <c r="G23" s="35">
        <f>IF(Бланка_Предложения!D35="","",Бланка_Предложения!J35)</f>
        <v/>
      </c>
      <c r="H23" s="35">
        <f>IF(Бланка_Предложения!D35="","",Бланка_Предложения!K35)</f>
        <v/>
      </c>
      <c r="I23" s="31">
        <f>IF(Бланка_Предложения!D35="","",Бланка_Предложения!O35)</f>
        <v/>
      </c>
      <c r="J23" s="31">
        <f>IF(Бланка_Предложения!D35="","",Бланка_Предложения!P35)</f>
        <v/>
      </c>
    </row>
    <row r="24" ht="20" customHeight="1">
      <c r="A24" s="31">
        <f>IF(Бланка_Предложения!D36="","",IF(Бланка_Предложения!B36&lt;&gt;"",Бланка_Предложения!B36,Бланка_Предложения!C36))</f>
        <v/>
      </c>
      <c r="B24" s="34">
        <f>IF(Бланка_Предложения!D36="","",Бланка_Предложения!D36)</f>
        <v/>
      </c>
      <c r="C24" s="31">
        <f>IF(Бланка_Предложения!D36="","",Бланка_Предложения!E36)</f>
        <v/>
      </c>
      <c r="D24" s="34">
        <f>IF(Бланка_Предложения!D36="","",IF(Бланка_Предложения!F36&lt;&gt;"",Бланка_Предложения!F36,Бланка_Предложения!$D$9))</f>
        <v/>
      </c>
      <c r="E24" s="35">
        <f>IF(Бланка_Предложения!D36="","",Бланка_Предложения!G36)</f>
        <v/>
      </c>
      <c r="F24" s="35">
        <f>IF(Бланка_Предложения!D36="","",Бланка_Предложения!H36)</f>
        <v/>
      </c>
      <c r="G24" s="35">
        <f>IF(Бланка_Предложения!D36="","",Бланка_Предложения!J36)</f>
        <v/>
      </c>
      <c r="H24" s="35">
        <f>IF(Бланка_Предложения!D36="","",Бланка_Предложения!K36)</f>
        <v/>
      </c>
      <c r="I24" s="31">
        <f>IF(Бланка_Предложения!D36="","",Бланка_Предложения!O36)</f>
        <v/>
      </c>
      <c r="J24" s="31">
        <f>IF(Бланка_Предложения!D36="","",Бланка_Предложения!P36)</f>
        <v/>
      </c>
    </row>
    <row r="25" ht="20" customHeight="1">
      <c r="A25" s="31">
        <f>IF(Бланка_Предложения!D37="","",IF(Бланка_Предложения!B37&lt;&gt;"",Бланка_Предложения!B37,Бланка_Предложения!C37))</f>
        <v/>
      </c>
      <c r="B25" s="34">
        <f>IF(Бланка_Предложения!D37="","",Бланка_Предложения!D37)</f>
        <v/>
      </c>
      <c r="C25" s="31">
        <f>IF(Бланка_Предложения!D37="","",Бланка_Предложения!E37)</f>
        <v/>
      </c>
      <c r="D25" s="34">
        <f>IF(Бланка_Предложения!D37="","",IF(Бланка_Предложения!F37&lt;&gt;"",Бланка_Предложения!F37,Бланка_Предложения!$D$9))</f>
        <v/>
      </c>
      <c r="E25" s="35">
        <f>IF(Бланка_Предложения!D37="","",Бланка_Предложения!G37)</f>
        <v/>
      </c>
      <c r="F25" s="35">
        <f>IF(Бланка_Предложения!D37="","",Бланка_Предложения!H37)</f>
        <v/>
      </c>
      <c r="G25" s="35">
        <f>IF(Бланка_Предложения!D37="","",Бланка_Предложения!J37)</f>
        <v/>
      </c>
      <c r="H25" s="35">
        <f>IF(Бланка_Предложения!D37="","",Бланка_Предложения!K37)</f>
        <v/>
      </c>
      <c r="I25" s="31">
        <f>IF(Бланка_Предложения!D37="","",Бланка_Предложения!O37)</f>
        <v/>
      </c>
      <c r="J25" s="31">
        <f>IF(Бланка_Предложения!D37="","",Бланка_Предложения!P37)</f>
        <v/>
      </c>
    </row>
    <row r="26" ht="20" customHeight="1">
      <c r="A26" s="31">
        <f>IF(Бланка_Предложения!D38="","",IF(Бланка_Предложения!B38&lt;&gt;"",Бланка_Предложения!B38,Бланка_Предложения!C38))</f>
        <v/>
      </c>
      <c r="B26" s="34">
        <f>IF(Бланка_Предложения!D38="","",Бланка_Предложения!D38)</f>
        <v/>
      </c>
      <c r="C26" s="31">
        <f>IF(Бланка_Предложения!D38="","",Бланка_Предложения!E38)</f>
        <v/>
      </c>
      <c r="D26" s="34">
        <f>IF(Бланка_Предложения!D38="","",IF(Бланка_Предложения!F38&lt;&gt;"",Бланка_Предложения!F38,Бланка_Предложения!$D$9))</f>
        <v/>
      </c>
      <c r="E26" s="35">
        <f>IF(Бланка_Предложения!D38="","",Бланка_Предложения!G38)</f>
        <v/>
      </c>
      <c r="F26" s="35">
        <f>IF(Бланка_Предложения!D38="","",Бланка_Предложения!H38)</f>
        <v/>
      </c>
      <c r="G26" s="35">
        <f>IF(Бланка_Предложения!D38="","",Бланка_Предложения!J38)</f>
        <v/>
      </c>
      <c r="H26" s="35">
        <f>IF(Бланка_Предложения!D38="","",Бланка_Предложения!K38)</f>
        <v/>
      </c>
      <c r="I26" s="31">
        <f>IF(Бланка_Предложения!D38="","",Бланка_Предложения!O38)</f>
        <v/>
      </c>
      <c r="J26" s="31">
        <f>IF(Бланка_Предложения!D38="","",Бланка_Предложения!P38)</f>
        <v/>
      </c>
    </row>
    <row r="27" ht="20" customHeight="1">
      <c r="A27" s="31">
        <f>IF(Бланка_Предложения!D39="","",IF(Бланка_Предложения!B39&lt;&gt;"",Бланка_Предложения!B39,Бланка_Предложения!C39))</f>
        <v/>
      </c>
      <c r="B27" s="34">
        <f>IF(Бланка_Предложения!D39="","",Бланка_Предложения!D39)</f>
        <v/>
      </c>
      <c r="C27" s="31">
        <f>IF(Бланка_Предложения!D39="","",Бланка_Предложения!E39)</f>
        <v/>
      </c>
      <c r="D27" s="34">
        <f>IF(Бланка_Предложения!D39="","",IF(Бланка_Предложения!F39&lt;&gt;"",Бланка_Предложения!F39,Бланка_Предложения!$D$9))</f>
        <v/>
      </c>
      <c r="E27" s="35">
        <f>IF(Бланка_Предложения!D39="","",Бланка_Предложения!G39)</f>
        <v/>
      </c>
      <c r="F27" s="35">
        <f>IF(Бланка_Предложения!D39="","",Бланка_Предложения!H39)</f>
        <v/>
      </c>
      <c r="G27" s="35">
        <f>IF(Бланка_Предложения!D39="","",Бланка_Предложения!J39)</f>
        <v/>
      </c>
      <c r="H27" s="35">
        <f>IF(Бланка_Предложения!D39="","",Бланка_Предложения!K39)</f>
        <v/>
      </c>
      <c r="I27" s="31">
        <f>IF(Бланка_Предложения!D39="","",Бланка_Предложения!O39)</f>
        <v/>
      </c>
      <c r="J27" s="31">
        <f>IF(Бланка_Предложения!D39="","",Бланка_Предложения!P39)</f>
        <v/>
      </c>
    </row>
    <row r="28" ht="20" customHeight="1">
      <c r="A28" s="31">
        <f>IF(Бланка_Предложения!D40="","",IF(Бланка_Предложения!B40&lt;&gt;"",Бланка_Предложения!B40,Бланка_Предложения!C40))</f>
        <v/>
      </c>
      <c r="B28" s="34">
        <f>IF(Бланка_Предложения!D40="","",Бланка_Предложения!D40)</f>
        <v/>
      </c>
      <c r="C28" s="31">
        <f>IF(Бланка_Предложения!D40="","",Бланка_Предложения!E40)</f>
        <v/>
      </c>
      <c r="D28" s="34">
        <f>IF(Бланка_Предложения!D40="","",IF(Бланка_Предложения!F40&lt;&gt;"",Бланка_Предложения!F40,Бланка_Предложения!$D$9))</f>
        <v/>
      </c>
      <c r="E28" s="35">
        <f>IF(Бланка_Предложения!D40="","",Бланка_Предложения!G40)</f>
        <v/>
      </c>
      <c r="F28" s="35">
        <f>IF(Бланка_Предложения!D40="","",Бланка_Предложения!H40)</f>
        <v/>
      </c>
      <c r="G28" s="35">
        <f>IF(Бланка_Предложения!D40="","",Бланка_Предложения!J40)</f>
        <v/>
      </c>
      <c r="H28" s="35">
        <f>IF(Бланка_Предложения!D40="","",Бланка_Предложения!K40)</f>
        <v/>
      </c>
      <c r="I28" s="31">
        <f>IF(Бланка_Предложения!D40="","",Бланка_Предложения!O40)</f>
        <v/>
      </c>
      <c r="J28" s="31">
        <f>IF(Бланка_Предложения!D40="","",Бланка_Предложения!P40)</f>
        <v/>
      </c>
    </row>
    <row r="29" ht="20" customHeight="1">
      <c r="A29" s="31">
        <f>IF(Бланка_Предложения!D41="","",IF(Бланка_Предложения!B41&lt;&gt;"",Бланка_Предложения!B41,Бланка_Предложения!C41))</f>
        <v/>
      </c>
      <c r="B29" s="34">
        <f>IF(Бланка_Предложения!D41="","",Бланка_Предложения!D41)</f>
        <v/>
      </c>
      <c r="C29" s="31">
        <f>IF(Бланка_Предложения!D41="","",Бланка_Предложения!E41)</f>
        <v/>
      </c>
      <c r="D29" s="34">
        <f>IF(Бланка_Предложения!D41="","",IF(Бланка_Предложения!F41&lt;&gt;"",Бланка_Предложения!F41,Бланка_Предложения!$D$9))</f>
        <v/>
      </c>
      <c r="E29" s="35">
        <f>IF(Бланка_Предложения!D41="","",Бланка_Предложения!G41)</f>
        <v/>
      </c>
      <c r="F29" s="35">
        <f>IF(Бланка_Предложения!D41="","",Бланка_Предложения!H41)</f>
        <v/>
      </c>
      <c r="G29" s="35">
        <f>IF(Бланка_Предложения!D41="","",Бланка_Предложения!J41)</f>
        <v/>
      </c>
      <c r="H29" s="35">
        <f>IF(Бланка_Предложения!D41="","",Бланка_Предложения!K41)</f>
        <v/>
      </c>
      <c r="I29" s="31">
        <f>IF(Бланка_Предложения!D41="","",Бланка_Предложения!O41)</f>
        <v/>
      </c>
      <c r="J29" s="31">
        <f>IF(Бланка_Предложения!D41="","",Бланка_Предложения!P41)</f>
        <v/>
      </c>
    </row>
    <row r="30" ht="20" customHeight="1">
      <c r="A30" s="31">
        <f>IF(Бланка_Предложения!D42="","",IF(Бланка_Предложения!B42&lt;&gt;"",Бланка_Предложения!B42,Бланка_Предложения!C42))</f>
        <v/>
      </c>
      <c r="B30" s="34">
        <f>IF(Бланка_Предложения!D42="","",Бланка_Предложения!D42)</f>
        <v/>
      </c>
      <c r="C30" s="31">
        <f>IF(Бланка_Предложения!D42="","",Бланка_Предложения!E42)</f>
        <v/>
      </c>
      <c r="D30" s="34">
        <f>IF(Бланка_Предложения!D42="","",IF(Бланка_Предложения!F42&lt;&gt;"",Бланка_Предложения!F42,Бланка_Предложения!$D$9))</f>
        <v/>
      </c>
      <c r="E30" s="35">
        <f>IF(Бланка_Предложения!D42="","",Бланка_Предложения!G42)</f>
        <v/>
      </c>
      <c r="F30" s="35">
        <f>IF(Бланка_Предложения!D42="","",Бланка_Предложения!H42)</f>
        <v/>
      </c>
      <c r="G30" s="35">
        <f>IF(Бланка_Предложения!D42="","",Бланка_Предложения!J42)</f>
        <v/>
      </c>
      <c r="H30" s="35">
        <f>IF(Бланка_Предложения!D42="","",Бланка_Предложения!K42)</f>
        <v/>
      </c>
      <c r="I30" s="31">
        <f>IF(Бланка_Предложения!D42="","",Бланка_Предложения!O42)</f>
        <v/>
      </c>
      <c r="J30" s="31">
        <f>IF(Бланка_Предложения!D42="","",Бланка_Предложения!P42)</f>
        <v/>
      </c>
    </row>
    <row r="31" ht="20" customHeight="1">
      <c r="A31" s="31">
        <f>IF(Бланка_Предложения!D43="","",IF(Бланка_Предложения!B43&lt;&gt;"",Бланка_Предложения!B43,Бланка_Предложения!C43))</f>
        <v/>
      </c>
      <c r="B31" s="34">
        <f>IF(Бланка_Предложения!D43="","",Бланка_Предложения!D43)</f>
        <v/>
      </c>
      <c r="C31" s="31">
        <f>IF(Бланка_Предложения!D43="","",Бланка_Предложения!E43)</f>
        <v/>
      </c>
      <c r="D31" s="34">
        <f>IF(Бланка_Предложения!D43="","",IF(Бланка_Предложения!F43&lt;&gt;"",Бланка_Предложения!F43,Бланка_Предложения!$D$9))</f>
        <v/>
      </c>
      <c r="E31" s="35">
        <f>IF(Бланка_Предложения!D43="","",Бланка_Предложения!G43)</f>
        <v/>
      </c>
      <c r="F31" s="35">
        <f>IF(Бланка_Предложения!D43="","",Бланка_Предложения!H43)</f>
        <v/>
      </c>
      <c r="G31" s="35">
        <f>IF(Бланка_Предложения!D43="","",Бланка_Предложения!J43)</f>
        <v/>
      </c>
      <c r="H31" s="35">
        <f>IF(Бланка_Предложения!D43="","",Бланка_Предложения!K43)</f>
        <v/>
      </c>
      <c r="I31" s="31">
        <f>IF(Бланка_Предложения!D43="","",Бланка_Предложения!O43)</f>
        <v/>
      </c>
      <c r="J31" s="31">
        <f>IF(Бланка_Предложения!D43="","",Бланка_Предложения!P43)</f>
        <v/>
      </c>
    </row>
    <row r="32" ht="20" customHeight="1">
      <c r="A32" s="31">
        <f>IF(Бланка_Предложения!D44="","",IF(Бланка_Предложения!B44&lt;&gt;"",Бланка_Предложения!B44,Бланка_Предложения!C44))</f>
        <v/>
      </c>
      <c r="B32" s="34">
        <f>IF(Бланка_Предложения!D44="","",Бланка_Предложения!D44)</f>
        <v/>
      </c>
      <c r="C32" s="31">
        <f>IF(Бланка_Предложения!D44="","",Бланка_Предложения!E44)</f>
        <v/>
      </c>
      <c r="D32" s="34">
        <f>IF(Бланка_Предложения!D44="","",IF(Бланка_Предложения!F44&lt;&gt;"",Бланка_Предложения!F44,Бланка_Предложения!$D$9))</f>
        <v/>
      </c>
      <c r="E32" s="35">
        <f>IF(Бланка_Предложения!D44="","",Бланка_Предложения!G44)</f>
        <v/>
      </c>
      <c r="F32" s="35">
        <f>IF(Бланка_Предложения!D44="","",Бланка_Предложения!H44)</f>
        <v/>
      </c>
      <c r="G32" s="35">
        <f>IF(Бланка_Предложения!D44="","",Бланка_Предложения!J44)</f>
        <v/>
      </c>
      <c r="H32" s="35">
        <f>IF(Бланка_Предложения!D44="","",Бланка_Предложения!K44)</f>
        <v/>
      </c>
      <c r="I32" s="31">
        <f>IF(Бланка_Предложения!D44="","",Бланка_Предложения!O44)</f>
        <v/>
      </c>
      <c r="J32" s="31">
        <f>IF(Бланка_Предложения!D44="","",Бланка_Предложения!P44)</f>
        <v/>
      </c>
    </row>
    <row r="33" ht="20" customHeight="1">
      <c r="A33" s="31">
        <f>IF(Бланка_Предложения!D45="","",IF(Бланка_Предложения!B45&lt;&gt;"",Бланка_Предложения!B45,Бланка_Предложения!C45))</f>
        <v/>
      </c>
      <c r="B33" s="34">
        <f>IF(Бланка_Предложения!D45="","",Бланка_Предложения!D45)</f>
        <v/>
      </c>
      <c r="C33" s="31">
        <f>IF(Бланка_Предложения!D45="","",Бланка_Предложения!E45)</f>
        <v/>
      </c>
      <c r="D33" s="34">
        <f>IF(Бланка_Предложения!D45="","",IF(Бланка_Предложения!F45&lt;&gt;"",Бланка_Предложения!F45,Бланка_Предложения!$D$9))</f>
        <v/>
      </c>
      <c r="E33" s="35">
        <f>IF(Бланка_Предложения!D45="","",Бланка_Предложения!G45)</f>
        <v/>
      </c>
      <c r="F33" s="35">
        <f>IF(Бланка_Предложения!D45="","",Бланка_Предложения!H45)</f>
        <v/>
      </c>
      <c r="G33" s="35">
        <f>IF(Бланка_Предложения!D45="","",Бланка_Предложения!J45)</f>
        <v/>
      </c>
      <c r="H33" s="35">
        <f>IF(Бланка_Предложения!D45="","",Бланка_Предложения!K45)</f>
        <v/>
      </c>
      <c r="I33" s="31">
        <f>IF(Бланка_Предложения!D45="","",Бланка_Предложения!O45)</f>
        <v/>
      </c>
      <c r="J33" s="31">
        <f>IF(Бланка_Предложения!D45="","",Бланка_Предложения!P45)</f>
        <v/>
      </c>
    </row>
    <row r="34" ht="20" customHeight="1">
      <c r="A34" s="31">
        <f>IF(Бланка_Предложения!D46="","",IF(Бланка_Предложения!B46&lt;&gt;"",Бланка_Предложения!B46,Бланка_Предложения!C46))</f>
        <v/>
      </c>
      <c r="B34" s="34">
        <f>IF(Бланка_Предложения!D46="","",Бланка_Предложения!D46)</f>
        <v/>
      </c>
      <c r="C34" s="31">
        <f>IF(Бланка_Предложения!D46="","",Бланка_Предложения!E46)</f>
        <v/>
      </c>
      <c r="D34" s="34">
        <f>IF(Бланка_Предложения!D46="","",IF(Бланка_Предложения!F46&lt;&gt;"",Бланка_Предложения!F46,Бланка_Предложения!$D$9))</f>
        <v/>
      </c>
      <c r="E34" s="35">
        <f>IF(Бланка_Предложения!D46="","",Бланка_Предложения!G46)</f>
        <v/>
      </c>
      <c r="F34" s="35">
        <f>IF(Бланка_Предложения!D46="","",Бланка_Предложения!H46)</f>
        <v/>
      </c>
      <c r="G34" s="35">
        <f>IF(Бланка_Предложения!D46="","",Бланка_Предложения!J46)</f>
        <v/>
      </c>
      <c r="H34" s="35">
        <f>IF(Бланка_Предложения!D46="","",Бланка_Предложения!K46)</f>
        <v/>
      </c>
      <c r="I34" s="31">
        <f>IF(Бланка_Предложения!D46="","",Бланка_Предложения!O46)</f>
        <v/>
      </c>
      <c r="J34" s="31">
        <f>IF(Бланка_Предложения!D46="","",Бланка_Предложения!P46)</f>
        <v/>
      </c>
    </row>
    <row r="35" ht="20" customHeight="1">
      <c r="A35" s="31">
        <f>IF(Бланка_Предложения!D47="","",IF(Бланка_Предложения!B47&lt;&gt;"",Бланка_Предложения!B47,Бланка_Предложения!C47))</f>
        <v/>
      </c>
      <c r="B35" s="34">
        <f>IF(Бланка_Предложения!D47="","",Бланка_Предложения!D47)</f>
        <v/>
      </c>
      <c r="C35" s="31">
        <f>IF(Бланка_Предложения!D47="","",Бланка_Предложения!E47)</f>
        <v/>
      </c>
      <c r="D35" s="34">
        <f>IF(Бланка_Предложения!D47="","",IF(Бланка_Предложения!F47&lt;&gt;"",Бланка_Предложения!F47,Бланка_Предложения!$D$9))</f>
        <v/>
      </c>
      <c r="E35" s="35">
        <f>IF(Бланка_Предложения!D47="","",Бланка_Предложения!G47)</f>
        <v/>
      </c>
      <c r="F35" s="35">
        <f>IF(Бланка_Предложения!D47="","",Бланка_Предложения!H47)</f>
        <v/>
      </c>
      <c r="G35" s="35">
        <f>IF(Бланка_Предложения!D47="","",Бланка_Предложения!J47)</f>
        <v/>
      </c>
      <c r="H35" s="35">
        <f>IF(Бланка_Предложения!D47="","",Бланка_Предложения!K47)</f>
        <v/>
      </c>
      <c r="I35" s="31">
        <f>IF(Бланка_Предложения!D47="","",Бланка_Предложения!O47)</f>
        <v/>
      </c>
      <c r="J35" s="31">
        <f>IF(Бланка_Предложения!D47="","",Бланка_Предложения!P47)</f>
        <v/>
      </c>
    </row>
    <row r="36" ht="20" customHeight="1">
      <c r="A36" s="31">
        <f>IF(Бланка_Предложения!D48="","",IF(Бланка_Предложения!B48&lt;&gt;"",Бланка_Предложения!B48,Бланка_Предложения!C48))</f>
        <v/>
      </c>
      <c r="B36" s="34">
        <f>IF(Бланка_Предложения!D48="","",Бланка_Предложения!D48)</f>
        <v/>
      </c>
      <c r="C36" s="31">
        <f>IF(Бланка_Предложения!D48="","",Бланка_Предложения!E48)</f>
        <v/>
      </c>
      <c r="D36" s="34">
        <f>IF(Бланка_Предложения!D48="","",IF(Бланка_Предложения!F48&lt;&gt;"",Бланка_Предложения!F48,Бланка_Предложения!$D$9))</f>
        <v/>
      </c>
      <c r="E36" s="35">
        <f>IF(Бланка_Предложения!D48="","",Бланка_Предложения!G48)</f>
        <v/>
      </c>
      <c r="F36" s="35">
        <f>IF(Бланка_Предложения!D48="","",Бланка_Предложения!H48)</f>
        <v/>
      </c>
      <c r="G36" s="35">
        <f>IF(Бланка_Предложения!D48="","",Бланка_Предложения!J48)</f>
        <v/>
      </c>
      <c r="H36" s="35">
        <f>IF(Бланка_Предложения!D48="","",Бланка_Предложения!K48)</f>
        <v/>
      </c>
      <c r="I36" s="31">
        <f>IF(Бланка_Предложения!D48="","",Бланка_Предложения!O48)</f>
        <v/>
      </c>
      <c r="J36" s="31">
        <f>IF(Бланка_Предложения!D48="","",Бланка_Предложения!P48)</f>
        <v/>
      </c>
    </row>
    <row r="37" ht="20" customHeight="1">
      <c r="A37" s="31">
        <f>IF(Бланка_Предложения!D49="","",IF(Бланка_Предложения!B49&lt;&gt;"",Бланка_Предложения!B49,Бланка_Предложения!C49))</f>
        <v/>
      </c>
      <c r="B37" s="34">
        <f>IF(Бланка_Предложения!D49="","",Бланка_Предложения!D49)</f>
        <v/>
      </c>
      <c r="C37" s="31">
        <f>IF(Бланка_Предложения!D49="","",Бланка_Предложения!E49)</f>
        <v/>
      </c>
      <c r="D37" s="34">
        <f>IF(Бланка_Предложения!D49="","",IF(Бланка_Предложения!F49&lt;&gt;"",Бланка_Предложения!F49,Бланка_Предложения!$D$9))</f>
        <v/>
      </c>
      <c r="E37" s="35">
        <f>IF(Бланка_Предложения!D49="","",Бланка_Предложения!G49)</f>
        <v/>
      </c>
      <c r="F37" s="35">
        <f>IF(Бланка_Предложения!D49="","",Бланка_Предложения!H49)</f>
        <v/>
      </c>
      <c r="G37" s="35">
        <f>IF(Бланка_Предложения!D49="","",Бланка_Предложения!J49)</f>
        <v/>
      </c>
      <c r="H37" s="35">
        <f>IF(Бланка_Предложения!D49="","",Бланка_Предложения!K49)</f>
        <v/>
      </c>
      <c r="I37" s="31">
        <f>IF(Бланка_Предложения!D49="","",Бланка_Предложения!O49)</f>
        <v/>
      </c>
      <c r="J37" s="31">
        <f>IF(Бланка_Предложения!D49="","",Бланка_Предложения!P49)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4" customWidth="1" min="6" max="6"/>
    <col width="16" customWidth="1" min="7" max="7"/>
    <col width="30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АВТОМАТИЗИРАН ЕКСПОРТ КЪМ МИСТРАЛ ERP (ПЦ ЗА КАСИ И ЗКП ЗА ДОСТАВКИ)</t>
        </is>
      </c>
    </row>
    <row r="2" ht="24" customHeight="1">
      <c r="A2" s="36" t="inlineStr">
        <is>
          <t>ПРОМОЦИОНАЛНИ ПРОДАЖНИ ЦЕНИ (ПЦ) — КАСИ (11 МАГАЗИНА)</t>
        </is>
      </c>
      <c r="G2" s="37" t="inlineStr">
        <is>
          <t>ДОГОВОРЕНИ ПОКУПНИ ЦЕНИ (ЗКП) — ЦЕНТРАЛЕН СКЛАД И МАГАЗИНИ (СТАРТ X-7)</t>
        </is>
      </c>
    </row>
    <row r="3" ht="24" customHeight="1">
      <c r="A3" s="33" t="inlineStr">
        <is>
          <t>Код на артикул</t>
        </is>
      </c>
      <c r="B3" s="33" t="inlineStr">
        <is>
          <t>Име на артикул</t>
        </is>
      </c>
      <c r="C3" s="33" t="inlineStr">
        <is>
          <t>Промо продажна цена</t>
        </is>
      </c>
      <c r="D3" s="33" t="inlineStr">
        <is>
          <t>Период от</t>
        </is>
      </c>
      <c r="E3" s="33" t="inlineStr">
        <is>
          <t>Период до</t>
        </is>
      </c>
      <c r="G3" s="38" t="inlineStr">
        <is>
          <t>Код на артикул</t>
        </is>
      </c>
      <c r="H3" s="38" t="inlineStr">
        <is>
          <t>Име на артикул</t>
        </is>
      </c>
      <c r="I3" s="38" t="inlineStr">
        <is>
          <t>Договорена покупна цена</t>
        </is>
      </c>
      <c r="J3" s="38" t="inlineStr">
        <is>
          <t>Период от</t>
        </is>
      </c>
      <c r="K3" s="38" t="inlineStr">
        <is>
          <t>Период до</t>
        </is>
      </c>
    </row>
    <row r="4" ht="20" customHeight="1">
      <c r="A4" s="31">
        <f>IF(Бланка_Предложения!D15="","",Бланка_Предложения!B15)</f>
        <v/>
      </c>
      <c r="B4" s="34">
        <f>IF(Бланка_Предложения!D15="","",Бланка_Предложения!D15)</f>
        <v/>
      </c>
      <c r="C4" s="35">
        <f>IF(Бланка_Предложения!D15="","",Бланка_Предложения!K15)</f>
        <v/>
      </c>
      <c r="D4" s="31">
        <f>IF(Бланка_Предложения!D15="","",VLOOKUP(Бланка_Предложения!$D$5, График_2027!$A$3:$I$27, 2, FALSE))</f>
        <v/>
      </c>
      <c r="E4" s="31">
        <f>IF(Бланка_Предложения!D15="","",VLOOKUP(Бланка_Предложения!$D$5, График_2027!$A$3:$I$27, 3, FALSE))</f>
        <v/>
      </c>
      <c r="G4" s="31">
        <f>IF(Бланка_Предложения!D15="","",Бланка_Предложения!B15)</f>
        <v/>
      </c>
      <c r="H4" s="34">
        <f>IF(Бланка_Предложения!D15="","",Бланка_Предложения!D15)</f>
        <v/>
      </c>
      <c r="I4" s="35">
        <f>IF(Бланка_Предложения!D15="","",Бланка_Предложения!H15)</f>
        <v/>
      </c>
      <c r="J4" s="31">
        <f>IF(Бланка_Предложения!D15="","",VLOOKUP(Бланка_Предложения!$D$5, График_2027!$A$3:$I$27, 9, FALSE))</f>
        <v/>
      </c>
      <c r="K4" s="31">
        <f>IF(Бланка_Предложения!D15="","",VLOOKUP(Бланка_Предложения!$D$5, График_2027!$A$3:$I$27, 3, FALSE))</f>
        <v/>
      </c>
    </row>
    <row r="5" ht="20" customHeight="1">
      <c r="A5" s="31">
        <f>IF(Бланка_Предложения!D16="","",Бланка_Предложения!B16)</f>
        <v/>
      </c>
      <c r="B5" s="34">
        <f>IF(Бланка_Предложения!D16="","",Бланка_Предложения!D16)</f>
        <v/>
      </c>
      <c r="C5" s="35">
        <f>IF(Бланка_Предложения!D16="","",Бланка_Предложения!K16)</f>
        <v/>
      </c>
      <c r="D5" s="31">
        <f>IF(Бланка_Предложения!D16="","",VLOOKUP(Бланка_Предложения!$D$5, График_2027!$A$3:$I$27, 2, FALSE))</f>
        <v/>
      </c>
      <c r="E5" s="31">
        <f>IF(Бланка_Предложения!D16="","",VLOOKUP(Бланка_Предложения!$D$5, График_2027!$A$3:$I$27, 3, FALSE))</f>
        <v/>
      </c>
      <c r="G5" s="31">
        <f>IF(Бланка_Предложения!D16="","",Бланка_Предложения!B16)</f>
        <v/>
      </c>
      <c r="H5" s="34">
        <f>IF(Бланка_Предложения!D16="","",Бланка_Предложения!D16)</f>
        <v/>
      </c>
      <c r="I5" s="35">
        <f>IF(Бланка_Предложения!D16="","",Бланка_Предложения!H16)</f>
        <v/>
      </c>
      <c r="J5" s="31">
        <f>IF(Бланка_Предложения!D16="","",VLOOKUP(Бланка_Предложения!$D$5, График_2027!$A$3:$I$27, 9, FALSE))</f>
        <v/>
      </c>
      <c r="K5" s="31">
        <f>IF(Бланка_Предложения!D16="","",VLOOKUP(Бланка_Предложения!$D$5, График_2027!$A$3:$I$27, 3, FALSE))</f>
        <v/>
      </c>
    </row>
    <row r="6" ht="20" customHeight="1">
      <c r="A6" s="31">
        <f>IF(Бланка_Предложения!D17="","",Бланка_Предложения!B17)</f>
        <v/>
      </c>
      <c r="B6" s="34">
        <f>IF(Бланка_Предложения!D17="","",Бланка_Предложения!D17)</f>
        <v/>
      </c>
      <c r="C6" s="35">
        <f>IF(Бланка_Предложения!D17="","",Бланка_Предложения!K17)</f>
        <v/>
      </c>
      <c r="D6" s="31">
        <f>IF(Бланка_Предложения!D17="","",VLOOKUP(Бланка_Предложения!$D$5, График_2027!$A$3:$I$27, 2, FALSE))</f>
        <v/>
      </c>
      <c r="E6" s="31">
        <f>IF(Бланка_Предложения!D17="","",VLOOKUP(Бланка_Предложения!$D$5, График_2027!$A$3:$I$27, 3, FALSE))</f>
        <v/>
      </c>
      <c r="G6" s="31">
        <f>IF(Бланка_Предложения!D17="","",Бланка_Предложения!B17)</f>
        <v/>
      </c>
      <c r="H6" s="34">
        <f>IF(Бланка_Предложения!D17="","",Бланка_Предложения!D17)</f>
        <v/>
      </c>
      <c r="I6" s="35">
        <f>IF(Бланка_Предложения!D17="","",Бланка_Предложения!H17)</f>
        <v/>
      </c>
      <c r="J6" s="31">
        <f>IF(Бланка_Предложения!D17="","",VLOOKUP(Бланка_Предложения!$D$5, График_2027!$A$3:$I$27, 9, FALSE))</f>
        <v/>
      </c>
      <c r="K6" s="31">
        <f>IF(Бланка_Предложения!D17="","",VLOOKUP(Бланка_Предложения!$D$5, График_2027!$A$3:$I$27, 3, FALSE))</f>
        <v/>
      </c>
    </row>
    <row r="7" ht="20" customHeight="1">
      <c r="A7" s="31">
        <f>IF(Бланка_Предложения!D18="","",Бланка_Предложения!B18)</f>
        <v/>
      </c>
      <c r="B7" s="34">
        <f>IF(Бланка_Предложения!D18="","",Бланка_Предложения!D18)</f>
        <v/>
      </c>
      <c r="C7" s="35">
        <f>IF(Бланка_Предложения!D18="","",Бланка_Предложения!K18)</f>
        <v/>
      </c>
      <c r="D7" s="31">
        <f>IF(Бланка_Предложения!D18="","",VLOOKUP(Бланка_Предложения!$D$5, График_2027!$A$3:$I$27, 2, FALSE))</f>
        <v/>
      </c>
      <c r="E7" s="31">
        <f>IF(Бланка_Предложения!D18="","",VLOOKUP(Бланка_Предложения!$D$5, График_2027!$A$3:$I$27, 3, FALSE))</f>
        <v/>
      </c>
      <c r="G7" s="31">
        <f>IF(Бланка_Предложения!D18="","",Бланка_Предложения!B18)</f>
        <v/>
      </c>
      <c r="H7" s="34">
        <f>IF(Бланка_Предложения!D18="","",Бланка_Предложения!D18)</f>
        <v/>
      </c>
      <c r="I7" s="35">
        <f>IF(Бланка_Предложения!D18="","",Бланка_Предложения!H18)</f>
        <v/>
      </c>
      <c r="J7" s="31">
        <f>IF(Бланка_Предложения!D18="","",VLOOKUP(Бланка_Предложения!$D$5, График_2027!$A$3:$I$27, 9, FALSE))</f>
        <v/>
      </c>
      <c r="K7" s="31">
        <f>IF(Бланка_Предложения!D18="","",VLOOKUP(Бланка_Предложения!$D$5, График_2027!$A$3:$I$27, 3, FALSE))</f>
        <v/>
      </c>
    </row>
    <row r="8" ht="20" customHeight="1">
      <c r="A8" s="31">
        <f>IF(Бланка_Предложения!D19="","",Бланка_Предложения!B19)</f>
        <v/>
      </c>
      <c r="B8" s="34">
        <f>IF(Бланка_Предложения!D19="","",Бланка_Предложения!D19)</f>
        <v/>
      </c>
      <c r="C8" s="35">
        <f>IF(Бланка_Предложения!D19="","",Бланка_Предложения!K19)</f>
        <v/>
      </c>
      <c r="D8" s="31">
        <f>IF(Бланка_Предложения!D19="","",VLOOKUP(Бланка_Предложения!$D$5, График_2027!$A$3:$I$27, 2, FALSE))</f>
        <v/>
      </c>
      <c r="E8" s="31">
        <f>IF(Бланка_Предложения!D19="","",VLOOKUP(Бланка_Предложения!$D$5, График_2027!$A$3:$I$27, 3, FALSE))</f>
        <v/>
      </c>
      <c r="G8" s="31">
        <f>IF(Бланка_Предложения!D19="","",Бланка_Предложения!B19)</f>
        <v/>
      </c>
      <c r="H8" s="34">
        <f>IF(Бланка_Предложения!D19="","",Бланка_Предложения!D19)</f>
        <v/>
      </c>
      <c r="I8" s="35">
        <f>IF(Бланка_Предложения!D19="","",Бланка_Предложения!H19)</f>
        <v/>
      </c>
      <c r="J8" s="31">
        <f>IF(Бланка_Предложения!D19="","",VLOOKUP(Бланка_Предложения!$D$5, График_2027!$A$3:$I$27, 9, FALSE))</f>
        <v/>
      </c>
      <c r="K8" s="31">
        <f>IF(Бланка_Предложения!D19="","",VLOOKUP(Бланка_Предложения!$D$5, График_2027!$A$3:$I$27, 3, FALSE))</f>
        <v/>
      </c>
    </row>
    <row r="9" ht="20" customHeight="1">
      <c r="A9" s="31">
        <f>IF(Бланка_Предложения!D20="","",Бланка_Предложения!B20)</f>
        <v/>
      </c>
      <c r="B9" s="34">
        <f>IF(Бланка_Предложения!D20="","",Бланка_Предложения!D20)</f>
        <v/>
      </c>
      <c r="C9" s="35">
        <f>IF(Бланка_Предложения!D20="","",Бланка_Предложения!K20)</f>
        <v/>
      </c>
      <c r="D9" s="31">
        <f>IF(Бланка_Предложения!D20="","",VLOOKUP(Бланка_Предложения!$D$5, График_2027!$A$3:$I$27, 2, FALSE))</f>
        <v/>
      </c>
      <c r="E9" s="31">
        <f>IF(Бланка_Предложения!D20="","",VLOOKUP(Бланка_Предложения!$D$5, График_2027!$A$3:$I$27, 3, FALSE))</f>
        <v/>
      </c>
      <c r="G9" s="31">
        <f>IF(Бланка_Предложения!D20="","",Бланка_Предложения!B20)</f>
        <v/>
      </c>
      <c r="H9" s="34">
        <f>IF(Бланка_Предложения!D20="","",Бланка_Предложения!D20)</f>
        <v/>
      </c>
      <c r="I9" s="35">
        <f>IF(Бланка_Предложения!D20="","",Бланка_Предложения!H20)</f>
        <v/>
      </c>
      <c r="J9" s="31">
        <f>IF(Бланка_Предложения!D20="","",VLOOKUP(Бланка_Предложения!$D$5, График_2027!$A$3:$I$27, 9, FALSE))</f>
        <v/>
      </c>
      <c r="K9" s="31">
        <f>IF(Бланка_Предложения!D20="","",VLOOKUP(Бланка_Предложения!$D$5, График_2027!$A$3:$I$27, 3, FALSE))</f>
        <v/>
      </c>
    </row>
    <row r="10" ht="20" customHeight="1">
      <c r="A10" s="31">
        <f>IF(Бланка_Предложения!D21="","",Бланка_Предложения!B21)</f>
        <v/>
      </c>
      <c r="B10" s="34">
        <f>IF(Бланка_Предложения!D21="","",Бланка_Предложения!D21)</f>
        <v/>
      </c>
      <c r="C10" s="35">
        <f>IF(Бланка_Предложения!D21="","",Бланка_Предложения!K21)</f>
        <v/>
      </c>
      <c r="D10" s="31">
        <f>IF(Бланка_Предложения!D21="","",VLOOKUP(Бланка_Предложения!$D$5, График_2027!$A$3:$I$27, 2, FALSE))</f>
        <v/>
      </c>
      <c r="E10" s="31">
        <f>IF(Бланка_Предложения!D21="","",VLOOKUP(Бланка_Предложения!$D$5, График_2027!$A$3:$I$27, 3, FALSE))</f>
        <v/>
      </c>
      <c r="G10" s="31">
        <f>IF(Бланка_Предложения!D21="","",Бланка_Предложения!B21)</f>
        <v/>
      </c>
      <c r="H10" s="34">
        <f>IF(Бланка_Предложения!D21="","",Бланка_Предложения!D21)</f>
        <v/>
      </c>
      <c r="I10" s="35">
        <f>IF(Бланка_Предложения!D21="","",Бланка_Предложения!H21)</f>
        <v/>
      </c>
      <c r="J10" s="31">
        <f>IF(Бланка_Предложения!D21="","",VLOOKUP(Бланка_Предложения!$D$5, График_2027!$A$3:$I$27, 9, FALSE))</f>
        <v/>
      </c>
      <c r="K10" s="31">
        <f>IF(Бланка_Предложения!D21="","",VLOOKUP(Бланка_Предложения!$D$5, График_2027!$A$3:$I$27, 3, FALSE))</f>
        <v/>
      </c>
    </row>
    <row r="11" ht="20" customHeight="1">
      <c r="A11" s="31">
        <f>IF(Бланка_Предложения!D22="","",Бланка_Предложения!B22)</f>
        <v/>
      </c>
      <c r="B11" s="34">
        <f>IF(Бланка_Предложения!D22="","",Бланка_Предложения!D22)</f>
        <v/>
      </c>
      <c r="C11" s="35">
        <f>IF(Бланка_Предложения!D22="","",Бланка_Предложения!K22)</f>
        <v/>
      </c>
      <c r="D11" s="31">
        <f>IF(Бланка_Предложения!D22="","",VLOOKUP(Бланка_Предложения!$D$5, График_2027!$A$3:$I$27, 2, FALSE))</f>
        <v/>
      </c>
      <c r="E11" s="31">
        <f>IF(Бланка_Предложения!D22="","",VLOOKUP(Бланка_Предложения!$D$5, График_2027!$A$3:$I$27, 3, FALSE))</f>
        <v/>
      </c>
      <c r="G11" s="31">
        <f>IF(Бланка_Предложения!D22="","",Бланка_Предложения!B22)</f>
        <v/>
      </c>
      <c r="H11" s="34">
        <f>IF(Бланка_Предложения!D22="","",Бланка_Предложения!D22)</f>
        <v/>
      </c>
      <c r="I11" s="35">
        <f>IF(Бланка_Предложения!D22="","",Бланка_Предложения!H22)</f>
        <v/>
      </c>
      <c r="J11" s="31">
        <f>IF(Бланка_Предложения!D22="","",VLOOKUP(Бланка_Предложения!$D$5, График_2027!$A$3:$I$27, 9, FALSE))</f>
        <v/>
      </c>
      <c r="K11" s="31">
        <f>IF(Бланка_Предложения!D22="","",VLOOKUP(Бланка_Предложения!$D$5, График_2027!$A$3:$I$27, 3, FALSE))</f>
        <v/>
      </c>
    </row>
    <row r="12" ht="20" customHeight="1">
      <c r="A12" s="31">
        <f>IF(Бланка_Предложения!D23="","",Бланка_Предложения!B23)</f>
        <v/>
      </c>
      <c r="B12" s="34">
        <f>IF(Бланка_Предложения!D23="","",Бланка_Предложения!D23)</f>
        <v/>
      </c>
      <c r="C12" s="35">
        <f>IF(Бланка_Предложения!D23="","",Бланка_Предложения!K23)</f>
        <v/>
      </c>
      <c r="D12" s="31">
        <f>IF(Бланка_Предложения!D23="","",VLOOKUP(Бланка_Предложения!$D$5, График_2027!$A$3:$I$27, 2, FALSE))</f>
        <v/>
      </c>
      <c r="E12" s="31">
        <f>IF(Бланка_Предложения!D23="","",VLOOKUP(Бланка_Предложения!$D$5, График_2027!$A$3:$I$27, 3, FALSE))</f>
        <v/>
      </c>
      <c r="G12" s="31">
        <f>IF(Бланка_Предложения!D23="","",Бланка_Предложения!B23)</f>
        <v/>
      </c>
      <c r="H12" s="34">
        <f>IF(Бланка_Предложения!D23="","",Бланка_Предложения!D23)</f>
        <v/>
      </c>
      <c r="I12" s="35">
        <f>IF(Бланка_Предложения!D23="","",Бланка_Предложения!H23)</f>
        <v/>
      </c>
      <c r="J12" s="31">
        <f>IF(Бланка_Предложения!D23="","",VLOOKUP(Бланка_Предложения!$D$5, График_2027!$A$3:$I$27, 9, FALSE))</f>
        <v/>
      </c>
      <c r="K12" s="31">
        <f>IF(Бланка_Предложения!D23="","",VLOOKUP(Бланка_Предложения!$D$5, График_2027!$A$3:$I$27, 3, FALSE))</f>
        <v/>
      </c>
    </row>
    <row r="13" ht="20" customHeight="1">
      <c r="A13" s="31">
        <f>IF(Бланка_Предложения!D24="","",Бланка_Предложения!B24)</f>
        <v/>
      </c>
      <c r="B13" s="34">
        <f>IF(Бланка_Предложения!D24="","",Бланка_Предложения!D24)</f>
        <v/>
      </c>
      <c r="C13" s="35">
        <f>IF(Бланка_Предложения!D24="","",Бланка_Предложения!K24)</f>
        <v/>
      </c>
      <c r="D13" s="31">
        <f>IF(Бланка_Предложения!D24="","",VLOOKUP(Бланка_Предложения!$D$5, График_2027!$A$3:$I$27, 2, FALSE))</f>
        <v/>
      </c>
      <c r="E13" s="31">
        <f>IF(Бланка_Предложения!D24="","",VLOOKUP(Бланка_Предложения!$D$5, График_2027!$A$3:$I$27, 3, FALSE))</f>
        <v/>
      </c>
      <c r="G13" s="31">
        <f>IF(Бланка_Предложения!D24="","",Бланка_Предложения!B24)</f>
        <v/>
      </c>
      <c r="H13" s="34">
        <f>IF(Бланка_Предложения!D24="","",Бланка_Предложения!D24)</f>
        <v/>
      </c>
      <c r="I13" s="35">
        <f>IF(Бланка_Предложения!D24="","",Бланка_Предложения!H24)</f>
        <v/>
      </c>
      <c r="J13" s="31">
        <f>IF(Бланка_Предложения!D24="","",VLOOKUP(Бланка_Предложения!$D$5, График_2027!$A$3:$I$27, 9, FALSE))</f>
        <v/>
      </c>
      <c r="K13" s="31">
        <f>IF(Бланка_Предложения!D24="","",VLOOKUP(Бланка_Предложения!$D$5, График_2027!$A$3:$I$27, 3, FALSE))</f>
        <v/>
      </c>
    </row>
    <row r="14" ht="20" customHeight="1">
      <c r="A14" s="31">
        <f>IF(Бланка_Предложения!D25="","",Бланка_Предложения!B25)</f>
        <v/>
      </c>
      <c r="B14" s="34">
        <f>IF(Бланка_Предложения!D25="","",Бланка_Предложения!D25)</f>
        <v/>
      </c>
      <c r="C14" s="35">
        <f>IF(Бланка_Предложения!D25="","",Бланка_Предложения!K25)</f>
        <v/>
      </c>
      <c r="D14" s="31">
        <f>IF(Бланка_Предложения!D25="","",VLOOKUP(Бланка_Предложения!$D$5, График_2027!$A$3:$I$27, 2, FALSE))</f>
        <v/>
      </c>
      <c r="E14" s="31">
        <f>IF(Бланка_Предложения!D25="","",VLOOKUP(Бланка_Предложения!$D$5, График_2027!$A$3:$I$27, 3, FALSE))</f>
        <v/>
      </c>
      <c r="G14" s="31">
        <f>IF(Бланка_Предложения!D25="","",Бланка_Предложения!B25)</f>
        <v/>
      </c>
      <c r="H14" s="34">
        <f>IF(Бланка_Предложения!D25="","",Бланка_Предложения!D25)</f>
        <v/>
      </c>
      <c r="I14" s="35">
        <f>IF(Бланка_Предложения!D25="","",Бланка_Предложения!H25)</f>
        <v/>
      </c>
      <c r="J14" s="31">
        <f>IF(Бланка_Предложения!D25="","",VLOOKUP(Бланка_Предложения!$D$5, График_2027!$A$3:$I$27, 9, FALSE))</f>
        <v/>
      </c>
      <c r="K14" s="31">
        <f>IF(Бланка_Предложения!D25="","",VLOOKUP(Бланка_Предложения!$D$5, График_2027!$A$3:$I$27, 3, FALSE))</f>
        <v/>
      </c>
    </row>
    <row r="15" ht="20" customHeight="1">
      <c r="A15" s="31">
        <f>IF(Бланка_Предложения!D26="","",Бланка_Предложения!B26)</f>
        <v/>
      </c>
      <c r="B15" s="34">
        <f>IF(Бланка_Предложения!D26="","",Бланка_Предложения!D26)</f>
        <v/>
      </c>
      <c r="C15" s="35">
        <f>IF(Бланка_Предложения!D26="","",Бланка_Предложения!K26)</f>
        <v/>
      </c>
      <c r="D15" s="31">
        <f>IF(Бланка_Предложения!D26="","",VLOOKUP(Бланка_Предложения!$D$5, График_2027!$A$3:$I$27, 2, FALSE))</f>
        <v/>
      </c>
      <c r="E15" s="31">
        <f>IF(Бланка_Предложения!D26="","",VLOOKUP(Бланка_Предложения!$D$5, График_2027!$A$3:$I$27, 3, FALSE))</f>
        <v/>
      </c>
      <c r="G15" s="31">
        <f>IF(Бланка_Предложения!D26="","",Бланка_Предложения!B26)</f>
        <v/>
      </c>
      <c r="H15" s="34">
        <f>IF(Бланка_Предложения!D26="","",Бланка_Предложения!D26)</f>
        <v/>
      </c>
      <c r="I15" s="35">
        <f>IF(Бланка_Предложения!D26="","",Бланка_Предложения!H26)</f>
        <v/>
      </c>
      <c r="J15" s="31">
        <f>IF(Бланка_Предложения!D26="","",VLOOKUP(Бланка_Предложения!$D$5, График_2027!$A$3:$I$27, 9, FALSE))</f>
        <v/>
      </c>
      <c r="K15" s="31">
        <f>IF(Бланка_Предложения!D26="","",VLOOKUP(Бланка_Предложения!$D$5, График_2027!$A$3:$I$27, 3, FALSE))</f>
        <v/>
      </c>
    </row>
    <row r="16" ht="20" customHeight="1">
      <c r="A16" s="31">
        <f>IF(Бланка_Предложения!D27="","",Бланка_Предложения!B27)</f>
        <v/>
      </c>
      <c r="B16" s="34">
        <f>IF(Бланка_Предложения!D27="","",Бланка_Предложения!D27)</f>
        <v/>
      </c>
      <c r="C16" s="35">
        <f>IF(Бланка_Предложения!D27="","",Бланка_Предложения!K27)</f>
        <v/>
      </c>
      <c r="D16" s="31">
        <f>IF(Бланка_Предложения!D27="","",VLOOKUP(Бланка_Предложения!$D$5, График_2027!$A$3:$I$27, 2, FALSE))</f>
        <v/>
      </c>
      <c r="E16" s="31">
        <f>IF(Бланка_Предложения!D27="","",VLOOKUP(Бланка_Предложения!$D$5, График_2027!$A$3:$I$27, 3, FALSE))</f>
        <v/>
      </c>
      <c r="G16" s="31">
        <f>IF(Бланка_Предложения!D27="","",Бланка_Предложения!B27)</f>
        <v/>
      </c>
      <c r="H16" s="34">
        <f>IF(Бланка_Предложения!D27="","",Бланка_Предложения!D27)</f>
        <v/>
      </c>
      <c r="I16" s="35">
        <f>IF(Бланка_Предложения!D27="","",Бланка_Предложения!H27)</f>
        <v/>
      </c>
      <c r="J16" s="31">
        <f>IF(Бланка_Предложения!D27="","",VLOOKUP(Бланка_Предложения!$D$5, График_2027!$A$3:$I$27, 9, FALSE))</f>
        <v/>
      </c>
      <c r="K16" s="31">
        <f>IF(Бланка_Предложения!D27="","",VLOOKUP(Бланка_Предложения!$D$5, График_2027!$A$3:$I$27, 3, FALSE))</f>
        <v/>
      </c>
    </row>
    <row r="17" ht="20" customHeight="1">
      <c r="A17" s="31">
        <f>IF(Бланка_Предложения!D28="","",Бланка_Предложения!B28)</f>
        <v/>
      </c>
      <c r="B17" s="34">
        <f>IF(Бланка_Предложения!D28="","",Бланка_Предложения!D28)</f>
        <v/>
      </c>
      <c r="C17" s="35">
        <f>IF(Бланка_Предложения!D28="","",Бланка_Предложения!K28)</f>
        <v/>
      </c>
      <c r="D17" s="31">
        <f>IF(Бланка_Предложения!D28="","",VLOOKUP(Бланка_Предложения!$D$5, График_2027!$A$3:$I$27, 2, FALSE))</f>
        <v/>
      </c>
      <c r="E17" s="31">
        <f>IF(Бланка_Предложения!D28="","",VLOOKUP(Бланка_Предложения!$D$5, График_2027!$A$3:$I$27, 3, FALSE))</f>
        <v/>
      </c>
      <c r="G17" s="31">
        <f>IF(Бланка_Предложения!D28="","",Бланка_Предложения!B28)</f>
        <v/>
      </c>
      <c r="H17" s="34">
        <f>IF(Бланка_Предложения!D28="","",Бланка_Предложения!D28)</f>
        <v/>
      </c>
      <c r="I17" s="35">
        <f>IF(Бланка_Предложения!D28="","",Бланка_Предложения!H28)</f>
        <v/>
      </c>
      <c r="J17" s="31">
        <f>IF(Бланка_Предложения!D28="","",VLOOKUP(Бланка_Предложения!$D$5, График_2027!$A$3:$I$27, 9, FALSE))</f>
        <v/>
      </c>
      <c r="K17" s="31">
        <f>IF(Бланка_Предложения!D28="","",VLOOKUP(Бланка_Предложения!$D$5, График_2027!$A$3:$I$27, 3, FALSE))</f>
        <v/>
      </c>
    </row>
    <row r="18" ht="20" customHeight="1">
      <c r="A18" s="31">
        <f>IF(Бланка_Предложения!D29="","",Бланка_Предложения!B29)</f>
        <v/>
      </c>
      <c r="B18" s="34">
        <f>IF(Бланка_Предложения!D29="","",Бланка_Предложения!D29)</f>
        <v/>
      </c>
      <c r="C18" s="35">
        <f>IF(Бланка_Предложения!D29="","",Бланка_Предложения!K29)</f>
        <v/>
      </c>
      <c r="D18" s="31">
        <f>IF(Бланка_Предложения!D29="","",VLOOKUP(Бланка_Предложения!$D$5, График_2027!$A$3:$I$27, 2, FALSE))</f>
        <v/>
      </c>
      <c r="E18" s="31">
        <f>IF(Бланка_Предложения!D29="","",VLOOKUP(Бланка_Предложения!$D$5, График_2027!$A$3:$I$27, 3, FALSE))</f>
        <v/>
      </c>
      <c r="G18" s="31">
        <f>IF(Бланка_Предложения!D29="","",Бланка_Предложения!B29)</f>
        <v/>
      </c>
      <c r="H18" s="34">
        <f>IF(Бланка_Предложения!D29="","",Бланка_Предложения!D29)</f>
        <v/>
      </c>
      <c r="I18" s="35">
        <f>IF(Бланка_Предложения!D29="","",Бланка_Предложения!H29)</f>
        <v/>
      </c>
      <c r="J18" s="31">
        <f>IF(Бланка_Предложения!D29="","",VLOOKUP(Бланка_Предложения!$D$5, График_2027!$A$3:$I$27, 9, FALSE))</f>
        <v/>
      </c>
      <c r="K18" s="31">
        <f>IF(Бланка_Предложения!D29="","",VLOOKUP(Бланка_Предложения!$D$5, График_2027!$A$3:$I$27, 3, FALSE))</f>
        <v/>
      </c>
    </row>
    <row r="19" ht="20" customHeight="1">
      <c r="A19" s="31">
        <f>IF(Бланка_Предложения!D30="","",Бланка_Предложения!B30)</f>
        <v/>
      </c>
      <c r="B19" s="34">
        <f>IF(Бланка_Предложения!D30="","",Бланка_Предложения!D30)</f>
        <v/>
      </c>
      <c r="C19" s="35">
        <f>IF(Бланка_Предложения!D30="","",Бланка_Предложения!K30)</f>
        <v/>
      </c>
      <c r="D19" s="31">
        <f>IF(Бланка_Предложения!D30="","",VLOOKUP(Бланка_Предложения!$D$5, График_2027!$A$3:$I$27, 2, FALSE))</f>
        <v/>
      </c>
      <c r="E19" s="31">
        <f>IF(Бланка_Предложения!D30="","",VLOOKUP(Бланка_Предложения!$D$5, График_2027!$A$3:$I$27, 3, FALSE))</f>
        <v/>
      </c>
      <c r="G19" s="31">
        <f>IF(Бланка_Предложения!D30="","",Бланка_Предложения!B30)</f>
        <v/>
      </c>
      <c r="H19" s="34">
        <f>IF(Бланка_Предложения!D30="","",Бланка_Предложения!D30)</f>
        <v/>
      </c>
      <c r="I19" s="35">
        <f>IF(Бланка_Предложения!D30="","",Бланка_Предложения!H30)</f>
        <v/>
      </c>
      <c r="J19" s="31">
        <f>IF(Бланка_Предложения!D30="","",VLOOKUP(Бланка_Предложения!$D$5, График_2027!$A$3:$I$27, 9, FALSE))</f>
        <v/>
      </c>
      <c r="K19" s="31">
        <f>IF(Бланка_Предложения!D30="","",VLOOKUP(Бланка_Предложения!$D$5, График_2027!$A$3:$I$27, 3, FALSE))</f>
        <v/>
      </c>
    </row>
    <row r="20" ht="20" customHeight="1">
      <c r="A20" s="31">
        <f>IF(Бланка_Предложения!D31="","",Бланка_Предложения!B31)</f>
        <v/>
      </c>
      <c r="B20" s="34">
        <f>IF(Бланка_Предложения!D31="","",Бланка_Предложения!D31)</f>
        <v/>
      </c>
      <c r="C20" s="35">
        <f>IF(Бланка_Предложения!D31="","",Бланка_Предложения!K31)</f>
        <v/>
      </c>
      <c r="D20" s="31">
        <f>IF(Бланка_Предложения!D31="","",VLOOKUP(Бланка_Предложения!$D$5, График_2027!$A$3:$I$27, 2, FALSE))</f>
        <v/>
      </c>
      <c r="E20" s="31">
        <f>IF(Бланка_Предложения!D31="","",VLOOKUP(Бланка_Предложения!$D$5, График_2027!$A$3:$I$27, 3, FALSE))</f>
        <v/>
      </c>
      <c r="G20" s="31">
        <f>IF(Бланка_Предложения!D31="","",Бланка_Предложения!B31)</f>
        <v/>
      </c>
      <c r="H20" s="34">
        <f>IF(Бланка_Предложения!D31="","",Бланка_Предложения!D31)</f>
        <v/>
      </c>
      <c r="I20" s="35">
        <f>IF(Бланка_Предложения!D31="","",Бланка_Предложения!H31)</f>
        <v/>
      </c>
      <c r="J20" s="31">
        <f>IF(Бланка_Предложения!D31="","",VLOOKUP(Бланка_Предложения!$D$5, График_2027!$A$3:$I$27, 9, FALSE))</f>
        <v/>
      </c>
      <c r="K20" s="31">
        <f>IF(Бланка_Предложения!D31="","",VLOOKUP(Бланка_Предложения!$D$5, График_2027!$A$3:$I$27, 3, FALSE))</f>
        <v/>
      </c>
    </row>
    <row r="21" ht="20" customHeight="1">
      <c r="A21" s="31">
        <f>IF(Бланка_Предложения!D32="","",Бланка_Предложения!B32)</f>
        <v/>
      </c>
      <c r="B21" s="34">
        <f>IF(Бланка_Предложения!D32="","",Бланка_Предложения!D32)</f>
        <v/>
      </c>
      <c r="C21" s="35">
        <f>IF(Бланка_Предложения!D32="","",Бланка_Предложения!K32)</f>
        <v/>
      </c>
      <c r="D21" s="31">
        <f>IF(Бланка_Предложения!D32="","",VLOOKUP(Бланка_Предложения!$D$5, График_2027!$A$3:$I$27, 2, FALSE))</f>
        <v/>
      </c>
      <c r="E21" s="31">
        <f>IF(Бланка_Предложения!D32="","",VLOOKUP(Бланка_Предложения!$D$5, График_2027!$A$3:$I$27, 3, FALSE))</f>
        <v/>
      </c>
      <c r="G21" s="31">
        <f>IF(Бланка_Предложения!D32="","",Бланка_Предложения!B32)</f>
        <v/>
      </c>
      <c r="H21" s="34">
        <f>IF(Бланка_Предложения!D32="","",Бланка_Предложения!D32)</f>
        <v/>
      </c>
      <c r="I21" s="35">
        <f>IF(Бланка_Предложения!D32="","",Бланка_Предложения!H32)</f>
        <v/>
      </c>
      <c r="J21" s="31">
        <f>IF(Бланка_Предложения!D32="","",VLOOKUP(Бланка_Предложения!$D$5, График_2027!$A$3:$I$27, 9, FALSE))</f>
        <v/>
      </c>
      <c r="K21" s="31">
        <f>IF(Бланка_Предложения!D32="","",VLOOKUP(Бланка_Предложения!$D$5, График_2027!$A$3:$I$27, 3, FALSE))</f>
        <v/>
      </c>
    </row>
    <row r="22" ht="20" customHeight="1">
      <c r="A22" s="31">
        <f>IF(Бланка_Предложения!D33="","",Бланка_Предложения!B33)</f>
        <v/>
      </c>
      <c r="B22" s="34">
        <f>IF(Бланка_Предложения!D33="","",Бланка_Предложения!D33)</f>
        <v/>
      </c>
      <c r="C22" s="35">
        <f>IF(Бланка_Предложения!D33="","",Бланка_Предложения!K33)</f>
        <v/>
      </c>
      <c r="D22" s="31">
        <f>IF(Бланка_Предложения!D33="","",VLOOKUP(Бланка_Предложения!$D$5, График_2027!$A$3:$I$27, 2, FALSE))</f>
        <v/>
      </c>
      <c r="E22" s="31">
        <f>IF(Бланка_Предложения!D33="","",VLOOKUP(Бланка_Предложения!$D$5, График_2027!$A$3:$I$27, 3, FALSE))</f>
        <v/>
      </c>
      <c r="G22" s="31">
        <f>IF(Бланка_Предложения!D33="","",Бланка_Предложения!B33)</f>
        <v/>
      </c>
      <c r="H22" s="34">
        <f>IF(Бланка_Предложения!D33="","",Бланка_Предложения!D33)</f>
        <v/>
      </c>
      <c r="I22" s="35">
        <f>IF(Бланка_Предложения!D33="","",Бланка_Предложения!H33)</f>
        <v/>
      </c>
      <c r="J22" s="31">
        <f>IF(Бланка_Предложения!D33="","",VLOOKUP(Бланка_Предложения!$D$5, График_2027!$A$3:$I$27, 9, FALSE))</f>
        <v/>
      </c>
      <c r="K22" s="31">
        <f>IF(Бланка_Предложения!D33="","",VLOOKUP(Бланка_Предложения!$D$5, График_2027!$A$3:$I$27, 3, FALSE))</f>
        <v/>
      </c>
    </row>
    <row r="23" ht="20" customHeight="1">
      <c r="A23" s="31">
        <f>IF(Бланка_Предложения!D34="","",Бланка_Предложения!B34)</f>
        <v/>
      </c>
      <c r="B23" s="34">
        <f>IF(Бланка_Предложения!D34="","",Бланка_Предложения!D34)</f>
        <v/>
      </c>
      <c r="C23" s="35">
        <f>IF(Бланка_Предложения!D34="","",Бланка_Предложения!K34)</f>
        <v/>
      </c>
      <c r="D23" s="31">
        <f>IF(Бланка_Предложения!D34="","",VLOOKUP(Бланка_Предложения!$D$5, График_2027!$A$3:$I$27, 2, FALSE))</f>
        <v/>
      </c>
      <c r="E23" s="31">
        <f>IF(Бланка_Предложения!D34="","",VLOOKUP(Бланка_Предложения!$D$5, График_2027!$A$3:$I$27, 3, FALSE))</f>
        <v/>
      </c>
      <c r="G23" s="31">
        <f>IF(Бланка_Предложения!D34="","",Бланка_Предложения!B34)</f>
        <v/>
      </c>
      <c r="H23" s="34">
        <f>IF(Бланка_Предложения!D34="","",Бланка_Предложения!D34)</f>
        <v/>
      </c>
      <c r="I23" s="35">
        <f>IF(Бланка_Предложения!D34="","",Бланка_Предложения!H34)</f>
        <v/>
      </c>
      <c r="J23" s="31">
        <f>IF(Бланка_Предложения!D34="","",VLOOKUP(Бланка_Предложения!$D$5, График_2027!$A$3:$I$27, 9, FALSE))</f>
        <v/>
      </c>
      <c r="K23" s="31">
        <f>IF(Бланка_Предложения!D34="","",VLOOKUP(Бланка_Предложения!$D$5, График_2027!$A$3:$I$27, 3, FALSE))</f>
        <v/>
      </c>
    </row>
    <row r="24" ht="20" customHeight="1">
      <c r="A24" s="31">
        <f>IF(Бланка_Предложения!D35="","",Бланка_Предложения!B35)</f>
        <v/>
      </c>
      <c r="B24" s="34">
        <f>IF(Бланка_Предложения!D35="","",Бланка_Предложения!D35)</f>
        <v/>
      </c>
      <c r="C24" s="35">
        <f>IF(Бланка_Предложения!D35="","",Бланка_Предложения!K35)</f>
        <v/>
      </c>
      <c r="D24" s="31">
        <f>IF(Бланка_Предложения!D35="","",VLOOKUP(Бланка_Предложения!$D$5, График_2027!$A$3:$I$27, 2, FALSE))</f>
        <v/>
      </c>
      <c r="E24" s="31">
        <f>IF(Бланка_Предложения!D35="","",VLOOKUP(Бланка_Предложения!$D$5, График_2027!$A$3:$I$27, 3, FALSE))</f>
        <v/>
      </c>
      <c r="G24" s="31">
        <f>IF(Бланка_Предложения!D35="","",Бланка_Предложения!B35)</f>
        <v/>
      </c>
      <c r="H24" s="34">
        <f>IF(Бланка_Предложения!D35="","",Бланка_Предложения!D35)</f>
        <v/>
      </c>
      <c r="I24" s="35">
        <f>IF(Бланка_Предложения!D35="","",Бланка_Предложения!H35)</f>
        <v/>
      </c>
      <c r="J24" s="31">
        <f>IF(Бланка_Предложения!D35="","",VLOOKUP(Бланка_Предложения!$D$5, График_2027!$A$3:$I$27, 9, FALSE))</f>
        <v/>
      </c>
      <c r="K24" s="31">
        <f>IF(Бланка_Предложения!D35="","",VLOOKUP(Бланка_Предложения!$D$5, График_2027!$A$3:$I$27, 3, FALSE))</f>
        <v/>
      </c>
    </row>
    <row r="25" ht="20" customHeight="1">
      <c r="A25" s="31">
        <f>IF(Бланка_Предложения!D36="","",Бланка_Предложения!B36)</f>
        <v/>
      </c>
      <c r="B25" s="34">
        <f>IF(Бланка_Предложения!D36="","",Бланка_Предложения!D36)</f>
        <v/>
      </c>
      <c r="C25" s="35">
        <f>IF(Бланка_Предложения!D36="","",Бланка_Предложения!K36)</f>
        <v/>
      </c>
      <c r="D25" s="31">
        <f>IF(Бланка_Предложения!D36="","",VLOOKUP(Бланка_Предложения!$D$5, График_2027!$A$3:$I$27, 2, FALSE))</f>
        <v/>
      </c>
      <c r="E25" s="31">
        <f>IF(Бланка_Предложения!D36="","",VLOOKUP(Бланка_Предложения!$D$5, График_2027!$A$3:$I$27, 3, FALSE))</f>
        <v/>
      </c>
      <c r="G25" s="31">
        <f>IF(Бланка_Предложения!D36="","",Бланка_Предложения!B36)</f>
        <v/>
      </c>
      <c r="H25" s="34">
        <f>IF(Бланка_Предложения!D36="","",Бланка_Предложения!D36)</f>
        <v/>
      </c>
      <c r="I25" s="35">
        <f>IF(Бланка_Предложения!D36="","",Бланка_Предложения!H36)</f>
        <v/>
      </c>
      <c r="J25" s="31">
        <f>IF(Бланка_Предложения!D36="","",VLOOKUP(Бланка_Предложения!$D$5, График_2027!$A$3:$I$27, 9, FALSE))</f>
        <v/>
      </c>
      <c r="K25" s="31">
        <f>IF(Бланка_Предложения!D36="","",VLOOKUP(Бланка_Предложения!$D$5, График_2027!$A$3:$I$27, 3, FALSE))</f>
        <v/>
      </c>
    </row>
    <row r="26" ht="20" customHeight="1">
      <c r="A26" s="31">
        <f>IF(Бланка_Предложения!D37="","",Бланка_Предложения!B37)</f>
        <v/>
      </c>
      <c r="B26" s="34">
        <f>IF(Бланка_Предложения!D37="","",Бланка_Предложения!D37)</f>
        <v/>
      </c>
      <c r="C26" s="35">
        <f>IF(Бланка_Предложения!D37="","",Бланка_Предложения!K37)</f>
        <v/>
      </c>
      <c r="D26" s="31">
        <f>IF(Бланка_Предложения!D37="","",VLOOKUP(Бланка_Предложения!$D$5, График_2027!$A$3:$I$27, 2, FALSE))</f>
        <v/>
      </c>
      <c r="E26" s="31">
        <f>IF(Бланка_Предложения!D37="","",VLOOKUP(Бланка_Предложения!$D$5, График_2027!$A$3:$I$27, 3, FALSE))</f>
        <v/>
      </c>
      <c r="G26" s="31">
        <f>IF(Бланка_Предложения!D37="","",Бланка_Предложения!B37)</f>
        <v/>
      </c>
      <c r="H26" s="34">
        <f>IF(Бланка_Предложения!D37="","",Бланка_Предложения!D37)</f>
        <v/>
      </c>
      <c r="I26" s="35">
        <f>IF(Бланка_Предложения!D37="","",Бланка_Предложения!H37)</f>
        <v/>
      </c>
      <c r="J26" s="31">
        <f>IF(Бланка_Предложения!D37="","",VLOOKUP(Бланка_Предложения!$D$5, График_2027!$A$3:$I$27, 9, FALSE))</f>
        <v/>
      </c>
      <c r="K26" s="31">
        <f>IF(Бланка_Предложения!D37="","",VLOOKUP(Бланка_Предложения!$D$5, График_2027!$A$3:$I$27, 3, FALSE))</f>
        <v/>
      </c>
    </row>
    <row r="27" ht="20" customHeight="1">
      <c r="A27" s="31">
        <f>IF(Бланка_Предложения!D38="","",Бланка_Предложения!B38)</f>
        <v/>
      </c>
      <c r="B27" s="34">
        <f>IF(Бланка_Предложения!D38="","",Бланка_Предложения!D38)</f>
        <v/>
      </c>
      <c r="C27" s="35">
        <f>IF(Бланка_Предложения!D38="","",Бланка_Предложения!K38)</f>
        <v/>
      </c>
      <c r="D27" s="31">
        <f>IF(Бланка_Предложения!D38="","",VLOOKUP(Бланка_Предложения!$D$5, График_2027!$A$3:$I$27, 2, FALSE))</f>
        <v/>
      </c>
      <c r="E27" s="31">
        <f>IF(Бланка_Предложения!D38="","",VLOOKUP(Бланка_Предложения!$D$5, График_2027!$A$3:$I$27, 3, FALSE))</f>
        <v/>
      </c>
      <c r="G27" s="31">
        <f>IF(Бланка_Предложения!D38="","",Бланка_Предложения!B38)</f>
        <v/>
      </c>
      <c r="H27" s="34">
        <f>IF(Бланка_Предложения!D38="","",Бланка_Предложения!D38)</f>
        <v/>
      </c>
      <c r="I27" s="35">
        <f>IF(Бланка_Предложения!D38="","",Бланка_Предложения!H38)</f>
        <v/>
      </c>
      <c r="J27" s="31">
        <f>IF(Бланка_Предложения!D38="","",VLOOKUP(Бланка_Предложения!$D$5, График_2027!$A$3:$I$27, 9, FALSE))</f>
        <v/>
      </c>
      <c r="K27" s="31">
        <f>IF(Бланка_Предложения!D38="","",VLOOKUP(Бланка_Предложения!$D$5, График_2027!$A$3:$I$27, 3, FALSE))</f>
        <v/>
      </c>
    </row>
    <row r="28" ht="20" customHeight="1">
      <c r="A28" s="31">
        <f>IF(Бланка_Предложения!D39="","",Бланка_Предложения!B39)</f>
        <v/>
      </c>
      <c r="B28" s="34">
        <f>IF(Бланка_Предложения!D39="","",Бланка_Предложения!D39)</f>
        <v/>
      </c>
      <c r="C28" s="35">
        <f>IF(Бланка_Предложения!D39="","",Бланка_Предложения!K39)</f>
        <v/>
      </c>
      <c r="D28" s="31">
        <f>IF(Бланка_Предложения!D39="","",VLOOKUP(Бланка_Предложения!$D$5, График_2027!$A$3:$I$27, 2, FALSE))</f>
        <v/>
      </c>
      <c r="E28" s="31">
        <f>IF(Бланка_Предложения!D39="","",VLOOKUP(Бланка_Предложения!$D$5, График_2027!$A$3:$I$27, 3, FALSE))</f>
        <v/>
      </c>
      <c r="G28" s="31">
        <f>IF(Бланка_Предложения!D39="","",Бланка_Предложения!B39)</f>
        <v/>
      </c>
      <c r="H28" s="34">
        <f>IF(Бланка_Предложения!D39="","",Бланка_Предложения!D39)</f>
        <v/>
      </c>
      <c r="I28" s="35">
        <f>IF(Бланка_Предложения!D39="","",Бланка_Предложения!H39)</f>
        <v/>
      </c>
      <c r="J28" s="31">
        <f>IF(Бланка_Предложения!D39="","",VLOOKUP(Бланка_Предложения!$D$5, График_2027!$A$3:$I$27, 9, FALSE))</f>
        <v/>
      </c>
      <c r="K28" s="31">
        <f>IF(Бланка_Предложения!D39="","",VLOOKUP(Бланка_Предложения!$D$5, График_2027!$A$3:$I$27, 3, FALSE))</f>
        <v/>
      </c>
    </row>
    <row r="29" ht="20" customHeight="1">
      <c r="A29" s="31">
        <f>IF(Бланка_Предложения!D40="","",Бланка_Предложения!B40)</f>
        <v/>
      </c>
      <c r="B29" s="34">
        <f>IF(Бланка_Предложения!D40="","",Бланка_Предложения!D40)</f>
        <v/>
      </c>
      <c r="C29" s="35">
        <f>IF(Бланка_Предложения!D40="","",Бланка_Предложения!K40)</f>
        <v/>
      </c>
      <c r="D29" s="31">
        <f>IF(Бланка_Предложения!D40="","",VLOOKUP(Бланка_Предложения!$D$5, График_2027!$A$3:$I$27, 2, FALSE))</f>
        <v/>
      </c>
      <c r="E29" s="31">
        <f>IF(Бланка_Предложения!D40="","",VLOOKUP(Бланка_Предложения!$D$5, График_2027!$A$3:$I$27, 3, FALSE))</f>
        <v/>
      </c>
      <c r="G29" s="31">
        <f>IF(Бланка_Предложения!D40="","",Бланка_Предложения!B40)</f>
        <v/>
      </c>
      <c r="H29" s="34">
        <f>IF(Бланка_Предложения!D40="","",Бланка_Предложения!D40)</f>
        <v/>
      </c>
      <c r="I29" s="35">
        <f>IF(Бланка_Предложения!D40="","",Бланка_Предложения!H40)</f>
        <v/>
      </c>
      <c r="J29" s="31">
        <f>IF(Бланка_Предложения!D40="","",VLOOKUP(Бланка_Предложения!$D$5, График_2027!$A$3:$I$27, 9, FALSE))</f>
        <v/>
      </c>
      <c r="K29" s="31">
        <f>IF(Бланка_Предложения!D40="","",VLOOKUP(Бланка_Предложения!$D$5, График_2027!$A$3:$I$27, 3, FALSE))</f>
        <v/>
      </c>
    </row>
    <row r="30" ht="20" customHeight="1">
      <c r="A30" s="31">
        <f>IF(Бланка_Предложения!D41="","",Бланка_Предложения!B41)</f>
        <v/>
      </c>
      <c r="B30" s="34">
        <f>IF(Бланка_Предложения!D41="","",Бланка_Предложения!D41)</f>
        <v/>
      </c>
      <c r="C30" s="35">
        <f>IF(Бланка_Предложения!D41="","",Бланка_Предложения!K41)</f>
        <v/>
      </c>
      <c r="D30" s="31">
        <f>IF(Бланка_Предложения!D41="","",VLOOKUP(Бланка_Предложения!$D$5, График_2027!$A$3:$I$27, 2, FALSE))</f>
        <v/>
      </c>
      <c r="E30" s="31">
        <f>IF(Бланка_Предложения!D41="","",VLOOKUP(Бланка_Предложения!$D$5, График_2027!$A$3:$I$27, 3, FALSE))</f>
        <v/>
      </c>
      <c r="G30" s="31">
        <f>IF(Бланка_Предложения!D41="","",Бланка_Предложения!B41)</f>
        <v/>
      </c>
      <c r="H30" s="34">
        <f>IF(Бланка_Предложения!D41="","",Бланка_Предложения!D41)</f>
        <v/>
      </c>
      <c r="I30" s="35">
        <f>IF(Бланка_Предложения!D41="","",Бланка_Предложения!H41)</f>
        <v/>
      </c>
      <c r="J30" s="31">
        <f>IF(Бланка_Предложения!D41="","",VLOOKUP(Бланка_Предложения!$D$5, График_2027!$A$3:$I$27, 9, FALSE))</f>
        <v/>
      </c>
      <c r="K30" s="31">
        <f>IF(Бланка_Предложения!D41="","",VLOOKUP(Бланка_Предложения!$D$5, График_2027!$A$3:$I$27, 3, FALSE))</f>
        <v/>
      </c>
    </row>
    <row r="31" ht="20" customHeight="1">
      <c r="A31" s="31">
        <f>IF(Бланка_Предложения!D42="","",Бланка_Предложения!B42)</f>
        <v/>
      </c>
      <c r="B31" s="34">
        <f>IF(Бланка_Предложения!D42="","",Бланка_Предложения!D42)</f>
        <v/>
      </c>
      <c r="C31" s="35">
        <f>IF(Бланка_Предложения!D42="","",Бланка_Предложения!K42)</f>
        <v/>
      </c>
      <c r="D31" s="31">
        <f>IF(Бланка_Предложения!D42="","",VLOOKUP(Бланка_Предложения!$D$5, График_2027!$A$3:$I$27, 2, FALSE))</f>
        <v/>
      </c>
      <c r="E31" s="31">
        <f>IF(Бланка_Предложения!D42="","",VLOOKUP(Бланка_Предложения!$D$5, График_2027!$A$3:$I$27, 3, FALSE))</f>
        <v/>
      </c>
      <c r="G31" s="31">
        <f>IF(Бланка_Предложения!D42="","",Бланка_Предложения!B42)</f>
        <v/>
      </c>
      <c r="H31" s="34">
        <f>IF(Бланка_Предложения!D42="","",Бланка_Предложения!D42)</f>
        <v/>
      </c>
      <c r="I31" s="35">
        <f>IF(Бланка_Предложения!D42="","",Бланка_Предложения!H42)</f>
        <v/>
      </c>
      <c r="J31" s="31">
        <f>IF(Бланка_Предложения!D42="","",VLOOKUP(Бланка_Предложения!$D$5, График_2027!$A$3:$I$27, 9, FALSE))</f>
        <v/>
      </c>
      <c r="K31" s="31">
        <f>IF(Бланка_Предложения!D42="","",VLOOKUP(Бланка_Предложения!$D$5, График_2027!$A$3:$I$27, 3, FALSE))</f>
        <v/>
      </c>
    </row>
    <row r="32" ht="20" customHeight="1">
      <c r="A32" s="31">
        <f>IF(Бланка_Предложения!D43="","",Бланка_Предложения!B43)</f>
        <v/>
      </c>
      <c r="B32" s="34">
        <f>IF(Бланка_Предложения!D43="","",Бланка_Предложения!D43)</f>
        <v/>
      </c>
      <c r="C32" s="35">
        <f>IF(Бланка_Предложения!D43="","",Бланка_Предложения!K43)</f>
        <v/>
      </c>
      <c r="D32" s="31">
        <f>IF(Бланка_Предложения!D43="","",VLOOKUP(Бланка_Предложения!$D$5, График_2027!$A$3:$I$27, 2, FALSE))</f>
        <v/>
      </c>
      <c r="E32" s="31">
        <f>IF(Бланка_Предложения!D43="","",VLOOKUP(Бланка_Предложения!$D$5, График_2027!$A$3:$I$27, 3, FALSE))</f>
        <v/>
      </c>
      <c r="G32" s="31">
        <f>IF(Бланка_Предложения!D43="","",Бланка_Предложения!B43)</f>
        <v/>
      </c>
      <c r="H32" s="34">
        <f>IF(Бланка_Предложения!D43="","",Бланка_Предложения!D43)</f>
        <v/>
      </c>
      <c r="I32" s="35">
        <f>IF(Бланка_Предложения!D43="","",Бланка_Предложения!H43)</f>
        <v/>
      </c>
      <c r="J32" s="31">
        <f>IF(Бланка_Предложения!D43="","",VLOOKUP(Бланка_Предложения!$D$5, График_2027!$A$3:$I$27, 9, FALSE))</f>
        <v/>
      </c>
      <c r="K32" s="31">
        <f>IF(Бланка_Предложения!D43="","",VLOOKUP(Бланка_Предложения!$D$5, График_2027!$A$3:$I$27, 3, FALSE))</f>
        <v/>
      </c>
    </row>
    <row r="33" ht="20" customHeight="1">
      <c r="A33" s="31">
        <f>IF(Бланка_Предложения!D44="","",Бланка_Предложения!B44)</f>
        <v/>
      </c>
      <c r="B33" s="34">
        <f>IF(Бланка_Предложения!D44="","",Бланка_Предложения!D44)</f>
        <v/>
      </c>
      <c r="C33" s="35">
        <f>IF(Бланка_Предложения!D44="","",Бланка_Предложения!K44)</f>
        <v/>
      </c>
      <c r="D33" s="31">
        <f>IF(Бланка_Предложения!D44="","",VLOOKUP(Бланка_Предложения!$D$5, График_2027!$A$3:$I$27, 2, FALSE))</f>
        <v/>
      </c>
      <c r="E33" s="31">
        <f>IF(Бланка_Предложения!D44="","",VLOOKUP(Бланка_Предложения!$D$5, График_2027!$A$3:$I$27, 3, FALSE))</f>
        <v/>
      </c>
      <c r="G33" s="31">
        <f>IF(Бланка_Предложения!D44="","",Бланка_Предложения!B44)</f>
        <v/>
      </c>
      <c r="H33" s="34">
        <f>IF(Бланка_Предложения!D44="","",Бланка_Предложения!D44)</f>
        <v/>
      </c>
      <c r="I33" s="35">
        <f>IF(Бланка_Предложения!D44="","",Бланка_Предложения!H44)</f>
        <v/>
      </c>
      <c r="J33" s="31">
        <f>IF(Бланка_Предложения!D44="","",VLOOKUP(Бланка_Предложения!$D$5, График_2027!$A$3:$I$27, 9, FALSE))</f>
        <v/>
      </c>
      <c r="K33" s="31">
        <f>IF(Бланка_Предложения!D44="","",VLOOKUP(Бланка_Предложения!$D$5, График_2027!$A$3:$I$27, 3, FALSE))</f>
        <v/>
      </c>
    </row>
    <row r="34" ht="20" customHeight="1">
      <c r="A34" s="31">
        <f>IF(Бланка_Предложения!D45="","",Бланка_Предложения!B45)</f>
        <v/>
      </c>
      <c r="B34" s="34">
        <f>IF(Бланка_Предложения!D45="","",Бланка_Предложения!D45)</f>
        <v/>
      </c>
      <c r="C34" s="35">
        <f>IF(Бланка_Предложения!D45="","",Бланка_Предложения!K45)</f>
        <v/>
      </c>
      <c r="D34" s="31">
        <f>IF(Бланка_Предложения!D45="","",VLOOKUP(Бланка_Предложения!$D$5, График_2027!$A$3:$I$27, 2, FALSE))</f>
        <v/>
      </c>
      <c r="E34" s="31">
        <f>IF(Бланка_Предложения!D45="","",VLOOKUP(Бланка_Предложения!$D$5, График_2027!$A$3:$I$27, 3, FALSE))</f>
        <v/>
      </c>
      <c r="G34" s="31">
        <f>IF(Бланка_Предложения!D45="","",Бланка_Предложения!B45)</f>
        <v/>
      </c>
      <c r="H34" s="34">
        <f>IF(Бланка_Предложения!D45="","",Бланка_Предложения!D45)</f>
        <v/>
      </c>
      <c r="I34" s="35">
        <f>IF(Бланка_Предложения!D45="","",Бланка_Предложения!H45)</f>
        <v/>
      </c>
      <c r="J34" s="31">
        <f>IF(Бланка_Предложения!D45="","",VLOOKUP(Бланка_Предложения!$D$5, График_2027!$A$3:$I$27, 9, FALSE))</f>
        <v/>
      </c>
      <c r="K34" s="31">
        <f>IF(Бланка_Предложения!D45="","",VLOOKUP(Бланка_Предложения!$D$5, График_2027!$A$3:$I$27, 3, FALSE))</f>
        <v/>
      </c>
    </row>
    <row r="35" ht="20" customHeight="1">
      <c r="A35" s="31">
        <f>IF(Бланка_Предложения!D46="","",Бланка_Предложения!B46)</f>
        <v/>
      </c>
      <c r="B35" s="34">
        <f>IF(Бланка_Предложения!D46="","",Бланка_Предложения!D46)</f>
        <v/>
      </c>
      <c r="C35" s="35">
        <f>IF(Бланка_Предложения!D46="","",Бланка_Предложения!K46)</f>
        <v/>
      </c>
      <c r="D35" s="31">
        <f>IF(Бланка_Предложения!D46="","",VLOOKUP(Бланка_Предложения!$D$5, График_2027!$A$3:$I$27, 2, FALSE))</f>
        <v/>
      </c>
      <c r="E35" s="31">
        <f>IF(Бланка_Предложения!D46="","",VLOOKUP(Бланка_Предложения!$D$5, График_2027!$A$3:$I$27, 3, FALSE))</f>
        <v/>
      </c>
      <c r="G35" s="31">
        <f>IF(Бланка_Предложения!D46="","",Бланка_Предложения!B46)</f>
        <v/>
      </c>
      <c r="H35" s="34">
        <f>IF(Бланка_Предложения!D46="","",Бланка_Предложения!D46)</f>
        <v/>
      </c>
      <c r="I35" s="35">
        <f>IF(Бланка_Предложения!D46="","",Бланка_Предложения!H46)</f>
        <v/>
      </c>
      <c r="J35" s="31">
        <f>IF(Бланка_Предложения!D46="","",VLOOKUP(Бланка_Предложения!$D$5, График_2027!$A$3:$I$27, 9, FALSE))</f>
        <v/>
      </c>
      <c r="K35" s="31">
        <f>IF(Бланка_Предложения!D46="","",VLOOKUP(Бланка_Предложения!$D$5, График_2027!$A$3:$I$27, 3, FALSE))</f>
        <v/>
      </c>
    </row>
    <row r="36" ht="20" customHeight="1">
      <c r="A36" s="31">
        <f>IF(Бланка_Предложения!D47="","",Бланка_Предложения!B47)</f>
        <v/>
      </c>
      <c r="B36" s="34">
        <f>IF(Бланка_Предложения!D47="","",Бланка_Предложения!D47)</f>
        <v/>
      </c>
      <c r="C36" s="35">
        <f>IF(Бланка_Предложения!D47="","",Бланка_Предложения!K47)</f>
        <v/>
      </c>
      <c r="D36" s="31">
        <f>IF(Бланка_Предложения!D47="","",VLOOKUP(Бланка_Предложения!$D$5, График_2027!$A$3:$I$27, 2, FALSE))</f>
        <v/>
      </c>
      <c r="E36" s="31">
        <f>IF(Бланка_Предложения!D47="","",VLOOKUP(Бланка_Предложения!$D$5, График_2027!$A$3:$I$27, 3, FALSE))</f>
        <v/>
      </c>
      <c r="G36" s="31">
        <f>IF(Бланка_Предложения!D47="","",Бланка_Предложения!B47)</f>
        <v/>
      </c>
      <c r="H36" s="34">
        <f>IF(Бланка_Предложения!D47="","",Бланка_Предложения!D47)</f>
        <v/>
      </c>
      <c r="I36" s="35">
        <f>IF(Бланка_Предложения!D47="","",Бланка_Предложения!H47)</f>
        <v/>
      </c>
      <c r="J36" s="31">
        <f>IF(Бланка_Предложения!D47="","",VLOOKUP(Бланка_Предложения!$D$5, График_2027!$A$3:$I$27, 9, FALSE))</f>
        <v/>
      </c>
      <c r="K36" s="31">
        <f>IF(Бланка_Предложения!D47="","",VLOOKUP(Бланка_Предложения!$D$5, График_2027!$A$3:$I$27, 3, FALSE))</f>
        <v/>
      </c>
    </row>
    <row r="37" ht="20" customHeight="1">
      <c r="A37" s="31">
        <f>IF(Бланка_Предложения!D48="","",Бланка_Предложения!B48)</f>
        <v/>
      </c>
      <c r="B37" s="34">
        <f>IF(Бланка_Предложения!D48="","",Бланка_Предложения!D48)</f>
        <v/>
      </c>
      <c r="C37" s="35">
        <f>IF(Бланка_Предложения!D48="","",Бланка_Предложения!K48)</f>
        <v/>
      </c>
      <c r="D37" s="31">
        <f>IF(Бланка_Предложения!D48="","",VLOOKUP(Бланка_Предложения!$D$5, График_2027!$A$3:$I$27, 2, FALSE))</f>
        <v/>
      </c>
      <c r="E37" s="31">
        <f>IF(Бланка_Предложения!D48="","",VLOOKUP(Бланка_Предложения!$D$5, График_2027!$A$3:$I$27, 3, FALSE))</f>
        <v/>
      </c>
      <c r="G37" s="31">
        <f>IF(Бланка_Предложения!D48="","",Бланка_Предложения!B48)</f>
        <v/>
      </c>
      <c r="H37" s="34">
        <f>IF(Бланка_Предложения!D48="","",Бланка_Предложения!D48)</f>
        <v/>
      </c>
      <c r="I37" s="35">
        <f>IF(Бланка_Предложения!D48="","",Бланка_Предложения!H48)</f>
        <v/>
      </c>
      <c r="J37" s="31">
        <f>IF(Бланка_Предложения!D48="","",VLOOKUP(Бланка_Предложения!$D$5, График_2027!$A$3:$I$27, 9, FALSE))</f>
        <v/>
      </c>
      <c r="K37" s="31">
        <f>IF(Бланка_Предложения!D48="","",VLOOKUP(Бланка_Предложения!$D$5, График_2027!$A$3:$I$27, 3, FALSE))</f>
        <v/>
      </c>
    </row>
    <row r="38" ht="20" customHeight="1">
      <c r="A38" s="31">
        <f>IF(Бланка_Предложения!D49="","",Бланка_Предложения!B49)</f>
        <v/>
      </c>
      <c r="B38" s="34">
        <f>IF(Бланка_Предложения!D49="","",Бланка_Предложения!D49)</f>
        <v/>
      </c>
      <c r="C38" s="35">
        <f>IF(Бланка_Предложения!D49="","",Бланка_Предложения!K49)</f>
        <v/>
      </c>
      <c r="D38" s="31">
        <f>IF(Бланка_Предложения!D49="","",VLOOKUP(Бланка_Предложения!$D$5, График_2027!$A$3:$I$27, 2, FALSE))</f>
        <v/>
      </c>
      <c r="E38" s="31">
        <f>IF(Бланка_Предложения!D49="","",VLOOKUP(Бланка_Предложения!$D$5, График_2027!$A$3:$I$27, 3, FALSE))</f>
        <v/>
      </c>
      <c r="G38" s="31">
        <f>IF(Бланка_Предложения!D49="","",Бланка_Предложения!B49)</f>
        <v/>
      </c>
      <c r="H38" s="34">
        <f>IF(Бланка_Предложения!D49="","",Бланка_Предложения!D49)</f>
        <v/>
      </c>
      <c r="I38" s="35">
        <f>IF(Бланка_Предложения!D49="","",Бланка_Предложения!H49)</f>
        <v/>
      </c>
      <c r="J38" s="31">
        <f>IF(Бланка_Предложения!D49="","",VLOOKUP(Бланка_Предложения!$D$5, График_2027!$A$3:$I$27, 9, FALSE))</f>
        <v/>
      </c>
      <c r="K38" s="31">
        <f>IF(Бланка_Предложения!D49="","",VLOOKUP(Бланка_Предложения!$D$5, График_2027!$A$3:$I$27, 3, FALSE))</f>
        <v/>
      </c>
    </row>
  </sheetData>
  <mergeCells count="3">
    <mergeCell ref="A2:E2"/>
    <mergeCell ref="A1:K1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2026-10-08T10:28:23Z</dcterms:created>
  <dcterms:modified xmlns:dcterms="http://purl.org/dc/terms/" xmlns:xsi="http://www.w3.org/2001/XMLSchema-instance" xsi:type="dcterms:W3CDTF">2026-10-08T10:28:23Z</dcterms:modified>
</cp:coreProperties>
</file>