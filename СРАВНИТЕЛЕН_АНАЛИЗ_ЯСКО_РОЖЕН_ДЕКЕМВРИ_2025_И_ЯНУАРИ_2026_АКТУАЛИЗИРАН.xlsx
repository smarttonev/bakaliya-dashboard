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бобщение (Резюме)" sheetId="1" state="visible" r:id="rId1"/>
    <sheet xmlns:r="http://schemas.openxmlformats.org/officeDocument/2006/relationships" name="Декември 2025" sheetId="2" state="visible" r:id="rId2"/>
    <sheet xmlns:r="http://schemas.openxmlformats.org/officeDocument/2006/relationships" name="Януари 2026" sheetId="3" state="visible" r:id="rId3"/>
    <sheet xmlns:r="http://schemas.openxmlformats.org/officeDocument/2006/relationships" name="Обобщено по артикули" sheetId="4" state="visible" r:id="rId4"/>
    <sheet xmlns:r="http://schemas.openxmlformats.org/officeDocument/2006/relationships" name="Сравнение по обекти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0 &quot;€&quot;"/>
    <numFmt numFmtId="165" formatCode="+ #,##0.00 &quot;€&quot;;- #,##0.00 &quot;€&quot;;0.00 &quot;€&quot;"/>
    <numFmt numFmtId="166" formatCode="0.0000 &quot;€&quot;"/>
    <numFmt numFmtId="167" formatCode="+ 0.00%;- 0.00%;0.00%"/>
  </numFmts>
  <fonts count="7">
    <font>
      <name val="Calibri"/>
      <family val="2"/>
      <color theme="1"/>
      <sz val="11"/>
      <scheme val="minor"/>
    </font>
    <font>
      <name val="Segoe UI"/>
      <b val="1"/>
      <color rgb="001F4E78"/>
      <sz val="11"/>
    </font>
    <font>
      <name val="Segoe UI"/>
      <b val="1"/>
      <color rgb="00FFFFFF"/>
      <sz val="10"/>
    </font>
    <font>
      <name val="Segoe UI"/>
      <color rgb="00000000"/>
      <sz val="10"/>
    </font>
    <font>
      <name val="Segoe UI"/>
      <b val="1"/>
      <color rgb="00000000"/>
      <sz val="10"/>
    </font>
    <font>
      <name val="Segoe UI"/>
      <i val="1"/>
      <color rgb="00595959"/>
      <sz val="10"/>
    </font>
    <font>
      <name val="Segoe UI"/>
      <b val="1"/>
      <color rgb="001F4E78"/>
      <sz val="13"/>
    </font>
  </fonts>
  <fills count="8">
    <fill>
      <patternFill/>
    </fill>
    <fill>
      <patternFill patternType="gray125"/>
    </fill>
    <fill>
      <patternFill patternType="solid">
        <fgColor rgb="00262626"/>
        <bgColor rgb="00262626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F2F2F2"/>
        <bgColor rgb="00F2F2F2"/>
      </patternFill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</fills>
  <borders count="4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medium">
        <color rgb="001F4E78"/>
      </top>
      <bottom style="medium">
        <color rgb="001F4E78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6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/>
    </xf>
    <xf numFmtId="164" fontId="3" fillId="0" borderId="2" applyAlignment="1" pivotButton="0" quotePrefix="0" xfId="0">
      <alignment horizontal="right" vertical="center"/>
    </xf>
    <xf numFmtId="10" fontId="3" fillId="0" borderId="2" applyAlignment="1" pivotButton="0" quotePrefix="0" xfId="0">
      <alignment horizontal="right" vertical="center"/>
    </xf>
    <xf numFmtId="165" fontId="3" fillId="0" borderId="2" applyAlignment="1" pivotButton="0" quotePrefix="0" xfId="0">
      <alignment horizontal="right" vertical="center"/>
    </xf>
    <xf numFmtId="0" fontId="4" fillId="3" borderId="2" applyAlignment="1" pivotButton="0" quotePrefix="0" xfId="0">
      <alignment horizontal="left" vertical="center"/>
    </xf>
    <xf numFmtId="164" fontId="4" fillId="3" borderId="2" applyAlignment="1" pivotButton="0" quotePrefix="0" xfId="0">
      <alignment horizontal="right" vertical="center"/>
    </xf>
    <xf numFmtId="10" fontId="4" fillId="3" borderId="2" applyAlignment="1" pivotButton="0" quotePrefix="0" xfId="0">
      <alignment horizontal="right" vertical="center"/>
    </xf>
    <xf numFmtId="165" fontId="4" fillId="3" borderId="2" applyAlignment="1" pivotButton="0" quotePrefix="0" xfId="0">
      <alignment horizontal="right" vertical="center"/>
    </xf>
    <xf numFmtId="0" fontId="4" fillId="4" borderId="2" applyAlignment="1" pivotButton="0" quotePrefix="0" xfId="0">
      <alignment horizontal="left" vertical="center"/>
    </xf>
    <xf numFmtId="164" fontId="4" fillId="4" borderId="2" applyAlignment="1" pivotButton="0" quotePrefix="0" xfId="0">
      <alignment horizontal="right" vertical="center"/>
    </xf>
    <xf numFmtId="10" fontId="4" fillId="4" borderId="2" applyAlignment="1" pivotButton="0" quotePrefix="0" xfId="0">
      <alignment horizontal="right" vertical="center"/>
    </xf>
    <xf numFmtId="165" fontId="4" fillId="4" borderId="2" applyAlignment="1" pivotButton="0" quotePrefix="0" xfId="0">
      <alignment horizontal="right" vertical="center"/>
    </xf>
    <xf numFmtId="0" fontId="5" fillId="5" borderId="2" applyAlignment="1" pivotButton="0" quotePrefix="0" xfId="0">
      <alignment horizontal="left" vertical="center"/>
    </xf>
    <xf numFmtId="164" fontId="3" fillId="5" borderId="2" applyAlignment="1" pivotButton="0" quotePrefix="0" xfId="0">
      <alignment horizontal="right" vertical="center"/>
    </xf>
    <xf numFmtId="10" fontId="3" fillId="5" borderId="2" applyAlignment="1" pivotButton="0" quotePrefix="0" xfId="0">
      <alignment horizontal="right" vertical="center"/>
    </xf>
    <xf numFmtId="165" fontId="3" fillId="5" borderId="2" applyAlignment="1" pivotButton="0" quotePrefix="0" xfId="0">
      <alignment horizontal="right" vertical="center"/>
    </xf>
    <xf numFmtId="0" fontId="3" fillId="5" borderId="2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right" vertical="center"/>
    </xf>
    <xf numFmtId="4" fontId="4" fillId="0" borderId="2" applyAlignment="1" pivotButton="0" quotePrefix="0" xfId="0">
      <alignment horizontal="right" vertical="center"/>
    </xf>
    <xf numFmtId="164" fontId="4" fillId="0" borderId="2" applyAlignment="1" pivotButton="0" quotePrefix="0" xfId="0">
      <alignment horizontal="right" vertical="center"/>
    </xf>
    <xf numFmtId="0" fontId="4" fillId="0" borderId="2" applyAlignment="1" pivotButton="0" quotePrefix="0" xfId="0">
      <alignment horizontal="left" vertical="center"/>
    </xf>
    <xf numFmtId="10" fontId="4" fillId="0" borderId="2" applyAlignment="1" pivotButton="0" quotePrefix="0" xfId="0">
      <alignment horizontal="right" vertical="center"/>
    </xf>
    <xf numFmtId="167" fontId="3" fillId="0" borderId="2" applyAlignment="1" pivotButton="0" quotePrefix="0" xfId="0">
      <alignment horizontal="right" vertical="center"/>
    </xf>
    <xf numFmtId="167" fontId="4" fillId="0" borderId="2" applyAlignment="1" pivotButton="0" quotePrefix="0" xfId="0">
      <alignment horizontal="right" vertical="center"/>
    </xf>
    <xf numFmtId="0" fontId="4" fillId="5" borderId="3" applyAlignment="1" pivotButton="0" quotePrefix="0" xfId="0">
      <alignment horizontal="left" vertical="center"/>
    </xf>
    <xf numFmtId="4" fontId="4" fillId="5" borderId="3" applyAlignment="1" pivotButton="0" quotePrefix="0" xfId="0">
      <alignment horizontal="right" vertical="center"/>
    </xf>
    <xf numFmtId="164" fontId="4" fillId="5" borderId="3" applyAlignment="1" pivotButton="0" quotePrefix="0" xfId="0">
      <alignment horizontal="right" vertical="center"/>
    </xf>
    <xf numFmtId="10" fontId="4" fillId="5" borderId="3" applyAlignment="1" pivotButton="0" quotePrefix="0" xfId="0">
      <alignment horizontal="right" vertical="center"/>
    </xf>
    <xf numFmtId="0" fontId="3" fillId="0" borderId="2" applyAlignment="1" pivotButton="0" quotePrefix="0" xfId="0">
      <alignment horizontal="center" vertical="center"/>
    </xf>
    <xf numFmtId="166" fontId="3" fillId="0" borderId="2" applyAlignment="1" pivotButton="0" quotePrefix="0" xfId="0">
      <alignment horizontal="right" vertical="center"/>
    </xf>
    <xf numFmtId="0" fontId="4" fillId="5" borderId="3" applyAlignment="1" pivotButton="0" quotePrefix="0" xfId="0">
      <alignment horizontal="center" vertical="center"/>
    </xf>
    <xf numFmtId="0" fontId="4" fillId="5" borderId="3" pivotButton="0" quotePrefix="0" xfId="0"/>
    <xf numFmtId="0" fontId="4" fillId="5" borderId="3" applyAlignment="1" pivotButton="0" quotePrefix="0" xfId="0">
      <alignment horizontal="right" vertical="center"/>
    </xf>
    <xf numFmtId="165" fontId="4" fillId="5" borderId="3" applyAlignment="1" pivotButton="0" quotePrefix="0" xfId="0">
      <alignment horizontal="right" vertical="center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24" customWidth="1" min="2" max="2"/>
    <col width="24" customWidth="1" min="3" max="3"/>
    <col width="18" customWidth="1" min="4" max="4"/>
    <col width="24" customWidth="1" min="5" max="5"/>
    <col width="20" customWidth="1" min="6" max="6"/>
    <col width="38" customWidth="1" min="7" max="7"/>
  </cols>
  <sheetData>
    <row r="1">
      <c r="A1" s="1" t="inlineStr">
        <is>
          <t>ВЕРИГА СУПЕРМАРКЕТИ „БАКАЛИЯ“ — ГЛАВЕН ТЪРГОВСКИ КОНТРОЛИНГ</t>
        </is>
      </c>
    </row>
    <row r="2">
      <c r="A2" s="2" t="inlineStr">
        <is>
          <t>СРАВНИТЕЛЕН АНАЛИЗ НА ДОСТАВЧИЦИ: ЯСКО vs. РОЖЕН (ДЕКЕМВРИ 2025 И ЯНУАРИ 2026)</t>
        </is>
      </c>
    </row>
    <row r="3">
      <c r="A3" s="3" t="inlineStr">
        <is>
          <t>Обхват: 104 позиции (Mondelez &amp; Chipita) | 11 магазина | Мистрал ERP Централен склад (CS.FDB)</t>
        </is>
      </c>
    </row>
    <row r="4"/>
    <row r="5">
      <c r="A5" s="2" t="inlineStr">
        <is>
          <t>1. ДЕКЕМВРИ 2025 — СРАВНЕНИЕ НА СЦЕНАРИИ (РЕЗЮМЕ)</t>
        </is>
      </c>
    </row>
    <row r="6" ht="26" customHeight="1">
      <c r="A6" s="4" t="inlineStr">
        <is>
          <t>Показател / Сценарий</t>
        </is>
      </c>
      <c r="B6" s="4" t="inlineStr">
        <is>
          <t>Покупна стойност (€ с ДДС)</t>
        </is>
      </c>
      <c r="C6" s="4" t="inlineStr">
        <is>
          <t>Брутна печалба (€ с ДДС)</t>
        </is>
      </c>
      <c r="D6" s="4" t="inlineStr">
        <is>
          <t>Търговски марж (%)</t>
        </is>
      </c>
      <c r="E6" s="4" t="inlineStr">
        <is>
          <t>Разлика спрямо Яско (€)</t>
        </is>
      </c>
      <c r="F6" s="4" t="inlineStr">
        <is>
          <t>% разлика спрямо Яско</t>
        </is>
      </c>
      <c r="G6" s="4" t="inlineStr">
        <is>
          <t>Икономически ефект / Бележка</t>
        </is>
      </c>
    </row>
    <row r="7" ht="22" customHeight="1">
      <c r="A7" s="5" t="inlineStr">
        <is>
          <t>1. Рожен — Базова ценова листа</t>
        </is>
      </c>
      <c r="B7" s="6">
        <f>'Декември 2025'!B3</f>
        <v/>
      </c>
      <c r="C7" s="6">
        <f>'Декември 2025'!C3</f>
        <v/>
      </c>
      <c r="D7" s="7">
        <f>'Декември 2025'!D3</f>
        <v/>
      </c>
      <c r="E7" s="8">
        <f>'Декември 2025'!E3</f>
        <v/>
      </c>
      <c r="F7" s="7">
        <f>'Декември 2025'!F3</f>
        <v/>
      </c>
      <c r="G7" s="5">
        <f>'Декември 2025'!G3</f>
        <v/>
      </c>
    </row>
    <row r="8" ht="22" customHeight="1">
      <c r="A8" s="9" t="inlineStr">
        <is>
          <t>2. Рожен — Нето фактура (-6.8% / -4.0%)</t>
        </is>
      </c>
      <c r="B8" s="10">
        <f>'Декември 2025'!B4</f>
        <v/>
      </c>
      <c r="C8" s="10">
        <f>'Декември 2025'!C4</f>
        <v/>
      </c>
      <c r="D8" s="11">
        <f>'Декември 2025'!D4</f>
        <v/>
      </c>
      <c r="E8" s="12">
        <f>'Декември 2025'!E4</f>
        <v/>
      </c>
      <c r="F8" s="11">
        <f>'Декември 2025'!F4</f>
        <v/>
      </c>
      <c r="G8" s="9">
        <f>'Декември 2025'!G4</f>
        <v/>
      </c>
    </row>
    <row r="9" ht="22" customHeight="1">
      <c r="A9" s="13" t="inlineStr">
        <is>
          <t>3. Яско — Директни цени с ДДС</t>
        </is>
      </c>
      <c r="B9" s="14">
        <f>'Декември 2025'!B5</f>
        <v/>
      </c>
      <c r="C9" s="14">
        <f>'Декември 2025'!C5</f>
        <v/>
      </c>
      <c r="D9" s="15">
        <f>'Декември 2025'!D5</f>
        <v/>
      </c>
      <c r="E9" s="16">
        <f>'Декември 2025'!E5</f>
        <v/>
      </c>
      <c r="F9" s="15">
        <f>'Декември 2025'!F5</f>
        <v/>
      </c>
      <c r="G9" s="13">
        <f>'Декември 2025'!G5</f>
        <v/>
      </c>
    </row>
    <row r="10" ht="22" customHeight="1">
      <c r="A10" s="17" t="inlineStr">
        <is>
          <t>Текущо отчетено в Мистрал ERP</t>
        </is>
      </c>
      <c r="B10" s="18">
        <f>'Декември 2025'!B6</f>
        <v/>
      </c>
      <c r="C10" s="18">
        <f>'Декември 2025'!C6</f>
        <v/>
      </c>
      <c r="D10" s="19">
        <f>'Декември 2025'!D6</f>
        <v/>
      </c>
      <c r="E10" s="20">
        <f>'Декември 2025'!E6</f>
        <v/>
      </c>
      <c r="F10" s="19">
        <f>'Декември 2025'!F6</f>
        <v/>
      </c>
      <c r="G10" s="21">
        <f>'Декември 2025'!G6</f>
        <v/>
      </c>
    </row>
    <row r="11"/>
    <row r="12">
      <c r="A12" s="2" t="inlineStr">
        <is>
          <t>2. ЯНУАРИ 2026 — СРАВНЕНИЕ НА СЦЕНАРИИ (РЕЗЮМЕ)</t>
        </is>
      </c>
    </row>
    <row r="13" ht="26" customHeight="1">
      <c r="A13" s="4" t="inlineStr">
        <is>
          <t>Показател / Сценарий</t>
        </is>
      </c>
      <c r="B13" s="4" t="inlineStr">
        <is>
          <t>Покупна стойност (€ с ДДС)</t>
        </is>
      </c>
      <c r="C13" s="4" t="inlineStr">
        <is>
          <t>Брутна печалба (€ с ДДС)</t>
        </is>
      </c>
      <c r="D13" s="4" t="inlineStr">
        <is>
          <t>Търговски марж (%)</t>
        </is>
      </c>
      <c r="E13" s="4" t="inlineStr">
        <is>
          <t>Разлика спрямо Яско (€)</t>
        </is>
      </c>
      <c r="F13" s="4" t="inlineStr">
        <is>
          <t>% разлика спрямо Яско</t>
        </is>
      </c>
      <c r="G13" s="4" t="inlineStr">
        <is>
          <t>Икономически ефект / Бележка</t>
        </is>
      </c>
    </row>
    <row r="14" ht="22" customHeight="1">
      <c r="A14" s="5" t="inlineStr">
        <is>
          <t>1. Рожен — Базова ценова листа</t>
        </is>
      </c>
      <c r="B14" s="6">
        <f>'Януари 2026'!B3</f>
        <v/>
      </c>
      <c r="C14" s="6">
        <f>'Януари 2026'!C3</f>
        <v/>
      </c>
      <c r="D14" s="7">
        <f>'Януари 2026'!D3</f>
        <v/>
      </c>
      <c r="E14" s="8">
        <f>'Януари 2026'!E3</f>
        <v/>
      </c>
      <c r="F14" s="7">
        <f>'Януари 2026'!F3</f>
        <v/>
      </c>
      <c r="G14" s="5">
        <f>'Януари 2026'!G3</f>
        <v/>
      </c>
    </row>
    <row r="15" ht="22" customHeight="1">
      <c r="A15" s="9" t="inlineStr">
        <is>
          <t>2. Рожен — Нето фактура (-6.8% / -4.0%)</t>
        </is>
      </c>
      <c r="B15" s="10">
        <f>'Януари 2026'!B4</f>
        <v/>
      </c>
      <c r="C15" s="10">
        <f>'Януари 2026'!C4</f>
        <v/>
      </c>
      <c r="D15" s="11">
        <f>'Януари 2026'!D4</f>
        <v/>
      </c>
      <c r="E15" s="12">
        <f>'Януари 2026'!E4</f>
        <v/>
      </c>
      <c r="F15" s="11">
        <f>'Януари 2026'!F4</f>
        <v/>
      </c>
      <c r="G15" s="9">
        <f>'Януари 2026'!G4</f>
        <v/>
      </c>
    </row>
    <row r="16" ht="22" customHeight="1">
      <c r="A16" s="13" t="inlineStr">
        <is>
          <t>3. Яско — Директни цени с ДДС</t>
        </is>
      </c>
      <c r="B16" s="14">
        <f>'Януари 2026'!B5</f>
        <v/>
      </c>
      <c r="C16" s="14">
        <f>'Януари 2026'!C5</f>
        <v/>
      </c>
      <c r="D16" s="15">
        <f>'Януари 2026'!D5</f>
        <v/>
      </c>
      <c r="E16" s="16">
        <f>'Януари 2026'!E5</f>
        <v/>
      </c>
      <c r="F16" s="15">
        <f>'Януари 2026'!F5</f>
        <v/>
      </c>
      <c r="G16" s="13">
        <f>'Януари 2026'!G5</f>
        <v/>
      </c>
    </row>
    <row r="17" ht="22" customHeight="1">
      <c r="A17" s="17" t="inlineStr">
        <is>
          <t>Текущо отчетено в Мистрал ERP</t>
        </is>
      </c>
      <c r="B17" s="18">
        <f>'Януари 2026'!B6</f>
        <v/>
      </c>
      <c r="C17" s="18">
        <f>'Януари 2026'!C6</f>
        <v/>
      </c>
      <c r="D17" s="19">
        <f>'Януари 2026'!D6</f>
        <v/>
      </c>
      <c r="E17" s="20">
        <f>'Януари 2026'!E6</f>
        <v/>
      </c>
      <c r="F17" s="19">
        <f>'Януари 2026'!F6</f>
        <v/>
      </c>
      <c r="G17" s="21">
        <f>'Януари 2026'!G6</f>
        <v/>
      </c>
    </row>
    <row r="18"/>
    <row r="19">
      <c r="A19" s="2" t="inlineStr">
        <is>
          <t>3. ОБЩО 2 МЕСЕЦА (КУМУЛАТИВНО) — СРАВНЕНИЕ НА СЦЕНАРИИ</t>
        </is>
      </c>
    </row>
    <row r="20" ht="26" customHeight="1">
      <c r="A20" s="22" t="inlineStr">
        <is>
          <t>Показател / Сценарий</t>
        </is>
      </c>
      <c r="B20" s="22" t="inlineStr">
        <is>
          <t>Покупна стойност (€ с ДДС)</t>
        </is>
      </c>
      <c r="C20" s="22" t="inlineStr">
        <is>
          <t>Брутна печалба (€ с ДДС)</t>
        </is>
      </c>
      <c r="D20" s="22" t="inlineStr">
        <is>
          <t>Търговски марж (%)</t>
        </is>
      </c>
      <c r="E20" s="22" t="inlineStr">
        <is>
          <t>Разлика спрямо Яско (€)</t>
        </is>
      </c>
      <c r="F20" s="22" t="inlineStr">
        <is>
          <t>% разлика спрямо Яско</t>
        </is>
      </c>
      <c r="G20" s="22" t="inlineStr">
        <is>
          <t>Икономически ефект / Бележка</t>
        </is>
      </c>
    </row>
    <row r="21" ht="22" customHeight="1">
      <c r="A21" s="5" t="inlineStr">
        <is>
          <t>1. Рожен — Базова ценова листа</t>
        </is>
      </c>
      <c r="B21" s="6">
        <f>'Обобщено по артикули'!B3</f>
        <v/>
      </c>
      <c r="C21" s="6">
        <f>'Обобщено по артикули'!C3</f>
        <v/>
      </c>
      <c r="D21" s="7">
        <f>'Обобщено по артикули'!D3</f>
        <v/>
      </c>
      <c r="E21" s="8">
        <f>'Обобщено по артикули'!E3</f>
        <v/>
      </c>
      <c r="F21" s="7">
        <f>'Обобщено по артикули'!F3</f>
        <v/>
      </c>
      <c r="G21" s="5">
        <f>'Обобщено по артикули'!G3</f>
        <v/>
      </c>
    </row>
    <row r="22" ht="22" customHeight="1">
      <c r="A22" s="9" t="inlineStr">
        <is>
          <t>2. Рожен — Нето фактура (-6.8% / -4.0%)</t>
        </is>
      </c>
      <c r="B22" s="10">
        <f>'Обобщено по артикули'!B4</f>
        <v/>
      </c>
      <c r="C22" s="10">
        <f>'Обобщено по артикули'!C4</f>
        <v/>
      </c>
      <c r="D22" s="11">
        <f>'Обобщено по артикули'!D4</f>
        <v/>
      </c>
      <c r="E22" s="12">
        <f>'Обобщено по артикули'!E4</f>
        <v/>
      </c>
      <c r="F22" s="11">
        <f>'Обобщено по артикули'!F4</f>
        <v/>
      </c>
      <c r="G22" s="9">
        <f>'Обобщено по артикули'!G4</f>
        <v/>
      </c>
    </row>
    <row r="23" ht="22" customHeight="1">
      <c r="A23" s="13" t="inlineStr">
        <is>
          <t>3. Яско — Директни цени с ДДС</t>
        </is>
      </c>
      <c r="B23" s="14">
        <f>'Обобщено по артикули'!B5</f>
        <v/>
      </c>
      <c r="C23" s="14">
        <f>'Обобщено по артикули'!C5</f>
        <v/>
      </c>
      <c r="D23" s="15">
        <f>'Обобщено по артикули'!D5</f>
        <v/>
      </c>
      <c r="E23" s="16">
        <f>'Обобщено по артикули'!E5</f>
        <v/>
      </c>
      <c r="F23" s="15">
        <f>'Обобщено по артикули'!F5</f>
        <v/>
      </c>
      <c r="G23" s="13">
        <f>'Обобщено по артикули'!G5</f>
        <v/>
      </c>
    </row>
    <row r="24" ht="22" customHeight="1">
      <c r="A24" s="17" t="inlineStr">
        <is>
          <t>Текущо отчетено в Мистрал ERP</t>
        </is>
      </c>
      <c r="B24" s="18">
        <f>'Обобщено по артикули'!B6</f>
        <v/>
      </c>
      <c r="C24" s="18">
        <f>'Обобщено по артикули'!C6</f>
        <v/>
      </c>
      <c r="D24" s="19">
        <f>'Обобщено по артикули'!D6</f>
        <v/>
      </c>
      <c r="E24" s="20">
        <f>'Обобщено по артикули'!E6</f>
        <v/>
      </c>
      <c r="F24" s="19">
        <f>'Обобщено по артикули'!F6</f>
        <v/>
      </c>
      <c r="G24" s="21">
        <f>'Обобщено по артикули'!G6</f>
        <v/>
      </c>
    </row>
    <row r="25"/>
    <row r="26">
      <c r="A26" s="2" t="inlineStr">
        <is>
          <t>4. ДИНАМИКА МЕСЕЦ ПО МЕСЕЦ (ДЕКЕМВРИ vs. ЯНУАРИ vs. ОБЩО)</t>
        </is>
      </c>
    </row>
    <row r="27" ht="26" customHeight="1">
      <c r="A27" s="23" t="inlineStr">
        <is>
          <t>Показател</t>
        </is>
      </c>
      <c r="B27" s="23" t="inlineStr">
        <is>
          <t>Декември 2025 (€)</t>
        </is>
      </c>
      <c r="C27" s="23" t="inlineStr">
        <is>
          <t>Януари 2026 (€)</t>
        </is>
      </c>
      <c r="D27" s="23" t="inlineStr">
        <is>
          <t>Общо 2 Месеца (€)</t>
        </is>
      </c>
      <c r="E27" s="23" t="inlineStr">
        <is>
          <t>Анализ / Темп на промяна</t>
        </is>
      </c>
    </row>
    <row r="28" ht="20" customHeight="1">
      <c r="A28" s="5" t="inlineStr">
        <is>
          <t>Продадени количества (бр.)</t>
        </is>
      </c>
      <c r="B28" s="24">
        <f>'Декември 2025'!D105</f>
        <v/>
      </c>
      <c r="C28" s="24">
        <f>'Януари 2026'!D105</f>
        <v/>
      </c>
      <c r="D28" s="25">
        <f>B28+C28</f>
        <v/>
      </c>
      <c r="E28" s="5">
        <f>"Ръст Януари: " &amp; ROUND(((C28-B28)/B28)*100, 1) &amp; "%"</f>
        <v/>
      </c>
    </row>
    <row r="29" ht="20" customHeight="1">
      <c r="A29" s="5" t="inlineStr">
        <is>
          <t>Реализиран оборот с ДДС (€)</t>
        </is>
      </c>
      <c r="B29" s="6">
        <f>'Декември 2025'!E105</f>
        <v/>
      </c>
      <c r="C29" s="6">
        <f>'Януари 2026'!E105</f>
        <v/>
      </c>
      <c r="D29" s="26">
        <f>B29+C29</f>
        <v/>
      </c>
      <c r="E29" s="5">
        <f>"Дял Декември: " &amp; ROUND((B29/D29)*100, 1) &amp; "%"</f>
        <v/>
      </c>
    </row>
    <row r="30" ht="20" customHeight="1">
      <c r="A30" s="5" t="inlineStr">
        <is>
          <t>Реална себестойност ERP (€)</t>
        </is>
      </c>
      <c r="B30" s="6">
        <f>'Декември 2025'!F105</f>
        <v/>
      </c>
      <c r="C30" s="6">
        <f>'Януари 2026'!F105</f>
        <v/>
      </c>
      <c r="D30" s="26">
        <f>B30+C30</f>
        <v/>
      </c>
      <c r="E30" s="5">
        <f>""</f>
        <v/>
      </c>
    </row>
    <row r="31" ht="20" customHeight="1">
      <c r="A31" s="5" t="inlineStr">
        <is>
          <t>Покупна стойност Рожен Базова (€)</t>
        </is>
      </c>
      <c r="B31" s="6">
        <f>B7</f>
        <v/>
      </c>
      <c r="C31" s="6">
        <f>B14</f>
        <v/>
      </c>
      <c r="D31" s="26">
        <f>B21</f>
        <v/>
      </c>
      <c r="E31" s="5">
        <f>""</f>
        <v/>
      </c>
    </row>
    <row r="32" ht="20" customHeight="1">
      <c r="A32" s="5" t="inlineStr">
        <is>
          <t>Покупна стойност Рожен Нето (€)</t>
        </is>
      </c>
      <c r="B32" s="6">
        <f>B8</f>
        <v/>
      </c>
      <c r="C32" s="6">
        <f>B15</f>
        <v/>
      </c>
      <c r="D32" s="26">
        <f>B22</f>
        <v/>
      </c>
      <c r="E32" s="5">
        <f>""</f>
        <v/>
      </c>
    </row>
    <row r="33" ht="20" customHeight="1">
      <c r="A33" s="5" t="inlineStr">
        <is>
          <t>Покупна стойност Яско (€)</t>
        </is>
      </c>
      <c r="B33" s="6">
        <f>B9</f>
        <v/>
      </c>
      <c r="C33" s="6">
        <f>B16</f>
        <v/>
      </c>
      <c r="D33" s="26">
        <f>B23</f>
        <v/>
      </c>
      <c r="E33" s="5">
        <f>""</f>
        <v/>
      </c>
    </row>
    <row r="34" ht="20" customHeight="1">
      <c r="A34" s="27" t="inlineStr">
        <is>
          <t>Чиста икономия от Яско спр. Рожен Базова (€)</t>
        </is>
      </c>
      <c r="B34" s="26">
        <f>B7-B9</f>
        <v/>
      </c>
      <c r="C34" s="26">
        <f>B14-B16</f>
        <v/>
      </c>
      <c r="D34" s="14">
        <f>B21-B23</f>
        <v/>
      </c>
      <c r="E34" s="27">
        <f>"Общо спестени: " &amp; ROUND(D34, 2) &amp; " €"</f>
        <v/>
      </c>
    </row>
    <row r="35" ht="20" customHeight="1">
      <c r="A35" s="27" t="inlineStr">
        <is>
          <t>Чиста икономия от Яско спр. Рожен Нето (€)</t>
        </is>
      </c>
      <c r="B35" s="26">
        <f>B8-B9</f>
        <v/>
      </c>
      <c r="C35" s="26">
        <f>B15-B16</f>
        <v/>
      </c>
      <c r="D35" s="14">
        <f>B22-B23</f>
        <v/>
      </c>
      <c r="E35" s="27">
        <f>"Общо спестени: " &amp; ROUND(D35, 2) &amp; " €"</f>
        <v/>
      </c>
    </row>
    <row r="36" ht="20" customHeight="1">
      <c r="A36" s="27" t="inlineStr">
        <is>
          <t>Търговски марж Рожен Нето (%)</t>
        </is>
      </c>
      <c r="B36" s="7">
        <f>D8</f>
        <v/>
      </c>
      <c r="C36" s="7">
        <f>D15</f>
        <v/>
      </c>
      <c r="D36" s="28">
        <f>D22</f>
        <v/>
      </c>
      <c r="E36" s="5">
        <f>""</f>
        <v/>
      </c>
    </row>
    <row r="37" ht="20" customHeight="1">
      <c r="A37" s="27" t="inlineStr">
        <is>
          <t>Търговски марж Яско (%)</t>
        </is>
      </c>
      <c r="B37" s="7">
        <f>D9</f>
        <v/>
      </c>
      <c r="C37" s="7">
        <f>D16</f>
        <v/>
      </c>
      <c r="D37" s="28">
        <f>D23</f>
        <v/>
      </c>
      <c r="E37" s="5">
        <f>""</f>
        <v/>
      </c>
    </row>
    <row r="38" ht="20" customHeight="1">
      <c r="A38" s="27" t="inlineStr">
        <is>
          <t>Допълнителен марж от Яско (+ п.п.)</t>
        </is>
      </c>
      <c r="B38" s="29">
        <f>D9-D8</f>
        <v/>
      </c>
      <c r="C38" s="29">
        <f>D16-D15</f>
        <v/>
      </c>
      <c r="D38" s="30">
        <f>D23-D22</f>
        <v/>
      </c>
      <c r="E38" s="5">
        <f>"Среден ръст: +" &amp; ROUND(D38*100, 2) &amp; " п.п."</f>
        <v/>
      </c>
    </row>
    <row r="39"/>
    <row r="40"/>
    <row r="41">
      <c r="A41" s="2" t="inlineStr">
        <is>
          <t>5. РАЗПРЕДЕЛЕНИЕ ПО БРАНДОВЕ (MDLZ vs. CHIPITA — ОБЩО 2 МЕСЕЦА)</t>
        </is>
      </c>
    </row>
    <row r="42" ht="26" customHeight="1">
      <c r="A42" s="22" t="inlineStr">
        <is>
          <t>Бранд</t>
        </is>
      </c>
      <c r="B42" s="22" t="inlineStr">
        <is>
          <t>Общо К-во (бр)</t>
        </is>
      </c>
      <c r="C42" s="22" t="inlineStr">
        <is>
          <t>Общ Оборот (€)</t>
        </is>
      </c>
      <c r="D42" s="22" t="inlineStr">
        <is>
          <t>Себестойност Рожен Нето (€)</t>
        </is>
      </c>
      <c r="E42" s="22" t="inlineStr">
        <is>
          <t>Себестойност Яско (€)</t>
        </is>
      </c>
      <c r="F42" s="22" t="inlineStr">
        <is>
          <t>Чиста икономия от Яско (€)</t>
        </is>
      </c>
      <c r="G42" s="22" t="inlineStr">
        <is>
          <t>Марж Яско (%)</t>
        </is>
      </c>
    </row>
    <row r="43" ht="22" customHeight="1">
      <c r="A43" s="27" t="inlineStr">
        <is>
          <t>MDLZ (Mondelez)</t>
        </is>
      </c>
      <c r="B43" s="24">
        <f>SUMIF('Обобщено по артикули'!B11:B104, "MDLZ", 'Обобщено по артикули'!F11:F104)</f>
        <v/>
      </c>
      <c r="C43" s="6">
        <f>SUMIF('Обобщено по артикули'!B11:B104, "MDLZ", 'Обобщено по артикули'!I11:I104)</f>
        <v/>
      </c>
      <c r="D43" s="6">
        <f>SUMIF('Обобщено по артикули'!B11:B104, "MDLZ", 'Обобщено по артикули'!N11:N104)</f>
        <v/>
      </c>
      <c r="E43" s="6">
        <f>SUMIF('Обобщено по артикули'!B11:B104, "MDLZ", 'Обобщено по артикули'!O11:O104)</f>
        <v/>
      </c>
      <c r="F43" s="14">
        <f>D43-E43</f>
        <v/>
      </c>
      <c r="G43" s="28">
        <f>(C43-E43)/C43</f>
        <v/>
      </c>
    </row>
    <row r="44" ht="22" customHeight="1">
      <c r="A44" s="27" t="inlineStr">
        <is>
          <t>CHIPITA</t>
        </is>
      </c>
      <c r="B44" s="24">
        <f>SUMIF('Обобщено по артикули'!B11:B104, "CHIPITA", 'Обобщено по артикули'!F11:F104)</f>
        <v/>
      </c>
      <c r="C44" s="6">
        <f>SUMIF('Обобщено по артикули'!B11:B104, "CHIPITA", 'Обобщено по артикули'!I11:I104)</f>
        <v/>
      </c>
      <c r="D44" s="6">
        <f>SUMIF('Обобщено по артикули'!B11:B104, "CHIPITA", 'Обобщено по артикули'!N11:N104)</f>
        <v/>
      </c>
      <c r="E44" s="6">
        <f>SUMIF('Обобщено по артикули'!B11:B104, "CHIPITA", 'Обобщено по артикули'!O11:O104)</f>
        <v/>
      </c>
      <c r="F44" s="14">
        <f>D44-E44</f>
        <v/>
      </c>
      <c r="G44" s="28">
        <f>(C44-E44)/C44</f>
        <v/>
      </c>
    </row>
    <row r="45" ht="22" customHeight="1">
      <c r="A45" s="31" t="inlineStr">
        <is>
          <t>ОБЩО</t>
        </is>
      </c>
      <c r="B45" s="32">
        <f>SUM(B43:B44)</f>
        <v/>
      </c>
      <c r="C45" s="33">
        <f>SUM(C43:C44)</f>
        <v/>
      </c>
      <c r="D45" s="33">
        <f>SUM(D43:D44)</f>
        <v/>
      </c>
      <c r="E45" s="33">
        <f>SUM(E43:E44)</f>
        <v/>
      </c>
      <c r="F45" s="33">
        <f>D45-E45</f>
        <v/>
      </c>
      <c r="G45" s="34">
        <f>(C45-E45)/C45</f>
        <v/>
      </c>
    </row>
  </sheetData>
  <mergeCells count="8">
    <mergeCell ref="A1:G1"/>
    <mergeCell ref="A26:E26"/>
    <mergeCell ref="A3:G3"/>
    <mergeCell ref="A12:G12"/>
    <mergeCell ref="A2:G2"/>
    <mergeCell ref="A41:G41"/>
    <mergeCell ref="A19:G19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0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34" customWidth="1" min="3" max="3"/>
    <col width="22" customWidth="1" min="4" max="4"/>
    <col width="26" customWidth="1" min="5" max="5"/>
    <col width="30" customWidth="1" min="6" max="6"/>
    <col width="32" customWidth="1" min="7" max="7"/>
    <col width="28" customWidth="1" min="8" max="8"/>
    <col width="51" customWidth="1" min="9" max="9"/>
    <col width="20" customWidth="1" min="10" max="10"/>
    <col width="36" customWidth="1" min="11" max="11"/>
    <col width="34" customWidth="1" min="12" max="12"/>
    <col width="28" customWidth="1" min="13" max="13"/>
    <col width="27" customWidth="1" min="14" max="14"/>
    <col width="25" customWidth="1" min="15" max="15"/>
    <col width="19" customWidth="1" min="16" max="16"/>
    <col width="35" customWidth="1" min="17" max="17"/>
    <col width="33" customWidth="1" min="18" max="18"/>
    <col width="28" customWidth="1" min="19" max="19"/>
    <col width="28" customWidth="1" min="20" max="20"/>
    <col width="28" customWidth="1" min="21" max="21"/>
    <col width="28" customWidth="1" min="22" max="22"/>
  </cols>
  <sheetData>
    <row r="1">
      <c r="A1" s="2" t="inlineStr">
        <is>
          <t>СРАВНИТЕЛЕН АНАЛИЗ НА СЦЕНАРИИ — ДЕКЕМВРИ 2025 (РЕЗЮМЕ)</t>
        </is>
      </c>
    </row>
    <row r="2" ht="28" customHeight="1">
      <c r="A2" s="4" t="inlineStr">
        <is>
          <t>Показател / Сценарий</t>
        </is>
      </c>
      <c r="B2" s="4" t="inlineStr">
        <is>
          <t>Покупна стойност (€ с ДДС)</t>
        </is>
      </c>
      <c r="C2" s="4" t="inlineStr">
        <is>
          <t>Брутна печалба (€ с ДДС)</t>
        </is>
      </c>
      <c r="D2" s="4" t="inlineStr">
        <is>
          <t>Търговски марж (%)</t>
        </is>
      </c>
      <c r="E2" s="4" t="inlineStr">
        <is>
          <t>Разлика спрямо Яско (€)</t>
        </is>
      </c>
      <c r="F2" s="4" t="inlineStr">
        <is>
          <t>% разлика спрямо Яско</t>
        </is>
      </c>
      <c r="G2" s="4" t="inlineStr">
        <is>
          <t>Икономически ефект / Бележка</t>
        </is>
      </c>
    </row>
    <row r="3" ht="22" customHeight="1">
      <c r="A3" s="5" t="inlineStr">
        <is>
          <t>1. Рожен — Базова ценова листа</t>
        </is>
      </c>
      <c r="B3" s="6">
        <f>K105</f>
        <v/>
      </c>
      <c r="C3" s="6">
        <f>E105-B3</f>
        <v/>
      </c>
      <c r="D3" s="7">
        <f>C3/E105</f>
        <v/>
      </c>
      <c r="E3" s="8">
        <f>B3-B5</f>
        <v/>
      </c>
      <c r="F3" s="7">
        <f>IF(B3&gt;0,(B3-B5)/B3,0)</f>
        <v/>
      </c>
      <c r="G3" s="5">
        <f>"Яско е по-изгоден с " &amp; ROUND(F3*100, 1) &amp; "%"</f>
        <v/>
      </c>
    </row>
    <row r="4" ht="22" customHeight="1">
      <c r="A4" s="9" t="inlineStr">
        <is>
          <t>2. Рожен — Нето фактура (-6.8% / -4.0%)</t>
        </is>
      </c>
      <c r="B4" s="10">
        <f>L105</f>
        <v/>
      </c>
      <c r="C4" s="10">
        <f>E105-B4</f>
        <v/>
      </c>
      <c r="D4" s="11">
        <f>C4/E105</f>
        <v/>
      </c>
      <c r="E4" s="12">
        <f>B4-B5</f>
        <v/>
      </c>
      <c r="F4" s="11">
        <f>IF(B4&gt;0,(B4-B5)/B4,0)</f>
        <v/>
      </c>
      <c r="G4" s="9">
        <f>"Яско е по-изгоден с " &amp; ROUND(F4*100, 1) &amp; "%"</f>
        <v/>
      </c>
    </row>
    <row r="5" ht="22" customHeight="1">
      <c r="A5" s="13" t="inlineStr">
        <is>
          <t>3. Яско — Директни цени с ДДС</t>
        </is>
      </c>
      <c r="B5" s="14">
        <f>M105</f>
        <v/>
      </c>
      <c r="C5" s="14">
        <f>E105-B5</f>
        <v/>
      </c>
      <c r="D5" s="15">
        <f>C5/E105</f>
        <v/>
      </c>
      <c r="E5" s="16">
        <f>0.00</f>
        <v/>
      </c>
      <c r="F5" s="15" t="n">
        <v>0</v>
      </c>
      <c r="G5" s="13">
        <f>"0.00 € (База за сравнение)"</f>
        <v/>
      </c>
    </row>
    <row r="6" ht="22" customHeight="1">
      <c r="A6" s="17" t="inlineStr">
        <is>
          <t>Текущо отчетено в Мистрал ERP</t>
        </is>
      </c>
      <c r="B6" s="18">
        <f>F105</f>
        <v/>
      </c>
      <c r="C6" s="18">
        <f>G105</f>
        <v/>
      </c>
      <c r="D6" s="19">
        <f>C6/E105</f>
        <v/>
      </c>
      <c r="E6" s="20">
        <f>B6-B5</f>
        <v/>
      </c>
      <c r="F6" s="19">
        <f>IF(B6&gt;0,(B6-B5)/B6,0)</f>
        <v/>
      </c>
      <c r="G6" s="21">
        <f>"Яско спестява +" &amp; ROUND(E6, 2) &amp; " € спрямо реалното в ERP"</f>
        <v/>
      </c>
    </row>
    <row r="7"/>
    <row r="8">
      <c r="A8" s="2" t="inlineStr">
        <is>
          <t>ДЕТАЙЛНА СПРАВКА ПО АРТИКУЛИ — ДЕКЕМВРИ 2025 (РЕАЛНИ ПРОДАЖБИ И НОВИ ЦЕНИ НА ДОСТАВЧИЦИ)</t>
        </is>
      </c>
    </row>
    <row r="9"/>
    <row r="10" ht="28" customHeight="1">
      <c r="A10" s="22" t="inlineStr">
        <is>
          <t>Мат. №</t>
        </is>
      </c>
      <c r="B10" s="22" t="inlineStr">
        <is>
          <t>Бранд</t>
        </is>
      </c>
      <c r="C10" s="22" t="inlineStr">
        <is>
          <t>Артикул (Ценова листа)</t>
        </is>
      </c>
      <c r="D10" s="22" t="inlineStr">
        <is>
          <t>Продадени К-во (бр)</t>
        </is>
      </c>
      <c r="E10" s="22" t="inlineStr">
        <is>
          <t>Оборот Сума с ДДС (€)</t>
        </is>
      </c>
      <c r="F10" s="22" t="inlineStr">
        <is>
          <t>Реална Себестойност ERP (€)</t>
        </is>
      </c>
      <c r="G10" s="22" t="inlineStr">
        <is>
          <t>Реална Печалба ERP (€)</t>
        </is>
      </c>
      <c r="H10" s="22" t="inlineStr">
        <is>
          <t>Рожен Ед. Цена Базова (€)</t>
        </is>
      </c>
      <c r="I10" s="22" t="inlineStr">
        <is>
          <t>Рожен Ед. Цена Нето Ф-ра (€)</t>
        </is>
      </c>
      <c r="J10" s="22" t="inlineStr">
        <is>
          <t>Яско Ед. Цена (€)</t>
        </is>
      </c>
      <c r="K10" s="22" t="inlineStr">
        <is>
          <t>Покупна Стойност Рожен Базова (€)</t>
        </is>
      </c>
      <c r="L10" s="22" t="inlineStr">
        <is>
          <t>Покупна Стойност Рожен Нето (€)</t>
        </is>
      </c>
      <c r="M10" s="22" t="inlineStr">
        <is>
          <t>Покупна Стойност Яско (€)</t>
        </is>
      </c>
      <c r="N10" s="22" t="inlineStr">
        <is>
          <t>Печалба Рожен Базова (€)</t>
        </is>
      </c>
      <c r="O10" s="22" t="inlineStr">
        <is>
          <t>Печалба Рожен Нето (€)</t>
        </is>
      </c>
      <c r="P10" s="22" t="inlineStr">
        <is>
          <t>Печалба Яско (€)</t>
        </is>
      </c>
      <c r="Q10" s="22" t="inlineStr">
        <is>
          <t>Икономия спрямо Базова Рожен (€)</t>
        </is>
      </c>
      <c r="R10" s="22" t="inlineStr">
        <is>
          <t>Икономия спрямо Нето Рожен (€)</t>
        </is>
      </c>
      <c r="S10" s="22" t="inlineStr">
        <is>
          <t>Марж Реален ERP %</t>
        </is>
      </c>
      <c r="T10" s="22" t="inlineStr">
        <is>
          <t>Марж Рожен Базова %</t>
        </is>
      </c>
      <c r="U10" s="22" t="inlineStr">
        <is>
          <t>Марж Рожен Нето %</t>
        </is>
      </c>
      <c r="V10" s="22" t="inlineStr">
        <is>
          <t>Марж Яско %</t>
        </is>
      </c>
    </row>
    <row r="11" ht="19" customHeight="1">
      <c r="A11" s="35" t="inlineStr">
        <is>
          <t>630298</t>
        </is>
      </c>
      <c r="B11" s="35" t="inlineStr">
        <is>
          <t>MDLZ</t>
        </is>
      </c>
      <c r="C11" s="5" t="inlineStr">
        <is>
          <t>Морени 49гр.</t>
        </is>
      </c>
      <c r="D11" s="24" t="n">
        <v>1809</v>
      </c>
      <c r="E11" s="6" t="n">
        <v>1377.911168148561</v>
      </c>
      <c r="F11" s="6" t="n">
        <v>885.7109257962093</v>
      </c>
      <c r="G11" s="6">
        <f>E11-F11</f>
        <v/>
      </c>
      <c r="H11" s="36" t="n">
        <v>0.614</v>
      </c>
      <c r="I11" s="36">
        <f>IF(B11="MDLZ", H11*(1-0.068), H11*(1-0.040))</f>
        <v/>
      </c>
      <c r="J11" s="36" t="n">
        <v>0.43</v>
      </c>
      <c r="K11" s="6">
        <f>D11*H11</f>
        <v/>
      </c>
      <c r="L11" s="6">
        <f>D11*I11</f>
        <v/>
      </c>
      <c r="M11" s="6">
        <f>D11*J11</f>
        <v/>
      </c>
      <c r="N11" s="6">
        <f>E11-K11</f>
        <v/>
      </c>
      <c r="O11" s="6">
        <f>E11-L11</f>
        <v/>
      </c>
      <c r="P11" s="6">
        <f>E11-M11</f>
        <v/>
      </c>
      <c r="Q11" s="8">
        <f>K11-M11</f>
        <v/>
      </c>
      <c r="R11" s="8">
        <f>L11-M11</f>
        <v/>
      </c>
      <c r="S11" s="7">
        <f>IF(E11&gt;0, G11/E11, 0)</f>
        <v/>
      </c>
      <c r="T11" s="7">
        <f>IF(E11&gt;0, N11/E11, 0)</f>
        <v/>
      </c>
      <c r="U11" s="7">
        <f>IF(E11&gt;0, O11/E11, 0)</f>
        <v/>
      </c>
      <c r="V11" s="7">
        <f>IF(E11&gt;0, P11/E11, 0)</f>
        <v/>
      </c>
    </row>
    <row r="12" ht="19" customHeight="1">
      <c r="A12" s="35" t="inlineStr">
        <is>
          <t>12459</t>
        </is>
      </c>
      <c r="B12" s="35" t="inlineStr">
        <is>
          <t>CHIPITA</t>
        </is>
      </c>
      <c r="C12" s="5" t="inlineStr">
        <is>
          <t>7ДЕЙC КРОАСАН КАКАО 110ГХ18 AC</t>
        </is>
      </c>
      <c r="D12" s="24" t="n">
        <v>619</v>
      </c>
      <c r="E12" s="6" t="n">
        <v>788.0592894065435</v>
      </c>
      <c r="F12" s="6" t="n">
        <v>521.6557676280659</v>
      </c>
      <c r="G12" s="6">
        <f>E12-F12</f>
        <v/>
      </c>
      <c r="H12" s="36" t="n">
        <v>0.84</v>
      </c>
      <c r="I12" s="36">
        <f>IF(B12="MDLZ", H12*(1-0.068), H12*(1-0.040))</f>
        <v/>
      </c>
      <c r="J12" s="36" t="n">
        <v>0.79</v>
      </c>
      <c r="K12" s="6">
        <f>D12*H12</f>
        <v/>
      </c>
      <c r="L12" s="6">
        <f>D12*I12</f>
        <v/>
      </c>
      <c r="M12" s="6">
        <f>D12*J12</f>
        <v/>
      </c>
      <c r="N12" s="6">
        <f>E12-K12</f>
        <v/>
      </c>
      <c r="O12" s="6">
        <f>E12-L12</f>
        <v/>
      </c>
      <c r="P12" s="6">
        <f>E12-M12</f>
        <v/>
      </c>
      <c r="Q12" s="8">
        <f>K12-M12</f>
        <v/>
      </c>
      <c r="R12" s="8">
        <f>L12-M12</f>
        <v/>
      </c>
      <c r="S12" s="7">
        <f>IF(E12&gt;0, G12/E12, 0)</f>
        <v/>
      </c>
      <c r="T12" s="7">
        <f>IF(E12&gt;0, N12/E12, 0)</f>
        <v/>
      </c>
      <c r="U12" s="7">
        <f>IF(E12&gt;0, O12/E12, 0)</f>
        <v/>
      </c>
      <c r="V12" s="7">
        <f>IF(E12&gt;0, P12/E12, 0)</f>
        <v/>
      </c>
    </row>
    <row r="13" ht="19" customHeight="1">
      <c r="A13" s="35" t="inlineStr">
        <is>
          <t>6701</t>
        </is>
      </c>
      <c r="B13" s="35" t="inlineStr">
        <is>
          <t>CHIPITA</t>
        </is>
      </c>
      <c r="C13" s="5" t="inlineStr">
        <is>
          <t>7ДЕЙС КРОАСАН КАКАО 92ГРХ20КШ</t>
        </is>
      </c>
      <c r="D13" s="24" t="n">
        <v>836</v>
      </c>
      <c r="E13" s="6" t="n">
        <v>765.1176226972692</v>
      </c>
      <c r="F13" s="6" t="n">
        <v>559.1794787890564</v>
      </c>
      <c r="G13" s="6">
        <f>E13-F13</f>
        <v/>
      </c>
      <c r="H13" s="36" t="n">
        <v>0.672</v>
      </c>
      <c r="I13" s="36">
        <f>IF(B13="MDLZ", H13*(1-0.068), H13*(1-0.040))</f>
        <v/>
      </c>
      <c r="J13" s="36" t="n">
        <v>0.59</v>
      </c>
      <c r="K13" s="6">
        <f>D13*H13</f>
        <v/>
      </c>
      <c r="L13" s="6">
        <f>D13*I13</f>
        <v/>
      </c>
      <c r="M13" s="6">
        <f>D13*J13</f>
        <v/>
      </c>
      <c r="N13" s="6">
        <f>E13-K13</f>
        <v/>
      </c>
      <c r="O13" s="6">
        <f>E13-L13</f>
        <v/>
      </c>
      <c r="P13" s="6">
        <f>E13-M13</f>
        <v/>
      </c>
      <c r="Q13" s="8">
        <f>K13-M13</f>
        <v/>
      </c>
      <c r="R13" s="8">
        <f>L13-M13</f>
        <v/>
      </c>
      <c r="S13" s="7">
        <f>IF(E13&gt;0, G13/E13, 0)</f>
        <v/>
      </c>
      <c r="T13" s="7">
        <f>IF(E13&gt;0, N13/E13, 0)</f>
        <v/>
      </c>
      <c r="U13" s="7">
        <f>IF(E13&gt;0, O13/E13, 0)</f>
        <v/>
      </c>
      <c r="V13" s="7">
        <f>IF(E13&gt;0, P13/E13, 0)</f>
        <v/>
      </c>
    </row>
    <row r="14" ht="19" customHeight="1">
      <c r="A14" s="35" t="inlineStr">
        <is>
          <t>16891</t>
        </is>
      </c>
      <c r="B14" s="35" t="inlineStr">
        <is>
          <t>MDLZ</t>
        </is>
      </c>
      <c r="C14" s="5" t="inlineStr">
        <is>
          <t>Млечен 160 гр.</t>
        </is>
      </c>
      <c r="D14" s="24" t="n">
        <v>205</v>
      </c>
      <c r="E14" s="6" t="n">
        <v>627.8408655148964</v>
      </c>
      <c r="F14" s="6" t="n">
        <v>433.6777736306325</v>
      </c>
      <c r="G14" s="6">
        <f>E14-F14</f>
        <v/>
      </c>
      <c r="H14" s="36" t="n">
        <v>2.244</v>
      </c>
      <c r="I14" s="36">
        <f>IF(B14="MDLZ", H14*(1-0.068), H14*(1-0.040))</f>
        <v/>
      </c>
      <c r="J14" s="36" t="n">
        <v>1.99</v>
      </c>
      <c r="K14" s="6">
        <f>D14*H14</f>
        <v/>
      </c>
      <c r="L14" s="6">
        <f>D14*I14</f>
        <v/>
      </c>
      <c r="M14" s="6">
        <f>D14*J14</f>
        <v/>
      </c>
      <c r="N14" s="6">
        <f>E14-K14</f>
        <v/>
      </c>
      <c r="O14" s="6">
        <f>E14-L14</f>
        <v/>
      </c>
      <c r="P14" s="6">
        <f>E14-M14</f>
        <v/>
      </c>
      <c r="Q14" s="8">
        <f>K14-M14</f>
        <v/>
      </c>
      <c r="R14" s="8">
        <f>L14-M14</f>
        <v/>
      </c>
      <c r="S14" s="7">
        <f>IF(E14&gt;0, G14/E14, 0)</f>
        <v/>
      </c>
      <c r="T14" s="7">
        <f>IF(E14&gt;0, N14/E14, 0)</f>
        <v/>
      </c>
      <c r="U14" s="7">
        <f>IF(E14&gt;0, O14/E14, 0)</f>
        <v/>
      </c>
      <c r="V14" s="7">
        <f>IF(E14&gt;0, P14/E14, 0)</f>
        <v/>
      </c>
    </row>
    <row r="15" ht="19" customHeight="1">
      <c r="A15" s="35" t="inlineStr">
        <is>
          <t>5315</t>
        </is>
      </c>
      <c r="B15" s="35" t="inlineStr">
        <is>
          <t>MDLZ</t>
        </is>
      </c>
      <c r="C15" s="5" t="inlineStr">
        <is>
          <t>Млечен 80 гр.</t>
        </is>
      </c>
      <c r="D15" s="24" t="n">
        <v>348</v>
      </c>
      <c r="E15" s="6" t="n">
        <v>532.0094282222893</v>
      </c>
      <c r="F15" s="6" t="n">
        <v>394.2571695904041</v>
      </c>
      <c r="G15" s="6">
        <f>E15-F15</f>
        <v/>
      </c>
      <c r="H15" s="36" t="n">
        <v>1.152</v>
      </c>
      <c r="I15" s="36">
        <f>IF(B15="MDLZ", H15*(1-0.068), H15*(1-0.040))</f>
        <v/>
      </c>
      <c r="J15" s="36" t="n">
        <v>0.85</v>
      </c>
      <c r="K15" s="6">
        <f>D15*H15</f>
        <v/>
      </c>
      <c r="L15" s="6">
        <f>D15*I15</f>
        <v/>
      </c>
      <c r="M15" s="6">
        <f>D15*J15</f>
        <v/>
      </c>
      <c r="N15" s="6">
        <f>E15-K15</f>
        <v/>
      </c>
      <c r="O15" s="6">
        <f>E15-L15</f>
        <v/>
      </c>
      <c r="P15" s="6">
        <f>E15-M15</f>
        <v/>
      </c>
      <c r="Q15" s="8">
        <f>K15-M15</f>
        <v/>
      </c>
      <c r="R15" s="8">
        <f>L15-M15</f>
        <v/>
      </c>
      <c r="S15" s="7">
        <f>IF(E15&gt;0, G15/E15, 0)</f>
        <v/>
      </c>
      <c r="T15" s="7">
        <f>IF(E15&gt;0, N15/E15, 0)</f>
        <v/>
      </c>
      <c r="U15" s="7">
        <f>IF(E15&gt;0, O15/E15, 0)</f>
        <v/>
      </c>
      <c r="V15" s="7">
        <f>IF(E15&gt;0, P15/E15, 0)</f>
        <v/>
      </c>
    </row>
    <row r="16" ht="19" customHeight="1">
      <c r="A16" s="35" t="inlineStr">
        <is>
          <t>13808</t>
        </is>
      </c>
      <c r="B16" s="35" t="inlineStr">
        <is>
          <t>MDLZ</t>
        </is>
      </c>
      <c r="C16" s="5" t="inlineStr">
        <is>
          <t>Б-ти Милка Сандвич 150гр.</t>
        </is>
      </c>
      <c r="D16" s="24" t="n">
        <v>135</v>
      </c>
      <c r="E16" s="6" t="n">
        <v>433.5192731474617</v>
      </c>
      <c r="F16" s="6" t="n">
        <v>321.3673990070712</v>
      </c>
      <c r="G16" s="6">
        <f>E16-F16</f>
        <v/>
      </c>
      <c r="H16" s="36" t="n">
        <v>2.484</v>
      </c>
      <c r="I16" s="36">
        <f>IF(B16="MDLZ", H16*(1-0.068), H16*(1-0.040))</f>
        <v/>
      </c>
      <c r="J16" s="36" t="n">
        <v>1.94</v>
      </c>
      <c r="K16" s="6">
        <f>D16*H16</f>
        <v/>
      </c>
      <c r="L16" s="6">
        <f>D16*I16</f>
        <v/>
      </c>
      <c r="M16" s="6">
        <f>D16*J16</f>
        <v/>
      </c>
      <c r="N16" s="6">
        <f>E16-K16</f>
        <v/>
      </c>
      <c r="O16" s="6">
        <f>E16-L16</f>
        <v/>
      </c>
      <c r="P16" s="6">
        <f>E16-M16</f>
        <v/>
      </c>
      <c r="Q16" s="8">
        <f>K16-M16</f>
        <v/>
      </c>
      <c r="R16" s="8">
        <f>L16-M16</f>
        <v/>
      </c>
      <c r="S16" s="7">
        <f>IF(E16&gt;0, G16/E16, 0)</f>
        <v/>
      </c>
      <c r="T16" s="7">
        <f>IF(E16&gt;0, N16/E16, 0)</f>
        <v/>
      </c>
      <c r="U16" s="7">
        <f>IF(E16&gt;0, O16/E16, 0)</f>
        <v/>
      </c>
      <c r="V16" s="7">
        <f>IF(E16&gt;0, P16/E16, 0)</f>
        <v/>
      </c>
    </row>
    <row r="17" ht="19" customHeight="1">
      <c r="A17" s="35" t="inlineStr">
        <is>
          <t>147</t>
        </is>
      </c>
      <c r="B17" s="35" t="inlineStr">
        <is>
          <t>MDLZ</t>
        </is>
      </c>
      <c r="C17" s="5" t="inlineStr">
        <is>
          <t>Милка шоко вафла 150гр.</t>
        </is>
      </c>
      <c r="D17" s="24" t="n">
        <v>129</v>
      </c>
      <c r="E17" s="6" t="n">
        <v>418.5486468660364</v>
      </c>
      <c r="F17" s="6" t="n">
        <v>306.4581277513894</v>
      </c>
      <c r="G17" s="6">
        <f>E17-F17</f>
        <v/>
      </c>
      <c r="H17" s="36" t="n">
        <v>2.484</v>
      </c>
      <c r="I17" s="36">
        <f>IF(B17="MDLZ", H17*(1-0.068), H17*(1-0.040))</f>
        <v/>
      </c>
      <c r="J17" s="36" t="n">
        <v>1.94</v>
      </c>
      <c r="K17" s="6">
        <f>D17*H17</f>
        <v/>
      </c>
      <c r="L17" s="6">
        <f>D17*I17</f>
        <v/>
      </c>
      <c r="M17" s="6">
        <f>D17*J17</f>
        <v/>
      </c>
      <c r="N17" s="6">
        <f>E17-K17</f>
        <v/>
      </c>
      <c r="O17" s="6">
        <f>E17-L17</f>
        <v/>
      </c>
      <c r="P17" s="6">
        <f>E17-M17</f>
        <v/>
      </c>
      <c r="Q17" s="8">
        <f>K17-M17</f>
        <v/>
      </c>
      <c r="R17" s="8">
        <f>L17-M17</f>
        <v/>
      </c>
      <c r="S17" s="7">
        <f>IF(E17&gt;0, G17/E17, 0)</f>
        <v/>
      </c>
      <c r="T17" s="7">
        <f>IF(E17&gt;0, N17/E17, 0)</f>
        <v/>
      </c>
      <c r="U17" s="7">
        <f>IF(E17&gt;0, O17/E17, 0)</f>
        <v/>
      </c>
      <c r="V17" s="7">
        <f>IF(E17&gt;0, P17/E17, 0)</f>
        <v/>
      </c>
    </row>
    <row r="18" ht="19" customHeight="1">
      <c r="A18" s="35" t="inlineStr">
        <is>
          <t>6703</t>
        </is>
      </c>
      <c r="B18" s="35" t="inlineStr">
        <is>
          <t>CHIPITA</t>
        </is>
      </c>
      <c r="C18" s="5" t="inlineStr">
        <is>
          <t>7ДЕЙС КРОАСАН КРЕМ БРЮЛЕ 92ГРХ20КШ</t>
        </is>
      </c>
      <c r="D18" s="24" t="n">
        <v>441</v>
      </c>
      <c r="E18" s="6" t="n">
        <v>403.6086980974829</v>
      </c>
      <c r="F18" s="6" t="n">
        <v>293.4099589432619</v>
      </c>
      <c r="G18" s="6">
        <f>E18-F18</f>
        <v/>
      </c>
      <c r="H18" s="36" t="n">
        <v>0.672</v>
      </c>
      <c r="I18" s="36">
        <f>IF(B18="MDLZ", H18*(1-0.068), H18*(1-0.040))</f>
        <v/>
      </c>
      <c r="J18" s="36" t="n">
        <v>0.59</v>
      </c>
      <c r="K18" s="6">
        <f>D18*H18</f>
        <v/>
      </c>
      <c r="L18" s="6">
        <f>D18*I18</f>
        <v/>
      </c>
      <c r="M18" s="6">
        <f>D18*J18</f>
        <v/>
      </c>
      <c r="N18" s="6">
        <f>E18-K18</f>
        <v/>
      </c>
      <c r="O18" s="6">
        <f>E18-L18</f>
        <v/>
      </c>
      <c r="P18" s="6">
        <f>E18-M18</f>
        <v/>
      </c>
      <c r="Q18" s="8">
        <f>K18-M18</f>
        <v/>
      </c>
      <c r="R18" s="8">
        <f>L18-M18</f>
        <v/>
      </c>
      <c r="S18" s="7">
        <f>IF(E18&gt;0, G18/E18, 0)</f>
        <v/>
      </c>
      <c r="T18" s="7">
        <f>IF(E18&gt;0, N18/E18, 0)</f>
        <v/>
      </c>
      <c r="U18" s="7">
        <f>IF(E18&gt;0, O18/E18, 0)</f>
        <v/>
      </c>
      <c r="V18" s="7">
        <f>IF(E18&gt;0, P18/E18, 0)</f>
        <v/>
      </c>
    </row>
    <row r="19" ht="19" customHeight="1">
      <c r="A19" s="35" t="inlineStr">
        <is>
          <t>15520</t>
        </is>
      </c>
      <c r="B19" s="35" t="inlineStr">
        <is>
          <t>CHIPITA</t>
        </is>
      </c>
      <c r="C19" s="5" t="inlineStr">
        <is>
          <t>КРОАСАН МИЛКА ВАНИЛИЯ 50ГРХ14КШ</t>
        </is>
      </c>
      <c r="D19" s="24" t="n">
        <v>310</v>
      </c>
      <c r="E19" s="6" t="n">
        <v>394.6662030953611</v>
      </c>
      <c r="F19" s="6" t="n">
        <v>280.3413384598866</v>
      </c>
      <c r="G19" s="6">
        <f>E19-F19</f>
        <v/>
      </c>
      <c r="H19" s="36" t="n">
        <v>0.9119999999999999</v>
      </c>
      <c r="I19" s="36">
        <f>IF(B19="MDLZ", H19*(1-0.068), H19*(1-0.040))</f>
        <v/>
      </c>
      <c r="J19" s="36" t="n">
        <v>0.75</v>
      </c>
      <c r="K19" s="6">
        <f>D19*H19</f>
        <v/>
      </c>
      <c r="L19" s="6">
        <f>D19*I19</f>
        <v/>
      </c>
      <c r="M19" s="6">
        <f>D19*J19</f>
        <v/>
      </c>
      <c r="N19" s="6">
        <f>E19-K19</f>
        <v/>
      </c>
      <c r="O19" s="6">
        <f>E19-L19</f>
        <v/>
      </c>
      <c r="P19" s="6">
        <f>E19-M19</f>
        <v/>
      </c>
      <c r="Q19" s="8">
        <f>K19-M19</f>
        <v/>
      </c>
      <c r="R19" s="8">
        <f>L19-M19</f>
        <v/>
      </c>
      <c r="S19" s="7">
        <f>IF(E19&gt;0, G19/E19, 0)</f>
        <v/>
      </c>
      <c r="T19" s="7">
        <f>IF(E19&gt;0, N19/E19, 0)</f>
        <v/>
      </c>
      <c r="U19" s="7">
        <f>IF(E19&gt;0, O19/E19, 0)</f>
        <v/>
      </c>
      <c r="V19" s="7">
        <f>IF(E19&gt;0, P19/E19, 0)</f>
        <v/>
      </c>
    </row>
    <row r="20" ht="19" customHeight="1">
      <c r="A20" s="35" t="inlineStr">
        <is>
          <t>5392</t>
        </is>
      </c>
      <c r="B20" s="35" t="inlineStr">
        <is>
          <t>MDLZ</t>
        </is>
      </c>
      <c r="C20" s="5" t="inlineStr">
        <is>
          <t>Милка Шоко Вафла 30гр.</t>
        </is>
      </c>
      <c r="D20" s="24" t="n">
        <v>557</v>
      </c>
      <c r="E20" s="6" t="n">
        <v>393.0096174002853</v>
      </c>
      <c r="F20" s="6" t="n">
        <v>284.7895778262937</v>
      </c>
      <c r="G20" s="6">
        <f>E20-F20</f>
        <v/>
      </c>
      <c r="H20" s="36" t="n">
        <v>0.504</v>
      </c>
      <c r="I20" s="36">
        <f>IF(B20="MDLZ", H20*(1-0.068), H20*(1-0.040))</f>
        <v/>
      </c>
      <c r="J20" s="36" t="n">
        <v>0.42</v>
      </c>
      <c r="K20" s="6">
        <f>D20*H20</f>
        <v/>
      </c>
      <c r="L20" s="6">
        <f>D20*I20</f>
        <v/>
      </c>
      <c r="M20" s="6">
        <f>D20*J20</f>
        <v/>
      </c>
      <c r="N20" s="6">
        <f>E20-K20</f>
        <v/>
      </c>
      <c r="O20" s="6">
        <f>E20-L20</f>
        <v/>
      </c>
      <c r="P20" s="6">
        <f>E20-M20</f>
        <v/>
      </c>
      <c r="Q20" s="8">
        <f>K20-M20</f>
        <v/>
      </c>
      <c r="R20" s="8">
        <f>L20-M20</f>
        <v/>
      </c>
      <c r="S20" s="7">
        <f>IF(E20&gt;0, G20/E20, 0)</f>
        <v/>
      </c>
      <c r="T20" s="7">
        <f>IF(E20&gt;0, N20/E20, 0)</f>
        <v/>
      </c>
      <c r="U20" s="7">
        <f>IF(E20&gt;0, O20/E20, 0)</f>
        <v/>
      </c>
      <c r="V20" s="7">
        <f>IF(E20&gt;0, P20/E20, 0)</f>
        <v/>
      </c>
    </row>
    <row r="21" ht="19" customHeight="1">
      <c r="A21" s="35" t="inlineStr">
        <is>
          <t>630170</t>
        </is>
      </c>
      <c r="B21" s="35" t="inlineStr">
        <is>
          <t>MDLZ</t>
        </is>
      </c>
      <c r="C21" s="5" t="inlineStr">
        <is>
          <t>Милка млечен 90 гр. НОВ</t>
        </is>
      </c>
      <c r="D21" s="24" t="n">
        <v>149</v>
      </c>
      <c r="E21" s="6" t="n">
        <v>307.5471794583374</v>
      </c>
      <c r="F21" s="6" t="n">
        <v>250.2466983326772</v>
      </c>
      <c r="G21" s="6">
        <f>E21-F21</f>
        <v/>
      </c>
      <c r="H21" s="36" t="n">
        <v>1.992</v>
      </c>
      <c r="I21" s="36">
        <f>IF(B21="MDLZ", H21*(1-0.068), H21*(1-0.040))</f>
        <v/>
      </c>
      <c r="J21" s="36" t="n">
        <v>1.09</v>
      </c>
      <c r="K21" s="6">
        <f>D21*H21</f>
        <v/>
      </c>
      <c r="L21" s="6">
        <f>D21*I21</f>
        <v/>
      </c>
      <c r="M21" s="6">
        <f>D21*J21</f>
        <v/>
      </c>
      <c r="N21" s="6">
        <f>E21-K21</f>
        <v/>
      </c>
      <c r="O21" s="6">
        <f>E21-L21</f>
        <v/>
      </c>
      <c r="P21" s="6">
        <f>E21-M21</f>
        <v/>
      </c>
      <c r="Q21" s="8">
        <f>K21-M21</f>
        <v/>
      </c>
      <c r="R21" s="8">
        <f>L21-M21</f>
        <v/>
      </c>
      <c r="S21" s="7">
        <f>IF(E21&gt;0, G21/E21, 0)</f>
        <v/>
      </c>
      <c r="T21" s="7">
        <f>IF(E21&gt;0, N21/E21, 0)</f>
        <v/>
      </c>
      <c r="U21" s="7">
        <f>IF(E21&gt;0, O21/E21, 0)</f>
        <v/>
      </c>
      <c r="V21" s="7">
        <f>IF(E21&gt;0, P21/E21, 0)</f>
        <v/>
      </c>
    </row>
    <row r="22" ht="19" customHeight="1">
      <c r="A22" s="35" t="inlineStr">
        <is>
          <t>794</t>
        </is>
      </c>
      <c r="B22" s="35" t="inlineStr">
        <is>
          <t>MDLZ</t>
        </is>
      </c>
      <c r="C22" s="5" t="inlineStr">
        <is>
          <t>Милка Брауни 150гр.</t>
        </is>
      </c>
      <c r="D22" s="24" t="n">
        <v>95</v>
      </c>
      <c r="E22" s="6" t="n">
        <v>303.4415056523317</v>
      </c>
      <c r="F22" s="6" t="n">
        <v>225.4950583639682</v>
      </c>
      <c r="G22" s="6">
        <f>E22-F22</f>
        <v/>
      </c>
      <c r="H22" s="36" t="n">
        <v>2.484</v>
      </c>
      <c r="I22" s="36">
        <f>IF(B22="MDLZ", H22*(1-0.068), H22*(1-0.040))</f>
        <v/>
      </c>
      <c r="J22" s="36" t="n">
        <v>1.94</v>
      </c>
      <c r="K22" s="6">
        <f>D22*H22</f>
        <v/>
      </c>
      <c r="L22" s="6">
        <f>D22*I22</f>
        <v/>
      </c>
      <c r="M22" s="6">
        <f>D22*J22</f>
        <v/>
      </c>
      <c r="N22" s="6">
        <f>E22-K22</f>
        <v/>
      </c>
      <c r="O22" s="6">
        <f>E22-L22</f>
        <v/>
      </c>
      <c r="P22" s="6">
        <f>E22-M22</f>
        <v/>
      </c>
      <c r="Q22" s="8">
        <f>K22-M22</f>
        <v/>
      </c>
      <c r="R22" s="8">
        <f>L22-M22</f>
        <v/>
      </c>
      <c r="S22" s="7">
        <f>IF(E22&gt;0, G22/E22, 0)</f>
        <v/>
      </c>
      <c r="T22" s="7">
        <f>IF(E22&gt;0, N22/E22, 0)</f>
        <v/>
      </c>
      <c r="U22" s="7">
        <f>IF(E22&gt;0, O22/E22, 0)</f>
        <v/>
      </c>
      <c r="V22" s="7">
        <f>IF(E22&gt;0, P22/E22, 0)</f>
        <v/>
      </c>
    </row>
    <row r="23" ht="19" customHeight="1">
      <c r="A23" s="35" t="inlineStr">
        <is>
          <t>5133</t>
        </is>
      </c>
      <c r="B23" s="35" t="inlineStr">
        <is>
          <t>MDLZ</t>
        </is>
      </c>
      <c r="C23" s="5" t="inlineStr">
        <is>
          <t>ТУК Оригинал 100гр.</t>
        </is>
      </c>
      <c r="D23" s="24" t="n">
        <v>211</v>
      </c>
      <c r="E23" s="6" t="n">
        <v>300.9924175414018</v>
      </c>
      <c r="F23" s="6" t="n">
        <v>220.0804773421003</v>
      </c>
      <c r="G23" s="6">
        <f>E23-F23</f>
        <v/>
      </c>
      <c r="H23" s="36" t="n">
        <v>1.044</v>
      </c>
      <c r="I23" s="36">
        <f>IF(B23="MDLZ", H23*(1-0.068), H23*(1-0.040))</f>
        <v/>
      </c>
      <c r="J23" s="36" t="n">
        <v>0.79</v>
      </c>
      <c r="K23" s="6">
        <f>D23*H23</f>
        <v/>
      </c>
      <c r="L23" s="6">
        <f>D23*I23</f>
        <v/>
      </c>
      <c r="M23" s="6">
        <f>D23*J23</f>
        <v/>
      </c>
      <c r="N23" s="6">
        <f>E23-K23</f>
        <v/>
      </c>
      <c r="O23" s="6">
        <f>E23-L23</f>
        <v/>
      </c>
      <c r="P23" s="6">
        <f>E23-M23</f>
        <v/>
      </c>
      <c r="Q23" s="8">
        <f>K23-M23</f>
        <v/>
      </c>
      <c r="R23" s="8">
        <f>L23-M23</f>
        <v/>
      </c>
      <c r="S23" s="7">
        <f>IF(E23&gt;0, G23/E23, 0)</f>
        <v/>
      </c>
      <c r="T23" s="7">
        <f>IF(E23&gt;0, N23/E23, 0)</f>
        <v/>
      </c>
      <c r="U23" s="7">
        <f>IF(E23&gt;0, O23/E23, 0)</f>
        <v/>
      </c>
      <c r="V23" s="7">
        <f>IF(E23&gt;0, P23/E23, 0)</f>
        <v/>
      </c>
    </row>
    <row r="24" ht="19" customHeight="1">
      <c r="A24" s="35" t="inlineStr">
        <is>
          <t>630300</t>
        </is>
      </c>
      <c r="B24" s="35" t="inlineStr">
        <is>
          <t>MDLZ</t>
        </is>
      </c>
      <c r="C24" s="5" t="inlineStr">
        <is>
          <t>Република Какао 30гр.</t>
        </is>
      </c>
      <c r="D24" s="24" t="n">
        <v>492</v>
      </c>
      <c r="E24" s="6" t="n">
        <v>299.351170602762</v>
      </c>
      <c r="F24" s="6" t="n">
        <v>231.4311571046563</v>
      </c>
      <c r="G24" s="6">
        <f>E24-F24</f>
        <v/>
      </c>
      <c r="H24" s="36" t="n">
        <v>0.471</v>
      </c>
      <c r="I24" s="36">
        <f>IF(B24="MDLZ", H24*(1-0.068), H24*(1-0.040))</f>
        <v/>
      </c>
      <c r="J24" s="36" t="n">
        <v>0.39</v>
      </c>
      <c r="K24" s="6">
        <f>D24*H24</f>
        <v/>
      </c>
      <c r="L24" s="6">
        <f>D24*I24</f>
        <v/>
      </c>
      <c r="M24" s="6">
        <f>D24*J24</f>
        <v/>
      </c>
      <c r="N24" s="6">
        <f>E24-K24</f>
        <v/>
      </c>
      <c r="O24" s="6">
        <f>E24-L24</f>
        <v/>
      </c>
      <c r="P24" s="6">
        <f>E24-M24</f>
        <v/>
      </c>
      <c r="Q24" s="8">
        <f>K24-M24</f>
        <v/>
      </c>
      <c r="R24" s="8">
        <f>L24-M24</f>
        <v/>
      </c>
      <c r="S24" s="7">
        <f>IF(E24&gt;0, G24/E24, 0)</f>
        <v/>
      </c>
      <c r="T24" s="7">
        <f>IF(E24&gt;0, N24/E24, 0)</f>
        <v/>
      </c>
      <c r="U24" s="7">
        <f>IF(E24&gt;0, O24/E24, 0)</f>
        <v/>
      </c>
      <c r="V24" s="7">
        <f>IF(E24&gt;0, P24/E24, 0)</f>
        <v/>
      </c>
    </row>
    <row r="25" ht="19" customHeight="1">
      <c r="A25" s="35" t="inlineStr">
        <is>
          <t>630171</t>
        </is>
      </c>
      <c r="B25" s="35" t="inlineStr">
        <is>
          <t>MDLZ</t>
        </is>
      </c>
      <c r="C25" s="5" t="inlineStr">
        <is>
          <t>Милка цял лешник 95 гр. НОВ</t>
        </is>
      </c>
      <c r="D25" s="24" t="n">
        <v>117</v>
      </c>
      <c r="E25" s="6" t="n">
        <v>298.5075389987882</v>
      </c>
      <c r="F25" s="6" t="n">
        <v>216.465643742043</v>
      </c>
      <c r="G25" s="6">
        <f>E25-F25</f>
        <v/>
      </c>
      <c r="H25" s="36" t="n">
        <v>2.1</v>
      </c>
      <c r="I25" s="36">
        <f>IF(B25="MDLZ", H25*(1-0.068), H25*(1-0.040))</f>
        <v/>
      </c>
      <c r="J25" s="36" t="n">
        <v>1.09</v>
      </c>
      <c r="K25" s="6">
        <f>D25*H25</f>
        <v/>
      </c>
      <c r="L25" s="6">
        <f>D25*I25</f>
        <v/>
      </c>
      <c r="M25" s="6">
        <f>D25*J25</f>
        <v/>
      </c>
      <c r="N25" s="6">
        <f>E25-K25</f>
        <v/>
      </c>
      <c r="O25" s="6">
        <f>E25-L25</f>
        <v/>
      </c>
      <c r="P25" s="6">
        <f>E25-M25</f>
        <v/>
      </c>
      <c r="Q25" s="8">
        <f>K25-M25</f>
        <v/>
      </c>
      <c r="R25" s="8">
        <f>L25-M25</f>
        <v/>
      </c>
      <c r="S25" s="7">
        <f>IF(E25&gt;0, G25/E25, 0)</f>
        <v/>
      </c>
      <c r="T25" s="7">
        <f>IF(E25&gt;0, N25/E25, 0)</f>
        <v/>
      </c>
      <c r="U25" s="7">
        <f>IF(E25&gt;0, O25/E25, 0)</f>
        <v/>
      </c>
      <c r="V25" s="7">
        <f>IF(E25&gt;0, P25/E25, 0)</f>
        <v/>
      </c>
    </row>
    <row r="26" ht="19" customHeight="1">
      <c r="A26" s="35" t="inlineStr">
        <is>
          <t>12193</t>
        </is>
      </c>
      <c r="B26" s="35" t="inlineStr">
        <is>
          <t>MDLZ</t>
        </is>
      </c>
      <c r="C26" s="5" t="inlineStr">
        <is>
          <t>Милка Сандвич Тук 87г</t>
        </is>
      </c>
      <c r="D26" s="24" t="n">
        <v>146</v>
      </c>
      <c r="E26" s="6" t="n">
        <v>295.8028049472603</v>
      </c>
      <c r="F26" s="6" t="n">
        <v>237.5155304908913</v>
      </c>
      <c r="G26" s="6">
        <f>E26-F26</f>
        <v/>
      </c>
      <c r="H26" s="36" t="n">
        <v>1.992</v>
      </c>
      <c r="I26" s="36">
        <f>IF(B26="MDLZ", H26*(1-0.068), H26*(1-0.040))</f>
        <v/>
      </c>
      <c r="J26" s="36" t="n">
        <v>1.09</v>
      </c>
      <c r="K26" s="6">
        <f>D26*H26</f>
        <v/>
      </c>
      <c r="L26" s="6">
        <f>D26*I26</f>
        <v/>
      </c>
      <c r="M26" s="6">
        <f>D26*J26</f>
        <v/>
      </c>
      <c r="N26" s="6">
        <f>E26-K26</f>
        <v/>
      </c>
      <c r="O26" s="6">
        <f>E26-L26</f>
        <v/>
      </c>
      <c r="P26" s="6">
        <f>E26-M26</f>
        <v/>
      </c>
      <c r="Q26" s="8">
        <f>K26-M26</f>
        <v/>
      </c>
      <c r="R26" s="8">
        <f>L26-M26</f>
        <v/>
      </c>
      <c r="S26" s="7">
        <f>IF(E26&gt;0, G26/E26, 0)</f>
        <v/>
      </c>
      <c r="T26" s="7">
        <f>IF(E26&gt;0, N26/E26, 0)</f>
        <v/>
      </c>
      <c r="U26" s="7">
        <f>IF(E26&gt;0, O26/E26, 0)</f>
        <v/>
      </c>
      <c r="V26" s="7">
        <f>IF(E26&gt;0, P26/E26, 0)</f>
        <v/>
      </c>
    </row>
    <row r="27" ht="19" customHeight="1">
      <c r="A27" s="35" t="inlineStr">
        <is>
          <t>7150</t>
        </is>
      </c>
      <c r="B27" s="35" t="inlineStr">
        <is>
          <t>MDLZ</t>
        </is>
      </c>
      <c r="C27" s="5" t="inlineStr">
        <is>
          <t>Б-ти Орео 154гр.</t>
        </is>
      </c>
      <c r="D27" s="24" t="n">
        <v>120</v>
      </c>
      <c r="E27" s="6" t="n">
        <v>293.8905733115864</v>
      </c>
      <c r="F27" s="6" t="n">
        <v>194.0352689139649</v>
      </c>
      <c r="G27" s="6">
        <f>E27-F27</f>
        <v/>
      </c>
      <c r="H27" s="36" t="n">
        <v>1.692</v>
      </c>
      <c r="I27" s="36">
        <f>IF(B27="MDLZ", H27*(1-0.068), H27*(1-0.040))</f>
        <v/>
      </c>
      <c r="J27" s="36" t="n">
        <v>1.39</v>
      </c>
      <c r="K27" s="6">
        <f>D27*H27</f>
        <v/>
      </c>
      <c r="L27" s="6">
        <f>D27*I27</f>
        <v/>
      </c>
      <c r="M27" s="6">
        <f>D27*J27</f>
        <v/>
      </c>
      <c r="N27" s="6">
        <f>E27-K27</f>
        <v/>
      </c>
      <c r="O27" s="6">
        <f>E27-L27</f>
        <v/>
      </c>
      <c r="P27" s="6">
        <f>E27-M27</f>
        <v/>
      </c>
      <c r="Q27" s="8">
        <f>K27-M27</f>
        <v/>
      </c>
      <c r="R27" s="8">
        <f>L27-M27</f>
        <v/>
      </c>
      <c r="S27" s="7">
        <f>IF(E27&gt;0, G27/E27, 0)</f>
        <v/>
      </c>
      <c r="T27" s="7">
        <f>IF(E27&gt;0, N27/E27, 0)</f>
        <v/>
      </c>
      <c r="U27" s="7">
        <f>IF(E27&gt;0, O27/E27, 0)</f>
        <v/>
      </c>
      <c r="V27" s="7">
        <f>IF(E27&gt;0, P27/E27, 0)</f>
        <v/>
      </c>
    </row>
    <row r="28" ht="19" customHeight="1">
      <c r="A28" s="35" t="inlineStr">
        <is>
          <t>12467</t>
        </is>
      </c>
      <c r="B28" s="35" t="inlineStr">
        <is>
          <t>CHIPITA</t>
        </is>
      </c>
      <c r="C28" s="5" t="inlineStr">
        <is>
          <t>7ДЕЙС КРОАСАН ВАН&amp;ВИШНА 110Г 18CA</t>
        </is>
      </c>
      <c r="D28" s="24" t="n">
        <v>230</v>
      </c>
      <c r="E28" s="6" t="n">
        <v>292.8168603610743</v>
      </c>
      <c r="F28" s="6" t="n">
        <v>188.8303175633874</v>
      </c>
      <c r="G28" s="6">
        <f>E28-F28</f>
        <v/>
      </c>
      <c r="H28" s="36" t="n">
        <v>0.84</v>
      </c>
      <c r="I28" s="36">
        <f>IF(B28="MDLZ", H28*(1-0.068), H28*(1-0.040))</f>
        <v/>
      </c>
      <c r="J28" s="36" t="n">
        <v>0.79</v>
      </c>
      <c r="K28" s="6">
        <f>D28*H28</f>
        <v/>
      </c>
      <c r="L28" s="6">
        <f>D28*I28</f>
        <v/>
      </c>
      <c r="M28" s="6">
        <f>D28*J28</f>
        <v/>
      </c>
      <c r="N28" s="6">
        <f>E28-K28</f>
        <v/>
      </c>
      <c r="O28" s="6">
        <f>E28-L28</f>
        <v/>
      </c>
      <c r="P28" s="6">
        <f>E28-M28</f>
        <v/>
      </c>
      <c r="Q28" s="8">
        <f>K28-M28</f>
        <v/>
      </c>
      <c r="R28" s="8">
        <f>L28-M28</f>
        <v/>
      </c>
      <c r="S28" s="7">
        <f>IF(E28&gt;0, G28/E28, 0)</f>
        <v/>
      </c>
      <c r="T28" s="7">
        <f>IF(E28&gt;0, N28/E28, 0)</f>
        <v/>
      </c>
      <c r="U28" s="7">
        <f>IF(E28&gt;0, O28/E28, 0)</f>
        <v/>
      </c>
      <c r="V28" s="7">
        <f>IF(E28&gt;0, P28/E28, 0)</f>
        <v/>
      </c>
    </row>
    <row r="29" ht="19" customHeight="1">
      <c r="A29" s="35" t="inlineStr">
        <is>
          <t>17381</t>
        </is>
      </c>
      <c r="B29" s="35" t="inlineStr">
        <is>
          <t>MDLZ</t>
        </is>
      </c>
      <c r="C29" s="5" t="inlineStr">
        <is>
          <t>Барни Млечен Крем 30гр.</t>
        </is>
      </c>
      <c r="D29" s="24" t="n">
        <v>571</v>
      </c>
      <c r="E29" s="6" t="n">
        <v>289.0281875214104</v>
      </c>
      <c r="F29" s="6" t="n">
        <v>192.6854583476069</v>
      </c>
      <c r="G29" s="6">
        <f>E29-F29</f>
        <v/>
      </c>
      <c r="H29" s="36" t="n">
        <v>0.338</v>
      </c>
      <c r="I29" s="36">
        <f>IF(B29="MDLZ", H29*(1-0.068), H29*(1-0.040))</f>
        <v/>
      </c>
      <c r="J29" s="36" t="n">
        <v>0.31</v>
      </c>
      <c r="K29" s="6">
        <f>D29*H29</f>
        <v/>
      </c>
      <c r="L29" s="6">
        <f>D29*I29</f>
        <v/>
      </c>
      <c r="M29" s="6">
        <f>D29*J29</f>
        <v/>
      </c>
      <c r="N29" s="6">
        <f>E29-K29</f>
        <v/>
      </c>
      <c r="O29" s="6">
        <f>E29-L29</f>
        <v/>
      </c>
      <c r="P29" s="6">
        <f>E29-M29</f>
        <v/>
      </c>
      <c r="Q29" s="8">
        <f>K29-M29</f>
        <v/>
      </c>
      <c r="R29" s="8">
        <f>L29-M29</f>
        <v/>
      </c>
      <c r="S29" s="7">
        <f>IF(E29&gt;0, G29/E29, 0)</f>
        <v/>
      </c>
      <c r="T29" s="7">
        <f>IF(E29&gt;0, N29/E29, 0)</f>
        <v/>
      </c>
      <c r="U29" s="7">
        <f>IF(E29&gt;0, O29/E29, 0)</f>
        <v/>
      </c>
      <c r="V29" s="7">
        <f>IF(E29&gt;0, P29/E29, 0)</f>
        <v/>
      </c>
    </row>
    <row r="30" ht="19" customHeight="1">
      <c r="A30" s="35" t="inlineStr">
        <is>
          <t>632679</t>
        </is>
      </c>
      <c r="B30" s="35" t="inlineStr">
        <is>
          <t>CHIPITA</t>
        </is>
      </c>
      <c r="C30" s="5" t="inlineStr">
        <is>
          <t>7Д БЕЙК РОЛC БЕКОН 80ГХ15</t>
        </is>
      </c>
      <c r="D30" s="24" t="n">
        <v>355</v>
      </c>
      <c r="E30" s="6" t="n">
        <v>286.7836161629589</v>
      </c>
      <c r="F30" s="6" t="n">
        <v>199.6032375001917</v>
      </c>
      <c r="G30" s="6">
        <f>E30-F30</f>
        <v/>
      </c>
      <c r="H30" s="36" t="n">
        <v>0.6</v>
      </c>
      <c r="I30" s="36">
        <f>IF(B30="MDLZ", H30*(1-0.068), H30*(1-0.040))</f>
        <v/>
      </c>
      <c r="J30" s="36" t="n">
        <v>0.52</v>
      </c>
      <c r="K30" s="6">
        <f>D30*H30</f>
        <v/>
      </c>
      <c r="L30" s="6">
        <f>D30*I30</f>
        <v/>
      </c>
      <c r="M30" s="6">
        <f>D30*J30</f>
        <v/>
      </c>
      <c r="N30" s="6">
        <f>E30-K30</f>
        <v/>
      </c>
      <c r="O30" s="6">
        <f>E30-L30</f>
        <v/>
      </c>
      <c r="P30" s="6">
        <f>E30-M30</f>
        <v/>
      </c>
      <c r="Q30" s="8">
        <f>K30-M30</f>
        <v/>
      </c>
      <c r="R30" s="8">
        <f>L30-M30</f>
        <v/>
      </c>
      <c r="S30" s="7">
        <f>IF(E30&gt;0, G30/E30, 0)</f>
        <v/>
      </c>
      <c r="T30" s="7">
        <f>IF(E30&gt;0, N30/E30, 0)</f>
        <v/>
      </c>
      <c r="U30" s="7">
        <f>IF(E30&gt;0, O30/E30, 0)</f>
        <v/>
      </c>
      <c r="V30" s="7">
        <f>IF(E30&gt;0, P30/E30, 0)</f>
        <v/>
      </c>
    </row>
    <row r="31" ht="19" customHeight="1">
      <c r="A31" s="35" t="inlineStr">
        <is>
          <t>942</t>
        </is>
      </c>
      <c r="B31" s="35" t="inlineStr">
        <is>
          <t>MDLZ</t>
        </is>
      </c>
      <c r="C31" s="5" t="inlineStr">
        <is>
          <t>Барни Млечен  Крем 150гр.</t>
        </is>
      </c>
      <c r="D31" s="24" t="n">
        <v>120</v>
      </c>
      <c r="E31" s="6" t="n">
        <v>275.4840655885225</v>
      </c>
      <c r="F31" s="6" t="n">
        <v>198.7902834090897</v>
      </c>
      <c r="G31" s="6">
        <f>E31-F31</f>
        <v/>
      </c>
      <c r="H31" s="36" t="n">
        <v>1.656</v>
      </c>
      <c r="I31" s="36">
        <f>IF(B31="MDLZ", H31*(1-0.068), H31*(1-0.040))</f>
        <v/>
      </c>
      <c r="J31" s="36" t="n">
        <v>1.35</v>
      </c>
      <c r="K31" s="6">
        <f>D31*H31</f>
        <v/>
      </c>
      <c r="L31" s="6">
        <f>D31*I31</f>
        <v/>
      </c>
      <c r="M31" s="6">
        <f>D31*J31</f>
        <v/>
      </c>
      <c r="N31" s="6">
        <f>E31-K31</f>
        <v/>
      </c>
      <c r="O31" s="6">
        <f>E31-L31</f>
        <v/>
      </c>
      <c r="P31" s="6">
        <f>E31-M31</f>
        <v/>
      </c>
      <c r="Q31" s="8">
        <f>K31-M31</f>
        <v/>
      </c>
      <c r="R31" s="8">
        <f>L31-M31</f>
        <v/>
      </c>
      <c r="S31" s="7">
        <f>IF(E31&gt;0, G31/E31, 0)</f>
        <v/>
      </c>
      <c r="T31" s="7">
        <f>IF(E31&gt;0, N31/E31, 0)</f>
        <v/>
      </c>
      <c r="U31" s="7">
        <f>IF(E31&gt;0, O31/E31, 0)</f>
        <v/>
      </c>
      <c r="V31" s="7">
        <f>IF(E31&gt;0, P31/E31, 0)</f>
        <v/>
      </c>
    </row>
    <row r="32" ht="19" customHeight="1">
      <c r="A32" s="35" t="inlineStr">
        <is>
          <t>12460</t>
        </is>
      </c>
      <c r="B32" s="35" t="inlineStr">
        <is>
          <t>CHIPITA</t>
        </is>
      </c>
      <c r="C32" s="5" t="inlineStr">
        <is>
          <t>7ДЕЙС КРОАСАН КАКАО&amp;ВАН 110Г 18CA</t>
        </is>
      </c>
      <c r="D32" s="24" t="n">
        <v>212</v>
      </c>
      <c r="E32" s="6" t="n">
        <v>269.9007582458598</v>
      </c>
      <c r="F32" s="6" t="n">
        <v>169.7131141254608</v>
      </c>
      <c r="G32" s="6">
        <f>E32-F32</f>
        <v/>
      </c>
      <c r="H32" s="36" t="n">
        <v>0.84</v>
      </c>
      <c r="I32" s="36">
        <f>IF(B32="MDLZ", H32*(1-0.068), H32*(1-0.040))</f>
        <v/>
      </c>
      <c r="J32" s="36" t="n">
        <v>0.79</v>
      </c>
      <c r="K32" s="6">
        <f>D32*H32</f>
        <v/>
      </c>
      <c r="L32" s="6">
        <f>D32*I32</f>
        <v/>
      </c>
      <c r="M32" s="6">
        <f>D32*J32</f>
        <v/>
      </c>
      <c r="N32" s="6">
        <f>E32-K32</f>
        <v/>
      </c>
      <c r="O32" s="6">
        <f>E32-L32</f>
        <v/>
      </c>
      <c r="P32" s="6">
        <f>E32-M32</f>
        <v/>
      </c>
      <c r="Q32" s="8">
        <f>K32-M32</f>
        <v/>
      </c>
      <c r="R32" s="8">
        <f>L32-M32</f>
        <v/>
      </c>
      <c r="S32" s="7">
        <f>IF(E32&gt;0, G32/E32, 0)</f>
        <v/>
      </c>
      <c r="T32" s="7">
        <f>IF(E32&gt;0, N32/E32, 0)</f>
        <v/>
      </c>
      <c r="U32" s="7">
        <f>IF(E32&gt;0, O32/E32, 0)</f>
        <v/>
      </c>
      <c r="V32" s="7">
        <f>IF(E32&gt;0, P32/E32, 0)</f>
        <v/>
      </c>
    </row>
    <row r="33" ht="19" customHeight="1">
      <c r="A33" s="35" t="inlineStr">
        <is>
          <t>10179</t>
        </is>
      </c>
      <c r="B33" s="35" t="inlineStr">
        <is>
          <t>MDLZ</t>
        </is>
      </c>
      <c r="C33" s="5" t="inlineStr">
        <is>
          <t>Милка Балончета млечен 90г.</t>
        </is>
      </c>
      <c r="D33" s="24" t="n">
        <v>131</v>
      </c>
      <c r="E33" s="6" t="n">
        <v>264.6906939764704</v>
      </c>
      <c r="F33" s="6" t="n">
        <v>214.9931231241979</v>
      </c>
      <c r="G33" s="6">
        <f>E33-F33</f>
        <v/>
      </c>
      <c r="H33" s="36" t="n">
        <v>1.992</v>
      </c>
      <c r="I33" s="36">
        <f>IF(B33="MDLZ", H33*(1-0.068), H33*(1-0.040))</f>
        <v/>
      </c>
      <c r="J33" s="36" t="n">
        <v>1.09</v>
      </c>
      <c r="K33" s="6">
        <f>D33*H33</f>
        <v/>
      </c>
      <c r="L33" s="6">
        <f>D33*I33</f>
        <v/>
      </c>
      <c r="M33" s="6">
        <f>D33*J33</f>
        <v/>
      </c>
      <c r="N33" s="6">
        <f>E33-K33</f>
        <v/>
      </c>
      <c r="O33" s="6">
        <f>E33-L33</f>
        <v/>
      </c>
      <c r="P33" s="6">
        <f>E33-M33</f>
        <v/>
      </c>
      <c r="Q33" s="8">
        <f>K33-M33</f>
        <v/>
      </c>
      <c r="R33" s="8">
        <f>L33-M33</f>
        <v/>
      </c>
      <c r="S33" s="7">
        <f>IF(E33&gt;0, G33/E33, 0)</f>
        <v/>
      </c>
      <c r="T33" s="7">
        <f>IF(E33&gt;0, N33/E33, 0)</f>
        <v/>
      </c>
      <c r="U33" s="7">
        <f>IF(E33&gt;0, O33/E33, 0)</f>
        <v/>
      </c>
      <c r="V33" s="7">
        <f>IF(E33&gt;0, P33/E33, 0)</f>
        <v/>
      </c>
    </row>
    <row r="34" ht="19" customHeight="1">
      <c r="A34" s="35" t="inlineStr">
        <is>
          <t>7033</t>
        </is>
      </c>
      <c r="B34" s="35" t="inlineStr">
        <is>
          <t>MDLZ</t>
        </is>
      </c>
      <c r="C34" s="5" t="inlineStr">
        <is>
          <t>Сушард Аида 234 гр.</t>
        </is>
      </c>
      <c r="D34" s="24" t="n">
        <v>41</v>
      </c>
      <c r="E34" s="6" t="n">
        <v>264.6395647883508</v>
      </c>
      <c r="F34" s="6" t="n">
        <v>222.7852113936283</v>
      </c>
      <c r="G34" s="6">
        <f>E34-F34</f>
        <v/>
      </c>
      <c r="H34" s="36" t="n">
        <v>5.64</v>
      </c>
      <c r="I34" s="36">
        <f>IF(B34="MDLZ", H34*(1-0.068), H34*(1-0.040))</f>
        <v/>
      </c>
      <c r="J34" s="36" t="n">
        <v>4.79</v>
      </c>
      <c r="K34" s="6">
        <f>D34*H34</f>
        <v/>
      </c>
      <c r="L34" s="6">
        <f>D34*I34</f>
        <v/>
      </c>
      <c r="M34" s="6">
        <f>D34*J34</f>
        <v/>
      </c>
      <c r="N34" s="6">
        <f>E34-K34</f>
        <v/>
      </c>
      <c r="O34" s="6">
        <f>E34-L34</f>
        <v/>
      </c>
      <c r="P34" s="6">
        <f>E34-M34</f>
        <v/>
      </c>
      <c r="Q34" s="8">
        <f>K34-M34</f>
        <v/>
      </c>
      <c r="R34" s="8">
        <f>L34-M34</f>
        <v/>
      </c>
      <c r="S34" s="7">
        <f>IF(E34&gt;0, G34/E34, 0)</f>
        <v/>
      </c>
      <c r="T34" s="7">
        <f>IF(E34&gt;0, N34/E34, 0)</f>
        <v/>
      </c>
      <c r="U34" s="7">
        <f>IF(E34&gt;0, O34/E34, 0)</f>
        <v/>
      </c>
      <c r="V34" s="7">
        <f>IF(E34&gt;0, P34/E34, 0)</f>
        <v/>
      </c>
    </row>
    <row r="35" ht="19" customHeight="1">
      <c r="A35" s="35" t="inlineStr">
        <is>
          <t>5643</t>
        </is>
      </c>
      <c r="B35" s="35" t="inlineStr">
        <is>
          <t>MDLZ</t>
        </is>
      </c>
      <c r="C35" s="5" t="inlineStr">
        <is>
          <t>Б-ти Милка Кукис с пълнеж 156гр.</t>
        </is>
      </c>
      <c r="D35" s="24" t="n">
        <v>82</v>
      </c>
      <c r="E35" s="6" t="n">
        <v>262.2160412714807</v>
      </c>
      <c r="F35" s="6" t="n">
        <v>192.0361176584877</v>
      </c>
      <c r="G35" s="6">
        <f>E35-F35</f>
        <v/>
      </c>
      <c r="H35" s="36" t="n">
        <v>2.484</v>
      </c>
      <c r="I35" s="36">
        <f>IF(B35="MDLZ", H35*(1-0.068), H35*(1-0.040))</f>
        <v/>
      </c>
      <c r="J35" s="36" t="n">
        <v>1.94</v>
      </c>
      <c r="K35" s="6">
        <f>D35*H35</f>
        <v/>
      </c>
      <c r="L35" s="6">
        <f>D35*I35</f>
        <v/>
      </c>
      <c r="M35" s="6">
        <f>D35*J35</f>
        <v/>
      </c>
      <c r="N35" s="6">
        <f>E35-K35</f>
        <v/>
      </c>
      <c r="O35" s="6">
        <f>E35-L35</f>
        <v/>
      </c>
      <c r="P35" s="6">
        <f>E35-M35</f>
        <v/>
      </c>
      <c r="Q35" s="8">
        <f>K35-M35</f>
        <v/>
      </c>
      <c r="R35" s="8">
        <f>L35-M35</f>
        <v/>
      </c>
      <c r="S35" s="7">
        <f>IF(E35&gt;0, G35/E35, 0)</f>
        <v/>
      </c>
      <c r="T35" s="7">
        <f>IF(E35&gt;0, N35/E35, 0)</f>
        <v/>
      </c>
      <c r="U35" s="7">
        <f>IF(E35&gt;0, O35/E35, 0)</f>
        <v/>
      </c>
      <c r="V35" s="7">
        <f>IF(E35&gt;0, P35/E35, 0)</f>
        <v/>
      </c>
    </row>
    <row r="36" ht="19" customHeight="1">
      <c r="A36" s="35" t="inlineStr">
        <is>
          <t>11927</t>
        </is>
      </c>
      <c r="B36" s="35" t="inlineStr">
        <is>
          <t>CHIPITA</t>
        </is>
      </c>
      <c r="C36" s="5" t="inlineStr">
        <is>
          <t>7ДЕЙС КРОАСАН ЛЕШНИК 92ГРХ20КШ</t>
        </is>
      </c>
      <c r="D36" s="24" t="n">
        <v>276</v>
      </c>
      <c r="E36" s="6" t="n">
        <v>252.5986409861798</v>
      </c>
      <c r="F36" s="6" t="n">
        <v>182.9709126048787</v>
      </c>
      <c r="G36" s="6">
        <f>E36-F36</f>
        <v/>
      </c>
      <c r="H36" s="36" t="n">
        <v>0.672</v>
      </c>
      <c r="I36" s="36">
        <f>IF(B36="MDLZ", H36*(1-0.068), H36*(1-0.040))</f>
        <v/>
      </c>
      <c r="J36" s="36" t="n">
        <v>0.59</v>
      </c>
      <c r="K36" s="6">
        <f>D36*H36</f>
        <v/>
      </c>
      <c r="L36" s="6">
        <f>D36*I36</f>
        <v/>
      </c>
      <c r="M36" s="6">
        <f>D36*J36</f>
        <v/>
      </c>
      <c r="N36" s="6">
        <f>E36-K36</f>
        <v/>
      </c>
      <c r="O36" s="6">
        <f>E36-L36</f>
        <v/>
      </c>
      <c r="P36" s="6">
        <f>E36-M36</f>
        <v/>
      </c>
      <c r="Q36" s="8">
        <f>K36-M36</f>
        <v/>
      </c>
      <c r="R36" s="8">
        <f>L36-M36</f>
        <v/>
      </c>
      <c r="S36" s="7">
        <f>IF(E36&gt;0, G36/E36, 0)</f>
        <v/>
      </c>
      <c r="T36" s="7">
        <f>IF(E36&gt;0, N36/E36, 0)</f>
        <v/>
      </c>
      <c r="U36" s="7">
        <f>IF(E36&gt;0, O36/E36, 0)</f>
        <v/>
      </c>
      <c r="V36" s="7">
        <f>IF(E36&gt;0, P36/E36, 0)</f>
        <v/>
      </c>
    </row>
    <row r="37" ht="19" customHeight="1">
      <c r="A37" s="35" t="inlineStr">
        <is>
          <t>16601</t>
        </is>
      </c>
      <c r="B37" s="35" t="inlineStr">
        <is>
          <t>MDLZ</t>
        </is>
      </c>
      <c r="C37" s="5" t="inlineStr">
        <is>
          <t>Б-ти Орео 66гр.</t>
        </is>
      </c>
      <c r="D37" s="24" t="n">
        <v>239</v>
      </c>
      <c r="E37" s="6" t="n">
        <v>243.1755316157335</v>
      </c>
      <c r="F37" s="6" t="n">
        <v>172.3002510443137</v>
      </c>
      <c r="G37" s="6">
        <f>E37-F37</f>
        <v/>
      </c>
      <c r="H37" s="36" t="n">
        <v>0.72</v>
      </c>
      <c r="I37" s="36">
        <f>IF(B37="MDLZ", H37*(1-0.068), H37*(1-0.040))</f>
        <v/>
      </c>
      <c r="J37" s="36" t="n">
        <v>0.58</v>
      </c>
      <c r="K37" s="6">
        <f>D37*H37</f>
        <v/>
      </c>
      <c r="L37" s="6">
        <f>D37*I37</f>
        <v/>
      </c>
      <c r="M37" s="6">
        <f>D37*J37</f>
        <v/>
      </c>
      <c r="N37" s="6">
        <f>E37-K37</f>
        <v/>
      </c>
      <c r="O37" s="6">
        <f>E37-L37</f>
        <v/>
      </c>
      <c r="P37" s="6">
        <f>E37-M37</f>
        <v/>
      </c>
      <c r="Q37" s="8">
        <f>K37-M37</f>
        <v/>
      </c>
      <c r="R37" s="8">
        <f>L37-M37</f>
        <v/>
      </c>
      <c r="S37" s="7">
        <f>IF(E37&gt;0, G37/E37, 0)</f>
        <v/>
      </c>
      <c r="T37" s="7">
        <f>IF(E37&gt;0, N37/E37, 0)</f>
        <v/>
      </c>
      <c r="U37" s="7">
        <f>IF(E37&gt;0, O37/E37, 0)</f>
        <v/>
      </c>
      <c r="V37" s="7">
        <f>IF(E37&gt;0, P37/E37, 0)</f>
        <v/>
      </c>
    </row>
    <row r="38" ht="19" customHeight="1">
      <c r="A38" s="35" t="inlineStr">
        <is>
          <t>6709</t>
        </is>
      </c>
      <c r="B38" s="35" t="inlineStr">
        <is>
          <t>CHIPITA</t>
        </is>
      </c>
      <c r="C38" s="5" t="inlineStr">
        <is>
          <t>7ДЕЙС КРОАСАН ДВОЕН КРЕМ ВАНИЛИЯ И ЯГОДА 92ГРХ20КШ</t>
        </is>
      </c>
      <c r="D38" s="24" t="n">
        <v>249</v>
      </c>
      <c r="E38" s="6" t="n">
        <v>227.6118067521206</v>
      </c>
      <c r="F38" s="6" t="n">
        <v>165.4489398362843</v>
      </c>
      <c r="G38" s="6">
        <f>E38-F38</f>
        <v/>
      </c>
      <c r="H38" s="36" t="n">
        <v>0.672</v>
      </c>
      <c r="I38" s="36">
        <f>IF(B38="MDLZ", H38*(1-0.068), H38*(1-0.040))</f>
        <v/>
      </c>
      <c r="J38" s="36" t="n">
        <v>0.59</v>
      </c>
      <c r="K38" s="6">
        <f>D38*H38</f>
        <v/>
      </c>
      <c r="L38" s="6">
        <f>D38*I38</f>
        <v/>
      </c>
      <c r="M38" s="6">
        <f>D38*J38</f>
        <v/>
      </c>
      <c r="N38" s="6">
        <f>E38-K38</f>
        <v/>
      </c>
      <c r="O38" s="6">
        <f>E38-L38</f>
        <v/>
      </c>
      <c r="P38" s="6">
        <f>E38-M38</f>
        <v/>
      </c>
      <c r="Q38" s="8">
        <f>K38-M38</f>
        <v/>
      </c>
      <c r="R38" s="8">
        <f>L38-M38</f>
        <v/>
      </c>
      <c r="S38" s="7">
        <f>IF(E38&gt;0, G38/E38, 0)</f>
        <v/>
      </c>
      <c r="T38" s="7">
        <f>IF(E38&gt;0, N38/E38, 0)</f>
        <v/>
      </c>
      <c r="U38" s="7">
        <f>IF(E38&gt;0, O38/E38, 0)</f>
        <v/>
      </c>
      <c r="V38" s="7">
        <f>IF(E38&gt;0, P38/E38, 0)</f>
        <v/>
      </c>
    </row>
    <row r="39" ht="19" customHeight="1">
      <c r="A39" s="35" t="inlineStr">
        <is>
          <t>5565</t>
        </is>
      </c>
      <c r="B39" s="35" t="inlineStr">
        <is>
          <t>MDLZ</t>
        </is>
      </c>
      <c r="C39" s="5" t="inlineStr">
        <is>
          <t>Република Кокос 30гр.</t>
        </is>
      </c>
      <c r="D39" s="24" t="n">
        <v>366</v>
      </c>
      <c r="E39" s="6" t="n">
        <v>222.688065936201</v>
      </c>
      <c r="F39" s="6" t="n">
        <v>172.1622022363907</v>
      </c>
      <c r="G39" s="6">
        <f>E39-F39</f>
        <v/>
      </c>
      <c r="H39" s="36" t="n">
        <v>0.471</v>
      </c>
      <c r="I39" s="36">
        <f>IF(B39="MDLZ", H39*(1-0.068), H39*(1-0.040))</f>
        <v/>
      </c>
      <c r="J39" s="36" t="n">
        <v>0.39</v>
      </c>
      <c r="K39" s="6">
        <f>D39*H39</f>
        <v/>
      </c>
      <c r="L39" s="6">
        <f>D39*I39</f>
        <v/>
      </c>
      <c r="M39" s="6">
        <f>D39*J39</f>
        <v/>
      </c>
      <c r="N39" s="6">
        <f>E39-K39</f>
        <v/>
      </c>
      <c r="O39" s="6">
        <f>E39-L39</f>
        <v/>
      </c>
      <c r="P39" s="6">
        <f>E39-M39</f>
        <v/>
      </c>
      <c r="Q39" s="8">
        <f>K39-M39</f>
        <v/>
      </c>
      <c r="R39" s="8">
        <f>L39-M39</f>
        <v/>
      </c>
      <c r="S39" s="7">
        <f>IF(E39&gt;0, G39/E39, 0)</f>
        <v/>
      </c>
      <c r="T39" s="7">
        <f>IF(E39&gt;0, N39/E39, 0)</f>
        <v/>
      </c>
      <c r="U39" s="7">
        <f>IF(E39&gt;0, O39/E39, 0)</f>
        <v/>
      </c>
      <c r="V39" s="7">
        <f>IF(E39&gt;0, P39/E39, 0)</f>
        <v/>
      </c>
    </row>
    <row r="40" ht="19" customHeight="1">
      <c r="A40" s="35" t="inlineStr">
        <is>
          <t>17448</t>
        </is>
      </c>
      <c r="B40" s="35" t="inlineStr">
        <is>
          <t>MDLZ</t>
        </is>
      </c>
      <c r="C40" s="5" t="inlineStr">
        <is>
          <t>Бисквити Орео обвито с бял шоколад 41гр</t>
        </is>
      </c>
      <c r="D40" s="24" t="n">
        <v>217</v>
      </c>
      <c r="E40" s="6" t="n">
        <v>220.791173056963</v>
      </c>
      <c r="F40" s="6" t="n">
        <v>156.439976889607</v>
      </c>
      <c r="G40" s="6">
        <f>E40-F40</f>
        <v/>
      </c>
      <c r="H40" s="36" t="n">
        <v>0.72</v>
      </c>
      <c r="I40" s="36">
        <f>IF(B40="MDLZ", H40*(1-0.068), H40*(1-0.040))</f>
        <v/>
      </c>
      <c r="J40" s="36" t="n">
        <v>0.65</v>
      </c>
      <c r="K40" s="6">
        <f>D40*H40</f>
        <v/>
      </c>
      <c r="L40" s="6">
        <f>D40*I40</f>
        <v/>
      </c>
      <c r="M40" s="6">
        <f>D40*J40</f>
        <v/>
      </c>
      <c r="N40" s="6">
        <f>E40-K40</f>
        <v/>
      </c>
      <c r="O40" s="6">
        <f>E40-L40</f>
        <v/>
      </c>
      <c r="P40" s="6">
        <f>E40-M40</f>
        <v/>
      </c>
      <c r="Q40" s="8">
        <f>K40-M40</f>
        <v/>
      </c>
      <c r="R40" s="8">
        <f>L40-M40</f>
        <v/>
      </c>
      <c r="S40" s="7">
        <f>IF(E40&gt;0, G40/E40, 0)</f>
        <v/>
      </c>
      <c r="T40" s="7">
        <f>IF(E40&gt;0, N40/E40, 0)</f>
        <v/>
      </c>
      <c r="U40" s="7">
        <f>IF(E40&gt;0, O40/E40, 0)</f>
        <v/>
      </c>
      <c r="V40" s="7">
        <f>IF(E40&gt;0, P40/E40, 0)</f>
        <v/>
      </c>
    </row>
    <row r="41" ht="19" customHeight="1">
      <c r="A41" s="35" t="inlineStr">
        <is>
          <t>2157</t>
        </is>
      </c>
      <c r="B41" s="35" t="inlineStr">
        <is>
          <t>MDLZ</t>
        </is>
      </c>
      <c r="C41" s="5" t="inlineStr">
        <is>
          <t>Милка шоко бисквита 150г</t>
        </is>
      </c>
      <c r="D41" s="24" t="n">
        <v>68</v>
      </c>
      <c r="E41" s="6" t="n">
        <v>211.6595000587986</v>
      </c>
      <c r="F41" s="6" t="n">
        <v>157.7079807549736</v>
      </c>
      <c r="G41" s="6">
        <f>E41-F41</f>
        <v/>
      </c>
      <c r="H41" s="36" t="n">
        <v>2.484</v>
      </c>
      <c r="I41" s="36">
        <f>IF(B41="MDLZ", H41*(1-0.068), H41*(1-0.040))</f>
        <v/>
      </c>
      <c r="J41" s="36" t="n">
        <v>1.94</v>
      </c>
      <c r="K41" s="6">
        <f>D41*H41</f>
        <v/>
      </c>
      <c r="L41" s="6">
        <f>D41*I41</f>
        <v/>
      </c>
      <c r="M41" s="6">
        <f>D41*J41</f>
        <v/>
      </c>
      <c r="N41" s="6">
        <f>E41-K41</f>
        <v/>
      </c>
      <c r="O41" s="6">
        <f>E41-L41</f>
        <v/>
      </c>
      <c r="P41" s="6">
        <f>E41-M41</f>
        <v/>
      </c>
      <c r="Q41" s="8">
        <f>K41-M41</f>
        <v/>
      </c>
      <c r="R41" s="8">
        <f>L41-M41</f>
        <v/>
      </c>
      <c r="S41" s="7">
        <f>IF(E41&gt;0, G41/E41, 0)</f>
        <v/>
      </c>
      <c r="T41" s="7">
        <f>IF(E41&gt;0, N41/E41, 0)</f>
        <v/>
      </c>
      <c r="U41" s="7">
        <f>IF(E41&gt;0, O41/E41, 0)</f>
        <v/>
      </c>
      <c r="V41" s="7">
        <f>IF(E41&gt;0, P41/E41, 0)</f>
        <v/>
      </c>
    </row>
    <row r="42" ht="19" customHeight="1">
      <c r="A42" s="35" t="inlineStr">
        <is>
          <t>11954</t>
        </is>
      </c>
      <c r="B42" s="35" t="inlineStr">
        <is>
          <t>MDLZ</t>
        </is>
      </c>
      <c r="C42" s="5" t="inlineStr">
        <is>
          <t>Б-ти Милка Шоко кейк 175гр.</t>
        </is>
      </c>
      <c r="D42" s="24" t="n">
        <v>65</v>
      </c>
      <c r="E42" s="6" t="n">
        <v>203.1976194250012</v>
      </c>
      <c r="F42" s="6" t="n">
        <v>152.8455949647976</v>
      </c>
      <c r="G42" s="6">
        <f>E42-F42</f>
        <v/>
      </c>
      <c r="H42" s="36" t="n">
        <v>2.484</v>
      </c>
      <c r="I42" s="36">
        <f>IF(B42="MDLZ", H42*(1-0.068), H42*(1-0.040))</f>
        <v/>
      </c>
      <c r="J42" s="36" t="n">
        <v>1.94</v>
      </c>
      <c r="K42" s="6">
        <f>D42*H42</f>
        <v/>
      </c>
      <c r="L42" s="6">
        <f>D42*I42</f>
        <v/>
      </c>
      <c r="M42" s="6">
        <f>D42*J42</f>
        <v/>
      </c>
      <c r="N42" s="6">
        <f>E42-K42</f>
        <v/>
      </c>
      <c r="O42" s="6">
        <f>E42-L42</f>
        <v/>
      </c>
      <c r="P42" s="6">
        <f>E42-M42</f>
        <v/>
      </c>
      <c r="Q42" s="8">
        <f>K42-M42</f>
        <v/>
      </c>
      <c r="R42" s="8">
        <f>L42-M42</f>
        <v/>
      </c>
      <c r="S42" s="7">
        <f>IF(E42&gt;0, G42/E42, 0)</f>
        <v/>
      </c>
      <c r="T42" s="7">
        <f>IF(E42&gt;0, N42/E42, 0)</f>
        <v/>
      </c>
      <c r="U42" s="7">
        <f>IF(E42&gt;0, O42/E42, 0)</f>
        <v/>
      </c>
      <c r="V42" s="7">
        <f>IF(E42&gt;0, P42/E42, 0)</f>
        <v/>
      </c>
    </row>
    <row r="43" ht="19" customHeight="1">
      <c r="A43" s="35" t="inlineStr">
        <is>
          <t>7032</t>
        </is>
      </c>
      <c r="B43" s="35" t="inlineStr">
        <is>
          <t>MDLZ</t>
        </is>
      </c>
      <c r="C43" s="5" t="inlineStr">
        <is>
          <t>Сушард Фигаро 276гр.</t>
        </is>
      </c>
      <c r="D43" s="24" t="n">
        <v>29</v>
      </c>
      <c r="E43" s="6" t="n">
        <v>201.3007265457632</v>
      </c>
      <c r="F43" s="6" t="n">
        <v>157.2887214123927</v>
      </c>
      <c r="G43" s="6">
        <f>E43-F43</f>
        <v/>
      </c>
      <c r="H43" s="36" t="n">
        <v>5.64</v>
      </c>
      <c r="I43" s="36">
        <f>IF(B43="MDLZ", H43*(1-0.068), H43*(1-0.040))</f>
        <v/>
      </c>
      <c r="J43" s="36" t="n">
        <v>4.79</v>
      </c>
      <c r="K43" s="6">
        <f>D43*H43</f>
        <v/>
      </c>
      <c r="L43" s="6">
        <f>D43*I43</f>
        <v/>
      </c>
      <c r="M43" s="6">
        <f>D43*J43</f>
        <v/>
      </c>
      <c r="N43" s="6">
        <f>E43-K43</f>
        <v/>
      </c>
      <c r="O43" s="6">
        <f>E43-L43</f>
        <v/>
      </c>
      <c r="P43" s="6">
        <f>E43-M43</f>
        <v/>
      </c>
      <c r="Q43" s="8">
        <f>K43-M43</f>
        <v/>
      </c>
      <c r="R43" s="8">
        <f>L43-M43</f>
        <v/>
      </c>
      <c r="S43" s="7">
        <f>IF(E43&gt;0, G43/E43, 0)</f>
        <v/>
      </c>
      <c r="T43" s="7">
        <f>IF(E43&gt;0, N43/E43, 0)</f>
        <v/>
      </c>
      <c r="U43" s="7">
        <f>IF(E43&gt;0, O43/E43, 0)</f>
        <v/>
      </c>
      <c r="V43" s="7">
        <f>IF(E43&gt;0, P43/E43, 0)</f>
        <v/>
      </c>
    </row>
    <row r="44" ht="19" customHeight="1">
      <c r="A44" s="35" t="inlineStr">
        <is>
          <t>15507</t>
        </is>
      </c>
      <c r="B44" s="35" t="inlineStr">
        <is>
          <t>MDLZ</t>
        </is>
      </c>
      <c r="C44" s="5" t="inlineStr">
        <is>
          <t>Милка 46 г крем с лешников вкус и бисквитка</t>
        </is>
      </c>
      <c r="D44" s="24" t="n">
        <v>193</v>
      </c>
      <c r="E44" s="6" t="n">
        <v>196.3718728110316</v>
      </c>
      <c r="F44" s="6" t="n">
        <v>127.2963396614225</v>
      </c>
      <c r="G44" s="6">
        <f>E44-F44</f>
        <v/>
      </c>
      <c r="H44" s="36" t="n">
        <v>0.66</v>
      </c>
      <c r="I44" s="36">
        <f>IF(B44="MDLZ", H44*(1-0.068), H44*(1-0.040))</f>
        <v/>
      </c>
      <c r="J44" s="36" t="n">
        <v>0.55</v>
      </c>
      <c r="K44" s="6">
        <f>D44*H44</f>
        <v/>
      </c>
      <c r="L44" s="6">
        <f>D44*I44</f>
        <v/>
      </c>
      <c r="M44" s="6">
        <f>D44*J44</f>
        <v/>
      </c>
      <c r="N44" s="6">
        <f>E44-K44</f>
        <v/>
      </c>
      <c r="O44" s="6">
        <f>E44-L44</f>
        <v/>
      </c>
      <c r="P44" s="6">
        <f>E44-M44</f>
        <v/>
      </c>
      <c r="Q44" s="8">
        <f>K44-M44</f>
        <v/>
      </c>
      <c r="R44" s="8">
        <f>L44-M44</f>
        <v/>
      </c>
      <c r="S44" s="7">
        <f>IF(E44&gt;0, G44/E44, 0)</f>
        <v/>
      </c>
      <c r="T44" s="7">
        <f>IF(E44&gt;0, N44/E44, 0)</f>
        <v/>
      </c>
      <c r="U44" s="7">
        <f>IF(E44&gt;0, O44/E44, 0)</f>
        <v/>
      </c>
      <c r="V44" s="7">
        <f>IF(E44&gt;0, P44/E44, 0)</f>
        <v/>
      </c>
    </row>
    <row r="45" ht="19" customHeight="1">
      <c r="A45" s="35" t="inlineStr">
        <is>
          <t>18039</t>
        </is>
      </c>
      <c r="B45" s="35" t="inlineStr">
        <is>
          <t>MDLZ</t>
        </is>
      </c>
      <c r="C45" s="5" t="inlineStr">
        <is>
          <t>Б-ти Милка Малина 147гр.</t>
        </is>
      </c>
      <c r="D45" s="24" t="n">
        <v>80</v>
      </c>
      <c r="E45" s="6" t="n">
        <v>195.9270488743909</v>
      </c>
      <c r="F45" s="6" t="n">
        <v>134.1629896258877</v>
      </c>
      <c r="G45" s="6">
        <f>E45-F45</f>
        <v/>
      </c>
      <c r="H45" s="36" t="n">
        <v>1.68</v>
      </c>
      <c r="I45" s="36">
        <f>IF(B45="MDLZ", H45*(1-0.068), H45*(1-0.040))</f>
        <v/>
      </c>
      <c r="J45" s="36" t="n">
        <v>1.34</v>
      </c>
      <c r="K45" s="6">
        <f>D45*H45</f>
        <v/>
      </c>
      <c r="L45" s="6">
        <f>D45*I45</f>
        <v/>
      </c>
      <c r="M45" s="6">
        <f>D45*J45</f>
        <v/>
      </c>
      <c r="N45" s="6">
        <f>E45-K45</f>
        <v/>
      </c>
      <c r="O45" s="6">
        <f>E45-L45</f>
        <v/>
      </c>
      <c r="P45" s="6">
        <f>E45-M45</f>
        <v/>
      </c>
      <c r="Q45" s="8">
        <f>K45-M45</f>
        <v/>
      </c>
      <c r="R45" s="8">
        <f>L45-M45</f>
        <v/>
      </c>
      <c r="S45" s="7">
        <f>IF(E45&gt;0, G45/E45, 0)</f>
        <v/>
      </c>
      <c r="T45" s="7">
        <f>IF(E45&gt;0, N45/E45, 0)</f>
        <v/>
      </c>
      <c r="U45" s="7">
        <f>IF(E45&gt;0, O45/E45, 0)</f>
        <v/>
      </c>
      <c r="V45" s="7">
        <f>IF(E45&gt;0, P45/E45, 0)</f>
        <v/>
      </c>
    </row>
    <row r="46" ht="19" customHeight="1">
      <c r="A46" s="35" t="inlineStr">
        <is>
          <t>630285</t>
        </is>
      </c>
      <c r="B46" s="35" t="inlineStr">
        <is>
          <t>MDLZ</t>
        </is>
      </c>
      <c r="C46" s="5" t="inlineStr">
        <is>
          <t>Милка млян лешник 90 гр. НОВ</t>
        </is>
      </c>
      <c r="D46" s="24" t="n">
        <v>77</v>
      </c>
      <c r="E46" s="6" t="n">
        <v>193.9074459436659</v>
      </c>
      <c r="F46" s="6" t="n">
        <v>136.6325294120655</v>
      </c>
      <c r="G46" s="6">
        <f>E46-F46</f>
        <v/>
      </c>
      <c r="H46" s="36" t="n">
        <v>2.1</v>
      </c>
      <c r="I46" s="36">
        <f>IF(B46="MDLZ", H46*(1-0.068), H46*(1-0.040))</f>
        <v/>
      </c>
      <c r="J46" s="36" t="n">
        <v>1.09</v>
      </c>
      <c r="K46" s="6">
        <f>D46*H46</f>
        <v/>
      </c>
      <c r="L46" s="6">
        <f>D46*I46</f>
        <v/>
      </c>
      <c r="M46" s="6">
        <f>D46*J46</f>
        <v/>
      </c>
      <c r="N46" s="6">
        <f>E46-K46</f>
        <v/>
      </c>
      <c r="O46" s="6">
        <f>E46-L46</f>
        <v/>
      </c>
      <c r="P46" s="6">
        <f>E46-M46</f>
        <v/>
      </c>
      <c r="Q46" s="8">
        <f>K46-M46</f>
        <v/>
      </c>
      <c r="R46" s="8">
        <f>L46-M46</f>
        <v/>
      </c>
      <c r="S46" s="7">
        <f>IF(E46&gt;0, G46/E46, 0)</f>
        <v/>
      </c>
      <c r="T46" s="7">
        <f>IF(E46&gt;0, N46/E46, 0)</f>
        <v/>
      </c>
      <c r="U46" s="7">
        <f>IF(E46&gt;0, O46/E46, 0)</f>
        <v/>
      </c>
      <c r="V46" s="7">
        <f>IF(E46&gt;0, P46/E46, 0)</f>
        <v/>
      </c>
    </row>
    <row r="47" ht="19" customHeight="1">
      <c r="A47" s="35" t="inlineStr">
        <is>
          <t>332</t>
        </is>
      </c>
      <c r="B47" s="35" t="inlineStr">
        <is>
          <t>MDLZ</t>
        </is>
      </c>
      <c r="C47" s="5" t="inlineStr">
        <is>
          <t>Сушард Аида 117 гр.</t>
        </is>
      </c>
      <c r="D47" s="24" t="n">
        <v>49</v>
      </c>
      <c r="E47" s="6" t="n">
        <v>188.9274630208147</v>
      </c>
      <c r="F47" s="6" t="n">
        <v>142.1289171349248</v>
      </c>
      <c r="G47" s="6">
        <f>E47-F47</f>
        <v/>
      </c>
      <c r="H47" s="36" t="n">
        <v>3.264</v>
      </c>
      <c r="I47" s="36">
        <f>IF(B47="MDLZ", H47*(1-0.068), H47*(1-0.040))</f>
        <v/>
      </c>
      <c r="J47" s="36" t="n">
        <v>2.79</v>
      </c>
      <c r="K47" s="6">
        <f>D47*H47</f>
        <v/>
      </c>
      <c r="L47" s="6">
        <f>D47*I47</f>
        <v/>
      </c>
      <c r="M47" s="6">
        <f>D47*J47</f>
        <v/>
      </c>
      <c r="N47" s="6">
        <f>E47-K47</f>
        <v/>
      </c>
      <c r="O47" s="6">
        <f>E47-L47</f>
        <v/>
      </c>
      <c r="P47" s="6">
        <f>E47-M47</f>
        <v/>
      </c>
      <c r="Q47" s="8">
        <f>K47-M47</f>
        <v/>
      </c>
      <c r="R47" s="8">
        <f>L47-M47</f>
        <v/>
      </c>
      <c r="S47" s="7">
        <f>IF(E47&gt;0, G47/E47, 0)</f>
        <v/>
      </c>
      <c r="T47" s="7">
        <f>IF(E47&gt;0, N47/E47, 0)</f>
        <v/>
      </c>
      <c r="U47" s="7">
        <f>IF(E47&gt;0, O47/E47, 0)</f>
        <v/>
      </c>
      <c r="V47" s="7">
        <f>IF(E47&gt;0, P47/E47, 0)</f>
        <v/>
      </c>
    </row>
    <row r="48" ht="19" customHeight="1">
      <c r="A48" s="35" t="inlineStr">
        <is>
          <t>13279</t>
        </is>
      </c>
      <c r="B48" s="35" t="inlineStr">
        <is>
          <t>MDLZ</t>
        </is>
      </c>
      <c r="C48" s="5" t="inlineStr">
        <is>
          <t>Б-ти Милка Лила Stix 112гр.</t>
        </is>
      </c>
      <c r="D48" s="24" t="n">
        <v>77</v>
      </c>
      <c r="E48" s="6" t="n">
        <v>188.5797845416013</v>
      </c>
      <c r="F48" s="6" t="n">
        <v>125.874948231697</v>
      </c>
      <c r="G48" s="6">
        <f>E48-F48</f>
        <v/>
      </c>
      <c r="H48" s="36" t="n">
        <v>1.68</v>
      </c>
      <c r="I48" s="36">
        <f>IF(B48="MDLZ", H48*(1-0.068), H48*(1-0.040))</f>
        <v/>
      </c>
      <c r="J48" s="36" t="n">
        <v>1.34</v>
      </c>
      <c r="K48" s="6">
        <f>D48*H48</f>
        <v/>
      </c>
      <c r="L48" s="6">
        <f>D48*I48</f>
        <v/>
      </c>
      <c r="M48" s="6">
        <f>D48*J48</f>
        <v/>
      </c>
      <c r="N48" s="6">
        <f>E48-K48</f>
        <v/>
      </c>
      <c r="O48" s="6">
        <f>E48-L48</f>
        <v/>
      </c>
      <c r="P48" s="6">
        <f>E48-M48</f>
        <v/>
      </c>
      <c r="Q48" s="8">
        <f>K48-M48</f>
        <v/>
      </c>
      <c r="R48" s="8">
        <f>L48-M48</f>
        <v/>
      </c>
      <c r="S48" s="7">
        <f>IF(E48&gt;0, G48/E48, 0)</f>
        <v/>
      </c>
      <c r="T48" s="7">
        <f>IF(E48&gt;0, N48/E48, 0)</f>
        <v/>
      </c>
      <c r="U48" s="7">
        <f>IF(E48&gt;0, O48/E48, 0)</f>
        <v/>
      </c>
      <c r="V48" s="7">
        <f>IF(E48&gt;0, P48/E48, 0)</f>
        <v/>
      </c>
    </row>
    <row r="49" ht="19" customHeight="1">
      <c r="A49" s="35" t="inlineStr">
        <is>
          <t>6704</t>
        </is>
      </c>
      <c r="B49" s="35" t="inlineStr">
        <is>
          <t>CHIPITA</t>
        </is>
      </c>
      <c r="C49" s="5" t="inlineStr">
        <is>
          <t>7ДЕЙС КРОАСАН ДВОЕН КРЕМ ВАНИЛИЯ И ВИШНА 92ГРХ20КШ</t>
        </is>
      </c>
      <c r="D49" s="24" t="n">
        <v>203</v>
      </c>
      <c r="E49" s="6" t="n">
        <v>185.7881308702699</v>
      </c>
      <c r="F49" s="6" t="n">
        <v>133.4625197486489</v>
      </c>
      <c r="G49" s="6">
        <f>E49-F49</f>
        <v/>
      </c>
      <c r="H49" s="36" t="n">
        <v>0.672</v>
      </c>
      <c r="I49" s="36">
        <f>IF(B49="MDLZ", H49*(1-0.068), H49*(1-0.040))</f>
        <v/>
      </c>
      <c r="J49" s="36" t="n">
        <v>0.59</v>
      </c>
      <c r="K49" s="6">
        <f>D49*H49</f>
        <v/>
      </c>
      <c r="L49" s="6">
        <f>D49*I49</f>
        <v/>
      </c>
      <c r="M49" s="6">
        <f>D49*J49</f>
        <v/>
      </c>
      <c r="N49" s="6">
        <f>E49-K49</f>
        <v/>
      </c>
      <c r="O49" s="6">
        <f>E49-L49</f>
        <v/>
      </c>
      <c r="P49" s="6">
        <f>E49-M49</f>
        <v/>
      </c>
      <c r="Q49" s="8">
        <f>K49-M49</f>
        <v/>
      </c>
      <c r="R49" s="8">
        <f>L49-M49</f>
        <v/>
      </c>
      <c r="S49" s="7">
        <f>IF(E49&gt;0, G49/E49, 0)</f>
        <v/>
      </c>
      <c r="T49" s="7">
        <f>IF(E49&gt;0, N49/E49, 0)</f>
        <v/>
      </c>
      <c r="U49" s="7">
        <f>IF(E49&gt;0, O49/E49, 0)</f>
        <v/>
      </c>
      <c r="V49" s="7">
        <f>IF(E49&gt;0, P49/E49, 0)</f>
        <v/>
      </c>
    </row>
    <row r="50" ht="19" customHeight="1">
      <c r="A50" s="35" t="inlineStr">
        <is>
          <t>13218</t>
        </is>
      </c>
      <c r="B50" s="35" t="inlineStr">
        <is>
          <t>MDLZ</t>
        </is>
      </c>
      <c r="C50" s="5" t="inlineStr">
        <is>
          <t>Своге екстра какао 65%  какао 80гр.</t>
        </is>
      </c>
      <c r="D50" s="24" t="n">
        <v>101</v>
      </c>
      <c r="E50" s="6" t="n">
        <v>180.2252752028551</v>
      </c>
      <c r="F50" s="6" t="n">
        <v>130.1340096020616</v>
      </c>
      <c r="G50" s="6">
        <f>E50-F50</f>
        <v/>
      </c>
      <c r="H50" s="36" t="n">
        <v>1.284</v>
      </c>
      <c r="I50" s="36">
        <f>IF(B50="MDLZ", H50*(1-0.068), H50*(1-0.040))</f>
        <v/>
      </c>
      <c r="J50" s="36" t="n">
        <v>1.09</v>
      </c>
      <c r="K50" s="6">
        <f>D50*H50</f>
        <v/>
      </c>
      <c r="L50" s="6">
        <f>D50*I50</f>
        <v/>
      </c>
      <c r="M50" s="6">
        <f>D50*J50</f>
        <v/>
      </c>
      <c r="N50" s="6">
        <f>E50-K50</f>
        <v/>
      </c>
      <c r="O50" s="6">
        <f>E50-L50</f>
        <v/>
      </c>
      <c r="P50" s="6">
        <f>E50-M50</f>
        <v/>
      </c>
      <c r="Q50" s="8">
        <f>K50-M50</f>
        <v/>
      </c>
      <c r="R50" s="8">
        <f>L50-M50</f>
        <v/>
      </c>
      <c r="S50" s="7">
        <f>IF(E50&gt;0, G50/E50, 0)</f>
        <v/>
      </c>
      <c r="T50" s="7">
        <f>IF(E50&gt;0, N50/E50, 0)</f>
        <v/>
      </c>
      <c r="U50" s="7">
        <f>IF(E50&gt;0, O50/E50, 0)</f>
        <v/>
      </c>
      <c r="V50" s="7">
        <f>IF(E50&gt;0, P50/E50, 0)</f>
        <v/>
      </c>
    </row>
    <row r="51" ht="19" customHeight="1">
      <c r="A51" s="35" t="inlineStr">
        <is>
          <t>892</t>
        </is>
      </c>
      <c r="B51" s="35" t="inlineStr">
        <is>
          <t>MDLZ</t>
        </is>
      </c>
      <c r="C51" s="5" t="inlineStr">
        <is>
          <t>Милка Лотус Бискоф 90г</t>
        </is>
      </c>
      <c r="D51" s="24" t="n">
        <v>87</v>
      </c>
      <c r="E51" s="6" t="n">
        <v>179.018626363232</v>
      </c>
      <c r="F51" s="6" t="n">
        <v>146.0403000260759</v>
      </c>
      <c r="G51" s="6">
        <f>E51-F51</f>
        <v/>
      </c>
      <c r="H51" s="36" t="n">
        <v>1.992</v>
      </c>
      <c r="I51" s="36">
        <f>IF(B51="MDLZ", H51*(1-0.068), H51*(1-0.040))</f>
        <v/>
      </c>
      <c r="J51" s="36" t="n">
        <v>1.09</v>
      </c>
      <c r="K51" s="6">
        <f>D51*H51</f>
        <v/>
      </c>
      <c r="L51" s="6">
        <f>D51*I51</f>
        <v/>
      </c>
      <c r="M51" s="6">
        <f>D51*J51</f>
        <v/>
      </c>
      <c r="N51" s="6">
        <f>E51-K51</f>
        <v/>
      </c>
      <c r="O51" s="6">
        <f>E51-L51</f>
        <v/>
      </c>
      <c r="P51" s="6">
        <f>E51-M51</f>
        <v/>
      </c>
      <c r="Q51" s="8">
        <f>K51-M51</f>
        <v/>
      </c>
      <c r="R51" s="8">
        <f>L51-M51</f>
        <v/>
      </c>
      <c r="S51" s="7">
        <f>IF(E51&gt;0, G51/E51, 0)</f>
        <v/>
      </c>
      <c r="T51" s="7">
        <f>IF(E51&gt;0, N51/E51, 0)</f>
        <v/>
      </c>
      <c r="U51" s="7">
        <f>IF(E51&gt;0, O51/E51, 0)</f>
        <v/>
      </c>
      <c r="V51" s="7">
        <f>IF(E51&gt;0, P51/E51, 0)</f>
        <v/>
      </c>
    </row>
    <row r="52" ht="19" customHeight="1">
      <c r="A52" s="35" t="inlineStr">
        <is>
          <t>11928</t>
        </is>
      </c>
      <c r="B52" s="35" t="inlineStr">
        <is>
          <t>CHIPITA</t>
        </is>
      </c>
      <c r="C52" s="5" t="inlineStr">
        <is>
          <t>7ДЕЙС КРОАСАН ДВОЕН КРЕМ КАКАО И ВАНИЛИЯ 92ГРХ20КШ</t>
        </is>
      </c>
      <c r="D52" s="24" t="n">
        <v>195</v>
      </c>
      <c r="E52" s="6" t="n">
        <v>178.46643113154</v>
      </c>
      <c r="F52" s="6" t="n">
        <v>128.9222478436265</v>
      </c>
      <c r="G52" s="6">
        <f>E52-F52</f>
        <v/>
      </c>
      <c r="H52" s="36" t="n">
        <v>0.672</v>
      </c>
      <c r="I52" s="36">
        <f>IF(B52="MDLZ", H52*(1-0.068), H52*(1-0.040))</f>
        <v/>
      </c>
      <c r="J52" s="36" t="n">
        <v>0.59</v>
      </c>
      <c r="K52" s="6">
        <f>D52*H52</f>
        <v/>
      </c>
      <c r="L52" s="6">
        <f>D52*I52</f>
        <v/>
      </c>
      <c r="M52" s="6">
        <f>D52*J52</f>
        <v/>
      </c>
      <c r="N52" s="6">
        <f>E52-K52</f>
        <v/>
      </c>
      <c r="O52" s="6">
        <f>E52-L52</f>
        <v/>
      </c>
      <c r="P52" s="6">
        <f>E52-M52</f>
        <v/>
      </c>
      <c r="Q52" s="8">
        <f>K52-M52</f>
        <v/>
      </c>
      <c r="R52" s="8">
        <f>L52-M52</f>
        <v/>
      </c>
      <c r="S52" s="7">
        <f>IF(E52&gt;0, G52/E52, 0)</f>
        <v/>
      </c>
      <c r="T52" s="7">
        <f>IF(E52&gt;0, N52/E52, 0)</f>
        <v/>
      </c>
      <c r="U52" s="7">
        <f>IF(E52&gt;0, O52/E52, 0)</f>
        <v/>
      </c>
      <c r="V52" s="7">
        <f>IF(E52&gt;0, P52/E52, 0)</f>
        <v/>
      </c>
    </row>
    <row r="53" ht="19" customHeight="1">
      <c r="A53" s="35" t="inlineStr">
        <is>
          <t>633053</t>
        </is>
      </c>
      <c r="B53" s="35" t="inlineStr">
        <is>
          <t>MDLZ</t>
        </is>
      </c>
      <c r="C53" s="5" t="inlineStr">
        <is>
          <t>Тоблерон млечен 100гр.</t>
        </is>
      </c>
      <c r="D53" s="24" t="n">
        <v>54</v>
      </c>
      <c r="E53" s="6" t="n">
        <v>173.1541084859114</v>
      </c>
      <c r="F53" s="6" t="n">
        <v>123.9985070277069</v>
      </c>
      <c r="G53" s="6">
        <f>E53-F53</f>
        <v/>
      </c>
      <c r="H53" s="36" t="n">
        <v>2.4</v>
      </c>
      <c r="I53" s="36">
        <f>IF(B53="MDLZ", H53*(1-0.068), H53*(1-0.040))</f>
        <v/>
      </c>
      <c r="J53" s="36" t="n">
        <v>1.99</v>
      </c>
      <c r="K53" s="6">
        <f>D53*H53</f>
        <v/>
      </c>
      <c r="L53" s="6">
        <f>D53*I53</f>
        <v/>
      </c>
      <c r="M53" s="6">
        <f>D53*J53</f>
        <v/>
      </c>
      <c r="N53" s="6">
        <f>E53-K53</f>
        <v/>
      </c>
      <c r="O53" s="6">
        <f>E53-L53</f>
        <v/>
      </c>
      <c r="P53" s="6">
        <f>E53-M53</f>
        <v/>
      </c>
      <c r="Q53" s="8">
        <f>K53-M53</f>
        <v/>
      </c>
      <c r="R53" s="8">
        <f>L53-M53</f>
        <v/>
      </c>
      <c r="S53" s="7">
        <f>IF(E53&gt;0, G53/E53, 0)</f>
        <v/>
      </c>
      <c r="T53" s="7">
        <f>IF(E53&gt;0, N53/E53, 0)</f>
        <v/>
      </c>
      <c r="U53" s="7">
        <f>IF(E53&gt;0, O53/E53, 0)</f>
        <v/>
      </c>
      <c r="V53" s="7">
        <f>IF(E53&gt;0, P53/E53, 0)</f>
        <v/>
      </c>
    </row>
    <row r="54" ht="19" customHeight="1">
      <c r="A54" s="35" t="inlineStr">
        <is>
          <t>13845</t>
        </is>
      </c>
      <c r="B54" s="35" t="inlineStr">
        <is>
          <t>MDLZ</t>
        </is>
      </c>
      <c r="C54" s="5" t="inlineStr">
        <is>
          <t>Милка Орео 37гр.</t>
        </is>
      </c>
      <c r="D54" s="24" t="n">
        <v>166</v>
      </c>
      <c r="E54" s="6" t="n">
        <v>168.9001600343588</v>
      </c>
      <c r="F54" s="6" t="n">
        <v>109.4880434393582</v>
      </c>
      <c r="G54" s="6">
        <f>E54-F54</f>
        <v/>
      </c>
      <c r="H54" s="36" t="n">
        <v>0.66</v>
      </c>
      <c r="I54" s="36">
        <f>IF(B54="MDLZ", H54*(1-0.068), H54*(1-0.040))</f>
        <v/>
      </c>
      <c r="J54" s="36" t="n">
        <v>0.55</v>
      </c>
      <c r="K54" s="6">
        <f>D54*H54</f>
        <v/>
      </c>
      <c r="L54" s="6">
        <f>D54*I54</f>
        <v/>
      </c>
      <c r="M54" s="6">
        <f>D54*J54</f>
        <v/>
      </c>
      <c r="N54" s="6">
        <f>E54-K54</f>
        <v/>
      </c>
      <c r="O54" s="6">
        <f>E54-L54</f>
        <v/>
      </c>
      <c r="P54" s="6">
        <f>E54-M54</f>
        <v/>
      </c>
      <c r="Q54" s="8">
        <f>K54-M54</f>
        <v/>
      </c>
      <c r="R54" s="8">
        <f>L54-M54</f>
        <v/>
      </c>
      <c r="S54" s="7">
        <f>IF(E54&gt;0, G54/E54, 0)</f>
        <v/>
      </c>
      <c r="T54" s="7">
        <f>IF(E54&gt;0, N54/E54, 0)</f>
        <v/>
      </c>
      <c r="U54" s="7">
        <f>IF(E54&gt;0, O54/E54, 0)</f>
        <v/>
      </c>
      <c r="V54" s="7">
        <f>IF(E54&gt;0, P54/E54, 0)</f>
        <v/>
      </c>
    </row>
    <row r="55" ht="19" customHeight="1">
      <c r="A55" s="35" t="inlineStr">
        <is>
          <t>10147</t>
        </is>
      </c>
      <c r="B55" s="35" t="inlineStr">
        <is>
          <t>MDLZ</t>
        </is>
      </c>
      <c r="C55" s="5" t="inlineStr">
        <is>
          <t>Mилка млян лешник 250 гр. НОВ</t>
        </is>
      </c>
      <c r="D55" s="24" t="n">
        <v>26</v>
      </c>
      <c r="E55" s="6" t="n">
        <v>166.9572508858132</v>
      </c>
      <c r="F55" s="6" t="n">
        <v>119.2434925325821</v>
      </c>
      <c r="G55" s="6">
        <f>E55-F55</f>
        <v/>
      </c>
      <c r="H55" s="36" t="n">
        <v>5.892</v>
      </c>
      <c r="I55" s="36">
        <f>IF(B55="MDLZ", H55*(1-0.068), H55*(1-0.040))</f>
        <v/>
      </c>
      <c r="J55" s="36" t="n">
        <v>3.99</v>
      </c>
      <c r="K55" s="6">
        <f>D55*H55</f>
        <v/>
      </c>
      <c r="L55" s="6">
        <f>D55*I55</f>
        <v/>
      </c>
      <c r="M55" s="6">
        <f>D55*J55</f>
        <v/>
      </c>
      <c r="N55" s="6">
        <f>E55-K55</f>
        <v/>
      </c>
      <c r="O55" s="6">
        <f>E55-L55</f>
        <v/>
      </c>
      <c r="P55" s="6">
        <f>E55-M55</f>
        <v/>
      </c>
      <c r="Q55" s="8">
        <f>K55-M55</f>
        <v/>
      </c>
      <c r="R55" s="8">
        <f>L55-M55</f>
        <v/>
      </c>
      <c r="S55" s="7">
        <f>IF(E55&gt;0, G55/E55, 0)</f>
        <v/>
      </c>
      <c r="T55" s="7">
        <f>IF(E55&gt;0, N55/E55, 0)</f>
        <v/>
      </c>
      <c r="U55" s="7">
        <f>IF(E55&gt;0, O55/E55, 0)</f>
        <v/>
      </c>
      <c r="V55" s="7">
        <f>IF(E55&gt;0, P55/E55, 0)</f>
        <v/>
      </c>
    </row>
    <row r="56" ht="19" customHeight="1">
      <c r="A56" s="35" t="inlineStr">
        <is>
          <t>16858</t>
        </is>
      </c>
      <c r="B56" s="35" t="inlineStr">
        <is>
          <t>MDLZ</t>
        </is>
      </c>
      <c r="C56" s="5" t="inlineStr">
        <is>
          <t>Б-ти Милка Кукис шоколад 156гр.</t>
        </is>
      </c>
      <c r="D56" s="24" t="n">
        <v>51</v>
      </c>
      <c r="E56" s="6" t="n">
        <v>162.4067531431668</v>
      </c>
      <c r="F56" s="6" t="n">
        <v>120.8336102831023</v>
      </c>
      <c r="G56" s="6">
        <f>E56-F56</f>
        <v/>
      </c>
      <c r="H56" s="36" t="n">
        <v>2.484</v>
      </c>
      <c r="I56" s="36">
        <f>IF(B56="MDLZ", H56*(1-0.068), H56*(1-0.040))</f>
        <v/>
      </c>
      <c r="J56" s="36" t="n">
        <v>1.94</v>
      </c>
      <c r="K56" s="6">
        <f>D56*H56</f>
        <v/>
      </c>
      <c r="L56" s="6">
        <f>D56*I56</f>
        <v/>
      </c>
      <c r="M56" s="6">
        <f>D56*J56</f>
        <v/>
      </c>
      <c r="N56" s="6">
        <f>E56-K56</f>
        <v/>
      </c>
      <c r="O56" s="6">
        <f>E56-L56</f>
        <v/>
      </c>
      <c r="P56" s="6">
        <f>E56-M56</f>
        <v/>
      </c>
      <c r="Q56" s="8">
        <f>K56-M56</f>
        <v/>
      </c>
      <c r="R56" s="8">
        <f>L56-M56</f>
        <v/>
      </c>
      <c r="S56" s="7">
        <f>IF(E56&gt;0, G56/E56, 0)</f>
        <v/>
      </c>
      <c r="T56" s="7">
        <f>IF(E56&gt;0, N56/E56, 0)</f>
        <v/>
      </c>
      <c r="U56" s="7">
        <f>IF(E56&gt;0, O56/E56, 0)</f>
        <v/>
      </c>
      <c r="V56" s="7">
        <f>IF(E56&gt;0, P56/E56, 0)</f>
        <v/>
      </c>
    </row>
    <row r="57" ht="19" customHeight="1">
      <c r="A57" s="35" t="inlineStr">
        <is>
          <t>18037</t>
        </is>
      </c>
      <c r="B57" s="35" t="inlineStr">
        <is>
          <t>MDLZ</t>
        </is>
      </c>
      <c r="C57" s="5" t="inlineStr">
        <is>
          <t>Милка екстра какао 90 гр. НОВ</t>
        </is>
      </c>
      <c r="D57" s="24" t="n">
        <v>63</v>
      </c>
      <c r="E57" s="6" t="n">
        <v>160.7348286916552</v>
      </c>
      <c r="F57" s="6" t="n">
        <v>116.6614685325412</v>
      </c>
      <c r="G57" s="6">
        <f>E57-F57</f>
        <v/>
      </c>
      <c r="H57" s="36" t="n">
        <v>2.1</v>
      </c>
      <c r="I57" s="36">
        <f>IF(B57="MDLZ", H57*(1-0.068), H57*(1-0.040))</f>
        <v/>
      </c>
      <c r="J57" s="36" t="n">
        <v>1.09</v>
      </c>
      <c r="K57" s="6">
        <f>D57*H57</f>
        <v/>
      </c>
      <c r="L57" s="6">
        <f>D57*I57</f>
        <v/>
      </c>
      <c r="M57" s="6">
        <f>D57*J57</f>
        <v/>
      </c>
      <c r="N57" s="6">
        <f>E57-K57</f>
        <v/>
      </c>
      <c r="O57" s="6">
        <f>E57-L57</f>
        <v/>
      </c>
      <c r="P57" s="6">
        <f>E57-M57</f>
        <v/>
      </c>
      <c r="Q57" s="8">
        <f>K57-M57</f>
        <v/>
      </c>
      <c r="R57" s="8">
        <f>L57-M57</f>
        <v/>
      </c>
      <c r="S57" s="7">
        <f>IF(E57&gt;0, G57/E57, 0)</f>
        <v/>
      </c>
      <c r="T57" s="7">
        <f>IF(E57&gt;0, N57/E57, 0)</f>
        <v/>
      </c>
      <c r="U57" s="7">
        <f>IF(E57&gt;0, O57/E57, 0)</f>
        <v/>
      </c>
      <c r="V57" s="7">
        <f>IF(E57&gt;0, P57/E57, 0)</f>
        <v/>
      </c>
    </row>
    <row r="58" ht="19" customHeight="1">
      <c r="A58" s="35" t="inlineStr">
        <is>
          <t>633070</t>
        </is>
      </c>
      <c r="B58" s="35" t="inlineStr">
        <is>
          <t>MDLZ</t>
        </is>
      </c>
      <c r="C58" s="5" t="inlineStr">
        <is>
          <t>Милка Ягода  100гр.</t>
        </is>
      </c>
      <c r="D58" s="24" t="n">
        <v>75</v>
      </c>
      <c r="E58" s="6" t="n">
        <v>153.5153873291646</v>
      </c>
      <c r="F58" s="6" t="n">
        <v>109.8459477561956</v>
      </c>
      <c r="G58" s="6">
        <f>E58-F58</f>
        <v/>
      </c>
      <c r="H58" s="36" t="n">
        <v>1.992</v>
      </c>
      <c r="I58" s="36">
        <f>IF(B58="MDLZ", H58*(1-0.068), H58*(1-0.040))</f>
        <v/>
      </c>
      <c r="J58" s="36" t="n">
        <v>1.09</v>
      </c>
      <c r="K58" s="6">
        <f>D58*H58</f>
        <v/>
      </c>
      <c r="L58" s="6">
        <f>D58*I58</f>
        <v/>
      </c>
      <c r="M58" s="6">
        <f>D58*J58</f>
        <v/>
      </c>
      <c r="N58" s="6">
        <f>E58-K58</f>
        <v/>
      </c>
      <c r="O58" s="6">
        <f>E58-L58</f>
        <v/>
      </c>
      <c r="P58" s="6">
        <f>E58-M58</f>
        <v/>
      </c>
      <c r="Q58" s="8">
        <f>K58-M58</f>
        <v/>
      </c>
      <c r="R58" s="8">
        <f>L58-M58</f>
        <v/>
      </c>
      <c r="S58" s="7">
        <f>IF(E58&gt;0, G58/E58, 0)</f>
        <v/>
      </c>
      <c r="T58" s="7">
        <f>IF(E58&gt;0, N58/E58, 0)</f>
        <v/>
      </c>
      <c r="U58" s="7">
        <f>IF(E58&gt;0, O58/E58, 0)</f>
        <v/>
      </c>
      <c r="V58" s="7">
        <f>IF(E58&gt;0, P58/E58, 0)</f>
        <v/>
      </c>
    </row>
    <row r="59" ht="19" customHeight="1">
      <c r="A59" s="35" t="inlineStr">
        <is>
          <t>2974</t>
        </is>
      </c>
      <c r="B59" s="35" t="inlineStr">
        <is>
          <t>MDLZ</t>
        </is>
      </c>
      <c r="C59" s="5" t="inlineStr">
        <is>
          <t>Белвита  Лешник и Мед 50гр.</t>
        </is>
      </c>
      <c r="D59" s="24" t="n">
        <v>196</v>
      </c>
      <c r="E59" s="6" t="n">
        <v>149.3176809845436</v>
      </c>
      <c r="F59" s="6" t="n">
        <v>100.2132087144588</v>
      </c>
      <c r="G59" s="6">
        <f>E59-F59</f>
        <v/>
      </c>
      <c r="H59" s="36" t="n">
        <v>0.504</v>
      </c>
      <c r="I59" s="36">
        <f>IF(B59="MDLZ", H59*(1-0.068), H59*(1-0.040))</f>
        <v/>
      </c>
      <c r="J59" s="36" t="n">
        <v>0.42</v>
      </c>
      <c r="K59" s="6">
        <f>D59*H59</f>
        <v/>
      </c>
      <c r="L59" s="6">
        <f>D59*I59</f>
        <v/>
      </c>
      <c r="M59" s="6">
        <f>D59*J59</f>
        <v/>
      </c>
      <c r="N59" s="6">
        <f>E59-K59</f>
        <v/>
      </c>
      <c r="O59" s="6">
        <f>E59-L59</f>
        <v/>
      </c>
      <c r="P59" s="6">
        <f>E59-M59</f>
        <v/>
      </c>
      <c r="Q59" s="8">
        <f>K59-M59</f>
        <v/>
      </c>
      <c r="R59" s="8">
        <f>L59-M59</f>
        <v/>
      </c>
      <c r="S59" s="7">
        <f>IF(E59&gt;0, G59/E59, 0)</f>
        <v/>
      </c>
      <c r="T59" s="7">
        <f>IF(E59&gt;0, N59/E59, 0)</f>
        <v/>
      </c>
      <c r="U59" s="7">
        <f>IF(E59&gt;0, O59/E59, 0)</f>
        <v/>
      </c>
      <c r="V59" s="7">
        <f>IF(E59&gt;0, P59/E59, 0)</f>
        <v/>
      </c>
    </row>
    <row r="60" ht="19" customHeight="1">
      <c r="A60" s="35" t="inlineStr">
        <is>
          <t>17314</t>
        </is>
      </c>
      <c r="B60" s="35" t="inlineStr">
        <is>
          <t>MDLZ</t>
        </is>
      </c>
      <c r="C60" s="5" t="inlineStr">
        <is>
          <t>Б-ти Милка Шокоминис 150гр.</t>
        </is>
      </c>
      <c r="D60" s="24" t="n">
        <v>65</v>
      </c>
      <c r="E60" s="6" t="n">
        <v>149.2205355271164</v>
      </c>
      <c r="F60" s="6" t="n">
        <v>109.0074290710338</v>
      </c>
      <c r="G60" s="6">
        <f>E60-F60</f>
        <v/>
      </c>
      <c r="H60" s="36" t="n">
        <v>1.68</v>
      </c>
      <c r="I60" s="36">
        <f>IF(B60="MDLZ", H60*(1-0.068), H60*(1-0.040))</f>
        <v/>
      </c>
      <c r="J60" s="36" t="n">
        <v>1.34</v>
      </c>
      <c r="K60" s="6">
        <f>D60*H60</f>
        <v/>
      </c>
      <c r="L60" s="6">
        <f>D60*I60</f>
        <v/>
      </c>
      <c r="M60" s="6">
        <f>D60*J60</f>
        <v/>
      </c>
      <c r="N60" s="6">
        <f>E60-K60</f>
        <v/>
      </c>
      <c r="O60" s="6">
        <f>E60-L60</f>
        <v/>
      </c>
      <c r="P60" s="6">
        <f>E60-M60</f>
        <v/>
      </c>
      <c r="Q60" s="8">
        <f>K60-M60</f>
        <v/>
      </c>
      <c r="R60" s="8">
        <f>L60-M60</f>
        <v/>
      </c>
      <c r="S60" s="7">
        <f>IF(E60&gt;0, G60/E60, 0)</f>
        <v/>
      </c>
      <c r="T60" s="7">
        <f>IF(E60&gt;0, N60/E60, 0)</f>
        <v/>
      </c>
      <c r="U60" s="7">
        <f>IF(E60&gt;0, O60/E60, 0)</f>
        <v/>
      </c>
      <c r="V60" s="7">
        <f>IF(E60&gt;0, P60/E60, 0)</f>
        <v/>
      </c>
    </row>
    <row r="61" ht="19" customHeight="1">
      <c r="A61" s="35" t="inlineStr">
        <is>
          <t>2930</t>
        </is>
      </c>
      <c r="B61" s="35" t="inlineStr">
        <is>
          <t>MDLZ</t>
        </is>
      </c>
      <c r="C61" s="5" t="inlineStr">
        <is>
          <t>Белвита  Шоколад 50гр.</t>
        </is>
      </c>
      <c r="D61" s="24" t="n">
        <v>207</v>
      </c>
      <c r="E61" s="6" t="n">
        <v>146.0556387825118</v>
      </c>
      <c r="F61" s="6" t="n">
        <v>105.8374194076172</v>
      </c>
      <c r="G61" s="6">
        <f>E61-F61</f>
        <v/>
      </c>
      <c r="H61" s="36" t="n">
        <v>0.504</v>
      </c>
      <c r="I61" s="36">
        <f>IF(B61="MDLZ", H61*(1-0.068), H61*(1-0.040))</f>
        <v/>
      </c>
      <c r="J61" s="36" t="n">
        <v>0.42</v>
      </c>
      <c r="K61" s="6">
        <f>D61*H61</f>
        <v/>
      </c>
      <c r="L61" s="6">
        <f>D61*I61</f>
        <v/>
      </c>
      <c r="M61" s="6">
        <f>D61*J61</f>
        <v/>
      </c>
      <c r="N61" s="6">
        <f>E61-K61</f>
        <v/>
      </c>
      <c r="O61" s="6">
        <f>E61-L61</f>
        <v/>
      </c>
      <c r="P61" s="6">
        <f>E61-M61</f>
        <v/>
      </c>
      <c r="Q61" s="8">
        <f>K61-M61</f>
        <v/>
      </c>
      <c r="R61" s="8">
        <f>L61-M61</f>
        <v/>
      </c>
      <c r="S61" s="7">
        <f>IF(E61&gt;0, G61/E61, 0)</f>
        <v/>
      </c>
      <c r="T61" s="7">
        <f>IF(E61&gt;0, N61/E61, 0)</f>
        <v/>
      </c>
      <c r="U61" s="7">
        <f>IF(E61&gt;0, O61/E61, 0)</f>
        <v/>
      </c>
      <c r="V61" s="7">
        <f>IF(E61&gt;0, P61/E61, 0)</f>
        <v/>
      </c>
    </row>
    <row r="62" ht="19" customHeight="1">
      <c r="A62" s="35" t="inlineStr">
        <is>
          <t>5148</t>
        </is>
      </c>
      <c r="B62" s="35" t="inlineStr">
        <is>
          <t>MDLZ</t>
        </is>
      </c>
      <c r="C62" s="5" t="inlineStr">
        <is>
          <t>Белвита Софт Пълнеж Шоко 50гр.</t>
        </is>
      </c>
      <c r="D62" s="24" t="n">
        <v>158</v>
      </c>
      <c r="E62" s="6" t="n">
        <v>144.6035698399145</v>
      </c>
      <c r="F62" s="6" t="n">
        <v>90.47821129648283</v>
      </c>
      <c r="G62" s="6">
        <f>E62-F62</f>
        <v/>
      </c>
      <c r="H62" s="36" t="n">
        <v>0.576</v>
      </c>
      <c r="I62" s="36">
        <f>IF(B62="MDLZ", H62*(1-0.068), H62*(1-0.040))</f>
        <v/>
      </c>
      <c r="J62" s="36" t="n">
        <v>0.49</v>
      </c>
      <c r="K62" s="6">
        <f>D62*H62</f>
        <v/>
      </c>
      <c r="L62" s="6">
        <f>D62*I62</f>
        <v/>
      </c>
      <c r="M62" s="6">
        <f>D62*J62</f>
        <v/>
      </c>
      <c r="N62" s="6">
        <f>E62-K62</f>
        <v/>
      </c>
      <c r="O62" s="6">
        <f>E62-L62</f>
        <v/>
      </c>
      <c r="P62" s="6">
        <f>E62-M62</f>
        <v/>
      </c>
      <c r="Q62" s="8">
        <f>K62-M62</f>
        <v/>
      </c>
      <c r="R62" s="8">
        <f>L62-M62</f>
        <v/>
      </c>
      <c r="S62" s="7">
        <f>IF(E62&gt;0, G62/E62, 0)</f>
        <v/>
      </c>
      <c r="T62" s="7">
        <f>IF(E62&gt;0, N62/E62, 0)</f>
        <v/>
      </c>
      <c r="U62" s="7">
        <f>IF(E62&gt;0, O62/E62, 0)</f>
        <v/>
      </c>
      <c r="V62" s="7">
        <f>IF(E62&gt;0, P62/E62, 0)</f>
        <v/>
      </c>
    </row>
    <row r="63" ht="19" customHeight="1">
      <c r="A63" s="35" t="inlineStr">
        <is>
          <t>2681</t>
        </is>
      </c>
      <c r="B63" s="35" t="inlineStr">
        <is>
          <t>MDLZ</t>
        </is>
      </c>
      <c r="C63" s="5" t="inlineStr">
        <is>
          <t>Б-ти Милка Сандвич 260гр.</t>
        </is>
      </c>
      <c r="D63" s="24" t="n">
        <v>45</v>
      </c>
      <c r="E63" s="6" t="n">
        <v>142.5532893963177</v>
      </c>
      <c r="F63" s="6" t="n">
        <v>109.922641538375</v>
      </c>
      <c r="G63" s="6">
        <f>E63-F63</f>
        <v/>
      </c>
      <c r="H63" s="36" t="n">
        <v>2.484</v>
      </c>
      <c r="I63" s="36">
        <f>IF(B63="MDLZ", H63*(1-0.068), H63*(1-0.040))</f>
        <v/>
      </c>
      <c r="J63" s="36" t="n">
        <v>1.94</v>
      </c>
      <c r="K63" s="6">
        <f>D63*H63</f>
        <v/>
      </c>
      <c r="L63" s="6">
        <f>D63*I63</f>
        <v/>
      </c>
      <c r="M63" s="6">
        <f>D63*J63</f>
        <v/>
      </c>
      <c r="N63" s="6">
        <f>E63-K63</f>
        <v/>
      </c>
      <c r="O63" s="6">
        <f>E63-L63</f>
        <v/>
      </c>
      <c r="P63" s="6">
        <f>E63-M63</f>
        <v/>
      </c>
      <c r="Q63" s="8">
        <f>K63-M63</f>
        <v/>
      </c>
      <c r="R63" s="8">
        <f>L63-M63</f>
        <v/>
      </c>
      <c r="S63" s="7">
        <f>IF(E63&gt;0, G63/E63, 0)</f>
        <v/>
      </c>
      <c r="T63" s="7">
        <f>IF(E63&gt;0, N63/E63, 0)</f>
        <v/>
      </c>
      <c r="U63" s="7">
        <f>IF(E63&gt;0, O63/E63, 0)</f>
        <v/>
      </c>
      <c r="V63" s="7">
        <f>IF(E63&gt;0, P63/E63, 0)</f>
        <v/>
      </c>
    </row>
    <row r="64" ht="19" customHeight="1">
      <c r="A64" s="35" t="inlineStr">
        <is>
          <t>17444</t>
        </is>
      </c>
      <c r="B64" s="35" t="inlineStr">
        <is>
          <t>MDLZ</t>
        </is>
      </c>
      <c r="C64" s="5" t="inlineStr">
        <is>
          <t>Милка Мини старс бял шоколад 150г</t>
        </is>
      </c>
      <c r="D64" s="24" t="n">
        <v>61</v>
      </c>
      <c r="E64" s="6" t="n">
        <v>140.0377333408323</v>
      </c>
      <c r="F64" s="6" t="n">
        <v>102.0487465679532</v>
      </c>
      <c r="G64" s="6">
        <f>E64-F64</f>
        <v/>
      </c>
      <c r="H64" s="36" t="n">
        <v>1.68</v>
      </c>
      <c r="I64" s="36">
        <f>IF(B64="MDLZ", H64*(1-0.068), H64*(1-0.040))</f>
        <v/>
      </c>
      <c r="J64" s="36" t="n">
        <v>1.34</v>
      </c>
      <c r="K64" s="6">
        <f>D64*H64</f>
        <v/>
      </c>
      <c r="L64" s="6">
        <f>D64*I64</f>
        <v/>
      </c>
      <c r="M64" s="6">
        <f>D64*J64</f>
        <v/>
      </c>
      <c r="N64" s="6">
        <f>E64-K64</f>
        <v/>
      </c>
      <c r="O64" s="6">
        <f>E64-L64</f>
        <v/>
      </c>
      <c r="P64" s="6">
        <f>E64-M64</f>
        <v/>
      </c>
      <c r="Q64" s="8">
        <f>K64-M64</f>
        <v/>
      </c>
      <c r="R64" s="8">
        <f>L64-M64</f>
        <v/>
      </c>
      <c r="S64" s="7">
        <f>IF(E64&gt;0, G64/E64, 0)</f>
        <v/>
      </c>
      <c r="T64" s="7">
        <f>IF(E64&gt;0, N64/E64, 0)</f>
        <v/>
      </c>
      <c r="U64" s="7">
        <f>IF(E64&gt;0, O64/E64, 0)</f>
        <v/>
      </c>
      <c r="V64" s="7">
        <f>IF(E64&gt;0, P64/E64, 0)</f>
        <v/>
      </c>
    </row>
    <row r="65" ht="19" customHeight="1">
      <c r="A65" s="35" t="inlineStr">
        <is>
          <t>4836</t>
        </is>
      </c>
      <c r="B65" s="35" t="inlineStr">
        <is>
          <t>MDLZ</t>
        </is>
      </c>
      <c r="C65" s="5" t="inlineStr">
        <is>
          <t>Б-ти Милка Кукис Орео 156гр.</t>
        </is>
      </c>
      <c r="D65" s="24" t="n">
        <v>44</v>
      </c>
      <c r="E65" s="6" t="n">
        <v>135.1753475506562</v>
      </c>
      <c r="F65" s="6" t="n">
        <v>102.2890537521155</v>
      </c>
      <c r="G65" s="6">
        <f>E65-F65</f>
        <v/>
      </c>
      <c r="H65" s="36" t="n">
        <v>2.484</v>
      </c>
      <c r="I65" s="36">
        <f>IF(B65="MDLZ", H65*(1-0.068), H65*(1-0.040))</f>
        <v/>
      </c>
      <c r="J65" s="36" t="n">
        <v>1.94</v>
      </c>
      <c r="K65" s="6">
        <f>D65*H65</f>
        <v/>
      </c>
      <c r="L65" s="6">
        <f>D65*I65</f>
        <v/>
      </c>
      <c r="M65" s="6">
        <f>D65*J65</f>
        <v/>
      </c>
      <c r="N65" s="6">
        <f>E65-K65</f>
        <v/>
      </c>
      <c r="O65" s="6">
        <f>E65-L65</f>
        <v/>
      </c>
      <c r="P65" s="6">
        <f>E65-M65</f>
        <v/>
      </c>
      <c r="Q65" s="8">
        <f>K65-M65</f>
        <v/>
      </c>
      <c r="R65" s="8">
        <f>L65-M65</f>
        <v/>
      </c>
      <c r="S65" s="7">
        <f>IF(E65&gt;0, G65/E65, 0)</f>
        <v/>
      </c>
      <c r="T65" s="7">
        <f>IF(E65&gt;0, N65/E65, 0)</f>
        <v/>
      </c>
      <c r="U65" s="7">
        <f>IF(E65&gt;0, O65/E65, 0)</f>
        <v/>
      </c>
      <c r="V65" s="7">
        <f>IF(E65&gt;0, P65/E65, 0)</f>
        <v/>
      </c>
    </row>
    <row r="66" ht="19" customHeight="1">
      <c r="A66" s="35" t="inlineStr">
        <is>
          <t>13314</t>
        </is>
      </c>
      <c r="B66" s="35" t="inlineStr">
        <is>
          <t>MDLZ</t>
        </is>
      </c>
      <c r="C66" s="5" t="inlineStr">
        <is>
          <t>Б-ти Милка Пълнозърнести 126гр.</t>
        </is>
      </c>
      <c r="D66" s="24" t="n">
        <v>53</v>
      </c>
      <c r="E66" s="6" t="n">
        <v>121.6721289682641</v>
      </c>
      <c r="F66" s="6" t="n">
        <v>86.77645807662221</v>
      </c>
      <c r="G66" s="6">
        <f>E66-F66</f>
        <v/>
      </c>
      <c r="H66" s="36" t="n">
        <v>1.68</v>
      </c>
      <c r="I66" s="36">
        <f>IF(B66="MDLZ", H66*(1-0.068), H66*(1-0.040))</f>
        <v/>
      </c>
      <c r="J66" s="36" t="n">
        <v>1.34</v>
      </c>
      <c r="K66" s="6">
        <f>D66*H66</f>
        <v/>
      </c>
      <c r="L66" s="6">
        <f>D66*I66</f>
        <v/>
      </c>
      <c r="M66" s="6">
        <f>D66*J66</f>
        <v/>
      </c>
      <c r="N66" s="6">
        <f>E66-K66</f>
        <v/>
      </c>
      <c r="O66" s="6">
        <f>E66-L66</f>
        <v/>
      </c>
      <c r="P66" s="6">
        <f>E66-M66</f>
        <v/>
      </c>
      <c r="Q66" s="8">
        <f>K66-M66</f>
        <v/>
      </c>
      <c r="R66" s="8">
        <f>L66-M66</f>
        <v/>
      </c>
      <c r="S66" s="7">
        <f>IF(E66&gt;0, G66/E66, 0)</f>
        <v/>
      </c>
      <c r="T66" s="7">
        <f>IF(E66&gt;0, N66/E66, 0)</f>
        <v/>
      </c>
      <c r="U66" s="7">
        <f>IF(E66&gt;0, O66/E66, 0)</f>
        <v/>
      </c>
      <c r="V66" s="7">
        <f>IF(E66&gt;0, P66/E66, 0)</f>
        <v/>
      </c>
    </row>
    <row r="67" ht="19" customHeight="1">
      <c r="A67" s="35" t="inlineStr">
        <is>
          <t>12097</t>
        </is>
      </c>
      <c r="B67" s="35" t="inlineStr">
        <is>
          <t>MDLZ</t>
        </is>
      </c>
      <c r="C67" s="5" t="inlineStr">
        <is>
          <t>Милка Цял лешник 250гр.</t>
        </is>
      </c>
      <c r="D67" s="24" t="n">
        <v>21</v>
      </c>
      <c r="E67" s="6" t="n">
        <v>120.2507375385386</v>
      </c>
      <c r="F67" s="6" t="n">
        <v>104.3700117085841</v>
      </c>
      <c r="G67" s="6">
        <f>E67-F67</f>
        <v/>
      </c>
      <c r="H67" s="36" t="n">
        <v>5.892</v>
      </c>
      <c r="I67" s="36">
        <f>IF(B67="MDLZ", H67*(1-0.068), H67*(1-0.040))</f>
        <v/>
      </c>
      <c r="J67" s="36" t="n">
        <v>3.99</v>
      </c>
      <c r="K67" s="6">
        <f>D67*H67</f>
        <v/>
      </c>
      <c r="L67" s="6">
        <f>D67*I67</f>
        <v/>
      </c>
      <c r="M67" s="6">
        <f>D67*J67</f>
        <v/>
      </c>
      <c r="N67" s="6">
        <f>E67-K67</f>
        <v/>
      </c>
      <c r="O67" s="6">
        <f>E67-L67</f>
        <v/>
      </c>
      <c r="P67" s="6">
        <f>E67-M67</f>
        <v/>
      </c>
      <c r="Q67" s="8">
        <f>K67-M67</f>
        <v/>
      </c>
      <c r="R67" s="8">
        <f>L67-M67</f>
        <v/>
      </c>
      <c r="S67" s="7">
        <f>IF(E67&gt;0, G67/E67, 0)</f>
        <v/>
      </c>
      <c r="T67" s="7">
        <f>IF(E67&gt;0, N67/E67, 0)</f>
        <v/>
      </c>
      <c r="U67" s="7">
        <f>IF(E67&gt;0, O67/E67, 0)</f>
        <v/>
      </c>
      <c r="V67" s="7">
        <f>IF(E67&gt;0, P67/E67, 0)</f>
        <v/>
      </c>
    </row>
    <row r="68" ht="19" customHeight="1">
      <c r="A68" s="35" t="inlineStr">
        <is>
          <t>16600</t>
        </is>
      </c>
      <c r="B68" s="35" t="inlineStr">
        <is>
          <t>MDLZ</t>
        </is>
      </c>
      <c r="C68" s="5" t="inlineStr">
        <is>
          <t>Б-ти Орео 176гр.</t>
        </is>
      </c>
      <c r="D68" s="24" t="n">
        <v>47</v>
      </c>
      <c r="E68" s="6" t="n">
        <v>119.9132848969491</v>
      </c>
      <c r="F68" s="6" t="n">
        <v>87.5076054667328</v>
      </c>
      <c r="G68" s="6">
        <f>E68-F68</f>
        <v/>
      </c>
      <c r="H68" s="36" t="n">
        <v>1.872</v>
      </c>
      <c r="I68" s="36">
        <f>IF(B68="MDLZ", H68*(1-0.068), H68*(1-0.040))</f>
        <v/>
      </c>
      <c r="J68" s="36" t="n">
        <v>1.55</v>
      </c>
      <c r="K68" s="6">
        <f>D68*H68</f>
        <v/>
      </c>
      <c r="L68" s="6">
        <f>D68*I68</f>
        <v/>
      </c>
      <c r="M68" s="6">
        <f>D68*J68</f>
        <v/>
      </c>
      <c r="N68" s="6">
        <f>E68-K68</f>
        <v/>
      </c>
      <c r="O68" s="6">
        <f>E68-L68</f>
        <v/>
      </c>
      <c r="P68" s="6">
        <f>E68-M68</f>
        <v/>
      </c>
      <c r="Q68" s="8">
        <f>K68-M68</f>
        <v/>
      </c>
      <c r="R68" s="8">
        <f>L68-M68</f>
        <v/>
      </c>
      <c r="S68" s="7">
        <f>IF(E68&gt;0, G68/E68, 0)</f>
        <v/>
      </c>
      <c r="T68" s="7">
        <f>IF(E68&gt;0, N68/E68, 0)</f>
        <v/>
      </c>
      <c r="U68" s="7">
        <f>IF(E68&gt;0, O68/E68, 0)</f>
        <v/>
      </c>
      <c r="V68" s="7">
        <f>IF(E68&gt;0, P68/E68, 0)</f>
        <v/>
      </c>
    </row>
    <row r="69" ht="19" customHeight="1">
      <c r="A69" s="35" t="inlineStr">
        <is>
          <t>632529</t>
        </is>
      </c>
      <c r="B69" s="35" t="inlineStr">
        <is>
          <t>MDLZ</t>
        </is>
      </c>
      <c r="C69" s="5" t="inlineStr">
        <is>
          <t>Mилка бял 90 гр. НОВ</t>
        </is>
      </c>
      <c r="D69" s="24" t="n">
        <v>56</v>
      </c>
      <c r="E69" s="6" t="n">
        <v>118.3333929840528</v>
      </c>
      <c r="F69" s="6" t="n">
        <v>90.07429071033781</v>
      </c>
      <c r="G69" s="6">
        <f>E69-F69</f>
        <v/>
      </c>
      <c r="H69" s="36" t="n">
        <v>1.992</v>
      </c>
      <c r="I69" s="36">
        <f>IF(B69="MDLZ", H69*(1-0.068), H69*(1-0.040))</f>
        <v/>
      </c>
      <c r="J69" s="36" t="n">
        <v>1.09</v>
      </c>
      <c r="K69" s="6">
        <f>D69*H69</f>
        <v/>
      </c>
      <c r="L69" s="6">
        <f>D69*I69</f>
        <v/>
      </c>
      <c r="M69" s="6">
        <f>D69*J69</f>
        <v/>
      </c>
      <c r="N69" s="6">
        <f>E69-K69</f>
        <v/>
      </c>
      <c r="O69" s="6">
        <f>E69-L69</f>
        <v/>
      </c>
      <c r="P69" s="6">
        <f>E69-M69</f>
        <v/>
      </c>
      <c r="Q69" s="8">
        <f>K69-M69</f>
        <v/>
      </c>
      <c r="R69" s="8">
        <f>L69-M69</f>
        <v/>
      </c>
      <c r="S69" s="7">
        <f>IF(E69&gt;0, G69/E69, 0)</f>
        <v/>
      </c>
      <c r="T69" s="7">
        <f>IF(E69&gt;0, N69/E69, 0)</f>
        <v/>
      </c>
      <c r="U69" s="7">
        <f>IF(E69&gt;0, O69/E69, 0)</f>
        <v/>
      </c>
      <c r="V69" s="7">
        <f>IF(E69&gt;0, P69/E69, 0)</f>
        <v/>
      </c>
    </row>
    <row r="70" ht="19" customHeight="1">
      <c r="A70" s="35" t="inlineStr">
        <is>
          <t>17446</t>
        </is>
      </c>
      <c r="B70" s="35" t="inlineStr">
        <is>
          <t>MDLZ</t>
        </is>
      </c>
      <c r="C70" s="5" t="inlineStr">
        <is>
          <t>Милка Мини старс шоколад 37,5г</t>
        </is>
      </c>
      <c r="D70" s="24" t="n">
        <v>155</v>
      </c>
      <c r="E70" s="6" t="n">
        <v>118.0828599622667</v>
      </c>
      <c r="F70" s="6" t="n">
        <v>79.25024158541386</v>
      </c>
      <c r="G70" s="6">
        <f>E70-F70</f>
        <v/>
      </c>
      <c r="H70" s="36" t="n">
        <v>0.509</v>
      </c>
      <c r="I70" s="36">
        <f>IF(B70="MDLZ", H70*(1-0.068), H70*(1-0.040))</f>
        <v/>
      </c>
      <c r="J70" s="36" t="n">
        <v>0.42</v>
      </c>
      <c r="K70" s="6">
        <f>D70*H70</f>
        <v/>
      </c>
      <c r="L70" s="6">
        <f>D70*I70</f>
        <v/>
      </c>
      <c r="M70" s="6">
        <f>D70*J70</f>
        <v/>
      </c>
      <c r="N70" s="6">
        <f>E70-K70</f>
        <v/>
      </c>
      <c r="O70" s="6">
        <f>E70-L70</f>
        <v/>
      </c>
      <c r="P70" s="6">
        <f>E70-M70</f>
        <v/>
      </c>
      <c r="Q70" s="8">
        <f>K70-M70</f>
        <v/>
      </c>
      <c r="R70" s="8">
        <f>L70-M70</f>
        <v/>
      </c>
      <c r="S70" s="7">
        <f>IF(E70&gt;0, G70/E70, 0)</f>
        <v/>
      </c>
      <c r="T70" s="7">
        <f>IF(E70&gt;0, N70/E70, 0)</f>
        <v/>
      </c>
      <c r="U70" s="7">
        <f>IF(E70&gt;0, O70/E70, 0)</f>
        <v/>
      </c>
      <c r="V70" s="7">
        <f>IF(E70&gt;0, P70/E70, 0)</f>
        <v/>
      </c>
    </row>
    <row r="71" ht="19" customHeight="1">
      <c r="A71" s="35" t="inlineStr">
        <is>
          <t>633071</t>
        </is>
      </c>
      <c r="B71" s="35" t="inlineStr">
        <is>
          <t>MDLZ</t>
        </is>
      </c>
      <c r="C71" s="5" t="inlineStr">
        <is>
          <t>Милка Milkinis 100гр.</t>
        </is>
      </c>
      <c r="D71" s="24" t="n">
        <v>61</v>
      </c>
      <c r="E71" s="6" t="n">
        <v>117.7965365087968</v>
      </c>
      <c r="F71" s="6" t="n">
        <v>98.82760771641706</v>
      </c>
      <c r="G71" s="6">
        <f>E71-F71</f>
        <v/>
      </c>
      <c r="H71" s="36" t="n">
        <v>1.992</v>
      </c>
      <c r="I71" s="36">
        <f>IF(B71="MDLZ", H71*(1-0.068), H71*(1-0.040))</f>
        <v/>
      </c>
      <c r="J71" s="36" t="n">
        <v>1.09</v>
      </c>
      <c r="K71" s="6">
        <f>D71*H71</f>
        <v/>
      </c>
      <c r="L71" s="6">
        <f>D71*I71</f>
        <v/>
      </c>
      <c r="M71" s="6">
        <f>D71*J71</f>
        <v/>
      </c>
      <c r="N71" s="6">
        <f>E71-K71</f>
        <v/>
      </c>
      <c r="O71" s="6">
        <f>E71-L71</f>
        <v/>
      </c>
      <c r="P71" s="6">
        <f>E71-M71</f>
        <v/>
      </c>
      <c r="Q71" s="8">
        <f>K71-M71</f>
        <v/>
      </c>
      <c r="R71" s="8">
        <f>L71-M71</f>
        <v/>
      </c>
      <c r="S71" s="7">
        <f>IF(E71&gt;0, G71/E71, 0)</f>
        <v/>
      </c>
      <c r="T71" s="7">
        <f>IF(E71&gt;0, N71/E71, 0)</f>
        <v/>
      </c>
      <c r="U71" s="7">
        <f>IF(E71&gt;0, O71/E71, 0)</f>
        <v/>
      </c>
      <c r="V71" s="7">
        <f>IF(E71&gt;0, P71/E71, 0)</f>
        <v/>
      </c>
    </row>
    <row r="72" ht="19" customHeight="1">
      <c r="A72" s="35" t="inlineStr">
        <is>
          <t>632525</t>
        </is>
      </c>
      <c r="B72" s="35" t="inlineStr">
        <is>
          <t>MDLZ</t>
        </is>
      </c>
      <c r="C72" s="5" t="inlineStr">
        <is>
          <t>Милка лешници 90 гр. НОВ</t>
        </is>
      </c>
      <c r="D72" s="24" t="n">
        <v>46</v>
      </c>
      <c r="E72" s="6" t="n">
        <v>117.36193840978</v>
      </c>
      <c r="F72" s="6" t="n">
        <v>80.52335836959244</v>
      </c>
      <c r="G72" s="6">
        <f>E72-F72</f>
        <v/>
      </c>
      <c r="H72" s="36" t="n">
        <v>2.1</v>
      </c>
      <c r="I72" s="36">
        <f>IF(B72="MDLZ", H72*(1-0.068), H72*(1-0.040))</f>
        <v/>
      </c>
      <c r="J72" s="36" t="n">
        <v>1.09</v>
      </c>
      <c r="K72" s="6">
        <f>D72*H72</f>
        <v/>
      </c>
      <c r="L72" s="6">
        <f>D72*I72</f>
        <v/>
      </c>
      <c r="M72" s="6">
        <f>D72*J72</f>
        <v/>
      </c>
      <c r="N72" s="6">
        <f>E72-K72</f>
        <v/>
      </c>
      <c r="O72" s="6">
        <f>E72-L72</f>
        <v/>
      </c>
      <c r="P72" s="6">
        <f>E72-M72</f>
        <v/>
      </c>
      <c r="Q72" s="8">
        <f>K72-M72</f>
        <v/>
      </c>
      <c r="R72" s="8">
        <f>L72-M72</f>
        <v/>
      </c>
      <c r="S72" s="7">
        <f>IF(E72&gt;0, G72/E72, 0)</f>
        <v/>
      </c>
      <c r="T72" s="7">
        <f>IF(E72&gt;0, N72/E72, 0)</f>
        <v/>
      </c>
      <c r="U72" s="7">
        <f>IF(E72&gt;0, O72/E72, 0)</f>
        <v/>
      </c>
      <c r="V72" s="7">
        <f>IF(E72&gt;0, P72/E72, 0)</f>
        <v/>
      </c>
    </row>
    <row r="73" ht="19" customHeight="1">
      <c r="A73" s="35" t="inlineStr">
        <is>
          <t>630297</t>
        </is>
      </c>
      <c r="B73" s="35" t="inlineStr">
        <is>
          <t>MDLZ</t>
        </is>
      </c>
      <c r="C73" s="5" t="inlineStr">
        <is>
          <t>Морени 36гр.</t>
        </is>
      </c>
      <c r="D73" s="24" t="n">
        <v>178</v>
      </c>
      <c r="E73" s="6" t="n">
        <v>116.4927422117464</v>
      </c>
      <c r="F73" s="6" t="n">
        <v>87.36955665880983</v>
      </c>
      <c r="G73" s="6">
        <f>E73-F73</f>
        <v/>
      </c>
      <c r="H73" s="36" t="n">
        <v>0.491</v>
      </c>
      <c r="I73" s="36">
        <f>IF(B73="MDLZ", H73*(1-0.068), H73*(1-0.040))</f>
        <v/>
      </c>
      <c r="J73" s="36" t="n">
        <v>0.35</v>
      </c>
      <c r="K73" s="6">
        <f>D73*H73</f>
        <v/>
      </c>
      <c r="L73" s="6">
        <f>D73*I73</f>
        <v/>
      </c>
      <c r="M73" s="6">
        <f>D73*J73</f>
        <v/>
      </c>
      <c r="N73" s="6">
        <f>E73-K73</f>
        <v/>
      </c>
      <c r="O73" s="6">
        <f>E73-L73</f>
        <v/>
      </c>
      <c r="P73" s="6">
        <f>E73-M73</f>
        <v/>
      </c>
      <c r="Q73" s="8">
        <f>K73-M73</f>
        <v/>
      </c>
      <c r="R73" s="8">
        <f>L73-M73</f>
        <v/>
      </c>
      <c r="S73" s="7">
        <f>IF(E73&gt;0, G73/E73, 0)</f>
        <v/>
      </c>
      <c r="T73" s="7">
        <f>IF(E73&gt;0, N73/E73, 0)</f>
        <v/>
      </c>
      <c r="U73" s="7">
        <f>IF(E73&gt;0, O73/E73, 0)</f>
        <v/>
      </c>
      <c r="V73" s="7">
        <f>IF(E73&gt;0, P73/E73, 0)</f>
        <v/>
      </c>
    </row>
    <row r="74" ht="19" customHeight="1">
      <c r="A74" s="35" t="inlineStr">
        <is>
          <t>10535</t>
        </is>
      </c>
      <c r="B74" s="35" t="inlineStr">
        <is>
          <t>MDLZ</t>
        </is>
      </c>
      <c r="C74" s="5" t="inlineStr">
        <is>
          <t>Б-ти Милка Шоко крава 40гр.</t>
        </is>
      </c>
      <c r="D74" s="24" t="n">
        <v>165</v>
      </c>
      <c r="E74" s="6" t="n">
        <v>116.421161348379</v>
      </c>
      <c r="F74" s="6" t="n">
        <v>84.36316039737605</v>
      </c>
      <c r="G74" s="6">
        <f>E74-F74</f>
        <v/>
      </c>
      <c r="H74" s="36" t="n">
        <v>0.504</v>
      </c>
      <c r="I74" s="36">
        <f>IF(B74="MDLZ", H74*(1-0.068), H74*(1-0.040))</f>
        <v/>
      </c>
      <c r="J74" s="36" t="n">
        <v>0.42</v>
      </c>
      <c r="K74" s="6">
        <f>D74*H74</f>
        <v/>
      </c>
      <c r="L74" s="6">
        <f>D74*I74</f>
        <v/>
      </c>
      <c r="M74" s="6">
        <f>D74*J74</f>
        <v/>
      </c>
      <c r="N74" s="6">
        <f>E74-K74</f>
        <v/>
      </c>
      <c r="O74" s="6">
        <f>E74-L74</f>
        <v/>
      </c>
      <c r="P74" s="6">
        <f>E74-M74</f>
        <v/>
      </c>
      <c r="Q74" s="8">
        <f>K74-M74</f>
        <v/>
      </c>
      <c r="R74" s="8">
        <f>L74-M74</f>
        <v/>
      </c>
      <c r="S74" s="7">
        <f>IF(E74&gt;0, G74/E74, 0)</f>
        <v/>
      </c>
      <c r="T74" s="7">
        <f>IF(E74&gt;0, N74/E74, 0)</f>
        <v/>
      </c>
      <c r="U74" s="7">
        <f>IF(E74&gt;0, O74/E74, 0)</f>
        <v/>
      </c>
      <c r="V74" s="7">
        <f>IF(E74&gt;0, P74/E74, 0)</f>
        <v/>
      </c>
    </row>
    <row r="75" ht="19" customHeight="1">
      <c r="A75" s="35" t="inlineStr">
        <is>
          <t>2526</t>
        </is>
      </c>
      <c r="B75" s="35" t="inlineStr">
        <is>
          <t>MDLZ</t>
        </is>
      </c>
      <c r="C75" s="5" t="inlineStr">
        <is>
          <t>Милка Орео сандвич 92гр.</t>
        </is>
      </c>
      <c r="D75" s="24" t="n">
        <v>54</v>
      </c>
      <c r="E75" s="6" t="n">
        <v>115.2758675344994</v>
      </c>
      <c r="F75" s="6" t="n">
        <v>82.747478052796</v>
      </c>
      <c r="G75" s="6">
        <f>E75-F75</f>
        <v/>
      </c>
      <c r="H75" s="36" t="n">
        <v>1.992</v>
      </c>
      <c r="I75" s="36">
        <f>IF(B75="MDLZ", H75*(1-0.068), H75*(1-0.040))</f>
        <v/>
      </c>
      <c r="J75" s="36" t="n">
        <v>1.09</v>
      </c>
      <c r="K75" s="6">
        <f>D75*H75</f>
        <v/>
      </c>
      <c r="L75" s="6">
        <f>D75*I75</f>
        <v/>
      </c>
      <c r="M75" s="6">
        <f>D75*J75</f>
        <v/>
      </c>
      <c r="N75" s="6">
        <f>E75-K75</f>
        <v/>
      </c>
      <c r="O75" s="6">
        <f>E75-L75</f>
        <v/>
      </c>
      <c r="P75" s="6">
        <f>E75-M75</f>
        <v/>
      </c>
      <c r="Q75" s="8">
        <f>K75-M75</f>
        <v/>
      </c>
      <c r="R75" s="8">
        <f>L75-M75</f>
        <v/>
      </c>
      <c r="S75" s="7">
        <f>IF(E75&gt;0, G75/E75, 0)</f>
        <v/>
      </c>
      <c r="T75" s="7">
        <f>IF(E75&gt;0, N75/E75, 0)</f>
        <v/>
      </c>
      <c r="U75" s="7">
        <f>IF(E75&gt;0, O75/E75, 0)</f>
        <v/>
      </c>
      <c r="V75" s="7">
        <f>IF(E75&gt;0, P75/E75, 0)</f>
        <v/>
      </c>
    </row>
    <row r="76" ht="19" customHeight="1">
      <c r="A76" s="35" t="inlineStr">
        <is>
          <t>3071</t>
        </is>
      </c>
      <c r="B76" s="35" t="inlineStr">
        <is>
          <t>MDLZ</t>
        </is>
      </c>
      <c r="C76" s="5" t="inlineStr">
        <is>
          <t>Милка Ягодов чийзкейк  300гр.</t>
        </is>
      </c>
      <c r="D76" s="24" t="n">
        <v>19</v>
      </c>
      <c r="E76" s="6" t="n">
        <v>114.0232024255687</v>
      </c>
      <c r="F76" s="6" t="n">
        <v>90.51911464697852</v>
      </c>
      <c r="G76" s="6">
        <f>E76-F76</f>
        <v/>
      </c>
      <c r="H76" s="36" t="n">
        <v>5.892</v>
      </c>
      <c r="I76" s="36">
        <f>IF(B76="MDLZ", H76*(1-0.068), H76*(1-0.040))</f>
        <v/>
      </c>
      <c r="J76" s="36" t="n">
        <v>3.99</v>
      </c>
      <c r="K76" s="6">
        <f>D76*H76</f>
        <v/>
      </c>
      <c r="L76" s="6">
        <f>D76*I76</f>
        <v/>
      </c>
      <c r="M76" s="6">
        <f>D76*J76</f>
        <v/>
      </c>
      <c r="N76" s="6">
        <f>E76-K76</f>
        <v/>
      </c>
      <c r="O76" s="6">
        <f>E76-L76</f>
        <v/>
      </c>
      <c r="P76" s="6">
        <f>E76-M76</f>
        <v/>
      </c>
      <c r="Q76" s="8">
        <f>K76-M76</f>
        <v/>
      </c>
      <c r="R76" s="8">
        <f>L76-M76</f>
        <v/>
      </c>
      <c r="S76" s="7">
        <f>IF(E76&gt;0, G76/E76, 0)</f>
        <v/>
      </c>
      <c r="T76" s="7">
        <f>IF(E76&gt;0, N76/E76, 0)</f>
        <v/>
      </c>
      <c r="U76" s="7">
        <f>IF(E76&gt;0, O76/E76, 0)</f>
        <v/>
      </c>
      <c r="V76" s="7">
        <f>IF(E76&gt;0, P76/E76, 0)</f>
        <v/>
      </c>
    </row>
    <row r="77" ht="19" customHeight="1">
      <c r="A77" s="35" t="inlineStr">
        <is>
          <t>6534</t>
        </is>
      </c>
      <c r="B77" s="35" t="inlineStr">
        <is>
          <t>MDLZ</t>
        </is>
      </c>
      <c r="C77" s="5" t="inlineStr">
        <is>
          <t>Милка Триоладе 280гр.</t>
        </is>
      </c>
      <c r="D77" s="24" t="n">
        <v>19</v>
      </c>
      <c r="E77" s="6" t="n">
        <v>111.0577095146306</v>
      </c>
      <c r="F77" s="6" t="n">
        <v>89.68570888062868</v>
      </c>
      <c r="G77" s="6">
        <f>E77-F77</f>
        <v/>
      </c>
      <c r="H77" s="36" t="n">
        <v>5.892</v>
      </c>
      <c r="I77" s="36">
        <f>IF(B77="MDLZ", H77*(1-0.068), H77*(1-0.040))</f>
        <v/>
      </c>
      <c r="J77" s="36" t="n">
        <v>3.99</v>
      </c>
      <c r="K77" s="6">
        <f>D77*H77</f>
        <v/>
      </c>
      <c r="L77" s="6">
        <f>D77*I77</f>
        <v/>
      </c>
      <c r="M77" s="6">
        <f>D77*J77</f>
        <v/>
      </c>
      <c r="N77" s="6">
        <f>E77-K77</f>
        <v/>
      </c>
      <c r="O77" s="6">
        <f>E77-L77</f>
        <v/>
      </c>
      <c r="P77" s="6">
        <f>E77-M77</f>
        <v/>
      </c>
      <c r="Q77" s="8">
        <f>K77-M77</f>
        <v/>
      </c>
      <c r="R77" s="8">
        <f>L77-M77</f>
        <v/>
      </c>
      <c r="S77" s="7">
        <f>IF(E77&gt;0, G77/E77, 0)</f>
        <v/>
      </c>
      <c r="T77" s="7">
        <f>IF(E77&gt;0, N77/E77, 0)</f>
        <v/>
      </c>
      <c r="U77" s="7">
        <f>IF(E77&gt;0, O77/E77, 0)</f>
        <v/>
      </c>
      <c r="V77" s="7">
        <f>IF(E77&gt;0, P77/E77, 0)</f>
        <v/>
      </c>
    </row>
    <row r="78" ht="19" customHeight="1">
      <c r="A78" s="35" t="inlineStr">
        <is>
          <t>9802</t>
        </is>
      </c>
      <c r="B78" s="35" t="inlineStr">
        <is>
          <t>MDLZ</t>
        </is>
      </c>
      <c r="C78" s="5" t="inlineStr">
        <is>
          <t>Милка Млечна 250гр.</t>
        </is>
      </c>
      <c r="D78" s="24" t="n">
        <v>19</v>
      </c>
      <c r="E78" s="6" t="n">
        <v>108.0922166036925</v>
      </c>
      <c r="F78" s="6" t="n">
        <v>91.67463429848198</v>
      </c>
      <c r="G78" s="6">
        <f>E78-F78</f>
        <v/>
      </c>
      <c r="H78" s="36" t="n">
        <v>5.892</v>
      </c>
      <c r="I78" s="36">
        <f>IF(B78="MDLZ", H78*(1-0.068), H78*(1-0.040))</f>
        <v/>
      </c>
      <c r="J78" s="36" t="n">
        <v>3.99</v>
      </c>
      <c r="K78" s="6">
        <f>D78*H78</f>
        <v/>
      </c>
      <c r="L78" s="6">
        <f>D78*I78</f>
        <v/>
      </c>
      <c r="M78" s="6">
        <f>D78*J78</f>
        <v/>
      </c>
      <c r="N78" s="6">
        <f>E78-K78</f>
        <v/>
      </c>
      <c r="O78" s="6">
        <f>E78-L78</f>
        <v/>
      </c>
      <c r="P78" s="6">
        <f>E78-M78</f>
        <v/>
      </c>
      <c r="Q78" s="8">
        <f>K78-M78</f>
        <v/>
      </c>
      <c r="R78" s="8">
        <f>L78-M78</f>
        <v/>
      </c>
      <c r="S78" s="7">
        <f>IF(E78&gt;0, G78/E78, 0)</f>
        <v/>
      </c>
      <c r="T78" s="7">
        <f>IF(E78&gt;0, N78/E78, 0)</f>
        <v/>
      </c>
      <c r="U78" s="7">
        <f>IF(E78&gt;0, O78/E78, 0)</f>
        <v/>
      </c>
      <c r="V78" s="7">
        <f>IF(E78&gt;0, P78/E78, 0)</f>
        <v/>
      </c>
    </row>
    <row r="79" ht="19" customHeight="1">
      <c r="A79" s="35" t="inlineStr">
        <is>
          <t>16325</t>
        </is>
      </c>
      <c r="B79" s="35" t="inlineStr">
        <is>
          <t>MDLZ</t>
        </is>
      </c>
      <c r="C79" s="5" t="inlineStr">
        <is>
          <t>Б-ти Милка Шококукис 135гр.</t>
        </is>
      </c>
      <c r="D79" s="24" t="n">
        <v>47</v>
      </c>
      <c r="E79" s="6" t="n">
        <v>107.897925688838</v>
      </c>
      <c r="F79" s="6" t="n">
        <v>76.56595920913372</v>
      </c>
      <c r="G79" s="6">
        <f>E79-F79</f>
        <v/>
      </c>
      <c r="H79" s="36" t="n">
        <v>1.68</v>
      </c>
      <c r="I79" s="36">
        <f>IF(B79="MDLZ", H79*(1-0.068), H79*(1-0.040))</f>
        <v/>
      </c>
      <c r="J79" s="36" t="n">
        <v>1.34</v>
      </c>
      <c r="K79" s="6">
        <f>D79*H79</f>
        <v/>
      </c>
      <c r="L79" s="6">
        <f>D79*I79</f>
        <v/>
      </c>
      <c r="M79" s="6">
        <f>D79*J79</f>
        <v/>
      </c>
      <c r="N79" s="6">
        <f>E79-K79</f>
        <v/>
      </c>
      <c r="O79" s="6">
        <f>E79-L79</f>
        <v/>
      </c>
      <c r="P79" s="6">
        <f>E79-M79</f>
        <v/>
      </c>
      <c r="Q79" s="8">
        <f>K79-M79</f>
        <v/>
      </c>
      <c r="R79" s="8">
        <f>L79-M79</f>
        <v/>
      </c>
      <c r="S79" s="7">
        <f>IF(E79&gt;0, G79/E79, 0)</f>
        <v/>
      </c>
      <c r="T79" s="7">
        <f>IF(E79&gt;0, N79/E79, 0)</f>
        <v/>
      </c>
      <c r="U79" s="7">
        <f>IF(E79&gt;0, O79/E79, 0)</f>
        <v/>
      </c>
      <c r="V79" s="7">
        <f>IF(E79&gt;0, P79/E79, 0)</f>
        <v/>
      </c>
    </row>
    <row r="80" ht="19" customHeight="1">
      <c r="A80" s="35" t="inlineStr">
        <is>
          <t>9663</t>
        </is>
      </c>
      <c r="B80" s="35" t="inlineStr">
        <is>
          <t>MDLZ</t>
        </is>
      </c>
      <c r="C80" s="5" t="inlineStr">
        <is>
          <t>Своге  млечен 80гр.</t>
        </is>
      </c>
      <c r="D80" s="24" t="n">
        <v>59</v>
      </c>
      <c r="E80" s="6" t="n">
        <v>105.2801112571134</v>
      </c>
      <c r="F80" s="6" t="n">
        <v>76.01887689625377</v>
      </c>
      <c r="G80" s="6">
        <f>E80-F80</f>
        <v/>
      </c>
      <c r="H80" s="36" t="n">
        <v>1.284</v>
      </c>
      <c r="I80" s="36">
        <f>IF(B80="MDLZ", H80*(1-0.068), H80*(1-0.040))</f>
        <v/>
      </c>
      <c r="J80" s="36" t="n">
        <v>1.09</v>
      </c>
      <c r="K80" s="6">
        <f>D80*H80</f>
        <v/>
      </c>
      <c r="L80" s="6">
        <f>D80*I80</f>
        <v/>
      </c>
      <c r="M80" s="6">
        <f>D80*J80</f>
        <v/>
      </c>
      <c r="N80" s="6">
        <f>E80-K80</f>
        <v/>
      </c>
      <c r="O80" s="6">
        <f>E80-L80</f>
        <v/>
      </c>
      <c r="P80" s="6">
        <f>E80-M80</f>
        <v/>
      </c>
      <c r="Q80" s="8">
        <f>K80-M80</f>
        <v/>
      </c>
      <c r="R80" s="8">
        <f>L80-M80</f>
        <v/>
      </c>
      <c r="S80" s="7">
        <f>IF(E80&gt;0, G80/E80, 0)</f>
        <v/>
      </c>
      <c r="T80" s="7">
        <f>IF(E80&gt;0, N80/E80, 0)</f>
        <v/>
      </c>
      <c r="U80" s="7">
        <f>IF(E80&gt;0, O80/E80, 0)</f>
        <v/>
      </c>
      <c r="V80" s="7">
        <f>IF(E80&gt;0, P80/E80, 0)</f>
        <v/>
      </c>
    </row>
    <row r="81" ht="19" customHeight="1">
      <c r="A81" s="35" t="inlineStr">
        <is>
          <t>1533</t>
        </is>
      </c>
      <c r="B81" s="35" t="inlineStr">
        <is>
          <t>MDLZ</t>
        </is>
      </c>
      <c r="C81" s="5" t="inlineStr">
        <is>
          <t>Милка Малина 100гр.</t>
        </is>
      </c>
      <c r="D81" s="24" t="n">
        <v>53</v>
      </c>
      <c r="E81" s="6" t="n">
        <v>104.5438509481908</v>
      </c>
      <c r="F81" s="6" t="n">
        <v>87.97799399743332</v>
      </c>
      <c r="G81" s="6">
        <f>E81-F81</f>
        <v/>
      </c>
      <c r="H81" s="36" t="n">
        <v>1.992</v>
      </c>
      <c r="I81" s="36">
        <f>IF(B81="MDLZ", H81*(1-0.068), H81*(1-0.040))</f>
        <v/>
      </c>
      <c r="J81" s="36" t="n">
        <v>1.09</v>
      </c>
      <c r="K81" s="6">
        <f>D81*H81</f>
        <v/>
      </c>
      <c r="L81" s="6">
        <f>D81*I81</f>
        <v/>
      </c>
      <c r="M81" s="6">
        <f>D81*J81</f>
        <v/>
      </c>
      <c r="N81" s="6">
        <f>E81-K81</f>
        <v/>
      </c>
      <c r="O81" s="6">
        <f>E81-L81</f>
        <v/>
      </c>
      <c r="P81" s="6">
        <f>E81-M81</f>
        <v/>
      </c>
      <c r="Q81" s="8">
        <f>K81-M81</f>
        <v/>
      </c>
      <c r="R81" s="8">
        <f>L81-M81</f>
        <v/>
      </c>
      <c r="S81" s="7">
        <f>IF(E81&gt;0, G81/E81, 0)</f>
        <v/>
      </c>
      <c r="T81" s="7">
        <f>IF(E81&gt;0, N81/E81, 0)</f>
        <v/>
      </c>
      <c r="U81" s="7">
        <f>IF(E81&gt;0, O81/E81, 0)</f>
        <v/>
      </c>
      <c r="V81" s="7">
        <f>IF(E81&gt;0, P81/E81, 0)</f>
        <v/>
      </c>
    </row>
    <row r="82" ht="19" customHeight="1">
      <c r="A82" s="35" t="inlineStr">
        <is>
          <t>10027</t>
        </is>
      </c>
      <c r="B82" s="35" t="inlineStr">
        <is>
          <t>MDLZ</t>
        </is>
      </c>
      <c r="C82" s="5" t="inlineStr">
        <is>
          <t>Сушард Фигаро 138гр.</t>
        </is>
      </c>
      <c r="D82" s="24" t="n">
        <v>28</v>
      </c>
      <c r="E82" s="6" t="n">
        <v>102.1152145125088</v>
      </c>
      <c r="F82" s="6" t="n">
        <v>81.86805601713851</v>
      </c>
      <c r="G82" s="6">
        <f>E82-F82</f>
        <v/>
      </c>
      <c r="H82" s="36" t="n">
        <v>3.264</v>
      </c>
      <c r="I82" s="36">
        <f>IF(B82="MDLZ", H82*(1-0.068), H82*(1-0.040))</f>
        <v/>
      </c>
      <c r="J82" s="36" t="n">
        <v>2.79</v>
      </c>
      <c r="K82" s="6">
        <f>D82*H82</f>
        <v/>
      </c>
      <c r="L82" s="6">
        <f>D82*I82</f>
        <v/>
      </c>
      <c r="M82" s="6">
        <f>D82*J82</f>
        <v/>
      </c>
      <c r="N82" s="6">
        <f>E82-K82</f>
        <v/>
      </c>
      <c r="O82" s="6">
        <f>E82-L82</f>
        <v/>
      </c>
      <c r="P82" s="6">
        <f>E82-M82</f>
        <v/>
      </c>
      <c r="Q82" s="8">
        <f>K82-M82</f>
        <v/>
      </c>
      <c r="R82" s="8">
        <f>L82-M82</f>
        <v/>
      </c>
      <c r="S82" s="7">
        <f>IF(E82&gt;0, G82/E82, 0)</f>
        <v/>
      </c>
      <c r="T82" s="7">
        <f>IF(E82&gt;0, N82/E82, 0)</f>
        <v/>
      </c>
      <c r="U82" s="7">
        <f>IF(E82&gt;0, O82/E82, 0)</f>
        <v/>
      </c>
      <c r="V82" s="7">
        <f>IF(E82&gt;0, P82/E82, 0)</f>
        <v/>
      </c>
    </row>
    <row r="83" ht="19" customHeight="1">
      <c r="A83" s="35" t="inlineStr">
        <is>
          <t>11955</t>
        </is>
      </c>
      <c r="B83" s="35" t="inlineStr">
        <is>
          <t>MDLZ</t>
        </is>
      </c>
      <c r="C83" s="5" t="inlineStr">
        <is>
          <t>Б-ти Милка Шоко кейк 35гр.</t>
        </is>
      </c>
      <c r="D83" s="24" t="n">
        <v>139</v>
      </c>
      <c r="E83" s="6" t="n">
        <v>98.07600865105863</v>
      </c>
      <c r="F83" s="6" t="n">
        <v>70.83949013973607</v>
      </c>
      <c r="G83" s="6">
        <f>E83-F83</f>
        <v/>
      </c>
      <c r="H83" s="36" t="n">
        <v>0.509</v>
      </c>
      <c r="I83" s="36">
        <f>IF(B83="MDLZ", H83*(1-0.068), H83*(1-0.040))</f>
        <v/>
      </c>
      <c r="J83" s="36" t="n">
        <v>0.46</v>
      </c>
      <c r="K83" s="6">
        <f>D83*H83</f>
        <v/>
      </c>
      <c r="L83" s="6">
        <f>D83*I83</f>
        <v/>
      </c>
      <c r="M83" s="6">
        <f>D83*J83</f>
        <v/>
      </c>
      <c r="N83" s="6">
        <f>E83-K83</f>
        <v/>
      </c>
      <c r="O83" s="6">
        <f>E83-L83</f>
        <v/>
      </c>
      <c r="P83" s="6">
        <f>E83-M83</f>
        <v/>
      </c>
      <c r="Q83" s="8">
        <f>K83-M83</f>
        <v/>
      </c>
      <c r="R83" s="8">
        <f>L83-M83</f>
        <v/>
      </c>
      <c r="S83" s="7">
        <f>IF(E83&gt;0, G83/E83, 0)</f>
        <v/>
      </c>
      <c r="T83" s="7">
        <f>IF(E83&gt;0, N83/E83, 0)</f>
        <v/>
      </c>
      <c r="U83" s="7">
        <f>IF(E83&gt;0, O83/E83, 0)</f>
        <v/>
      </c>
      <c r="V83" s="7">
        <f>IF(E83&gt;0, P83/E83, 0)</f>
        <v/>
      </c>
    </row>
    <row r="84" ht="19" customHeight="1">
      <c r="A84" s="35" t="inlineStr">
        <is>
          <t>13315</t>
        </is>
      </c>
      <c r="B84" s="35" t="inlineStr">
        <is>
          <t>MDLZ</t>
        </is>
      </c>
      <c r="C84" s="5" t="inlineStr">
        <is>
          <t>Б-ти Милка Шоко крава 120гр.</t>
        </is>
      </c>
      <c r="D84" s="24" t="n">
        <v>42</v>
      </c>
      <c r="E84" s="6" t="n">
        <v>96.41942295598288</v>
      </c>
      <c r="F84" s="6" t="n">
        <v>66.17650818322656</v>
      </c>
      <c r="G84" s="6">
        <f>E84-F84</f>
        <v/>
      </c>
      <c r="H84" s="36" t="n">
        <v>1.68</v>
      </c>
      <c r="I84" s="36">
        <f>IF(B84="MDLZ", H84*(1-0.068), H84*(1-0.040))</f>
        <v/>
      </c>
      <c r="J84" s="36" t="n">
        <v>1.34</v>
      </c>
      <c r="K84" s="6">
        <f>D84*H84</f>
        <v/>
      </c>
      <c r="L84" s="6">
        <f>D84*I84</f>
        <v/>
      </c>
      <c r="M84" s="6">
        <f>D84*J84</f>
        <v/>
      </c>
      <c r="N84" s="6">
        <f>E84-K84</f>
        <v/>
      </c>
      <c r="O84" s="6">
        <f>E84-L84</f>
        <v/>
      </c>
      <c r="P84" s="6">
        <f>E84-M84</f>
        <v/>
      </c>
      <c r="Q84" s="8">
        <f>K84-M84</f>
        <v/>
      </c>
      <c r="R84" s="8">
        <f>L84-M84</f>
        <v/>
      </c>
      <c r="S84" s="7">
        <f>IF(E84&gt;0, G84/E84, 0)</f>
        <v/>
      </c>
      <c r="T84" s="7">
        <f>IF(E84&gt;0, N84/E84, 0)</f>
        <v/>
      </c>
      <c r="U84" s="7">
        <f>IF(E84&gt;0, O84/E84, 0)</f>
        <v/>
      </c>
      <c r="V84" s="7">
        <f>IF(E84&gt;0, P84/E84, 0)</f>
        <v/>
      </c>
    </row>
    <row r="85" ht="19" customHeight="1">
      <c r="A85" s="35" t="inlineStr">
        <is>
          <t>18038</t>
        </is>
      </c>
      <c r="B85" s="35" t="inlineStr">
        <is>
          <t>MDLZ</t>
        </is>
      </c>
      <c r="C85" s="5" t="inlineStr">
        <is>
          <t>Б-ти Милка Портокал 147гр.</t>
        </is>
      </c>
      <c r="D85" s="24" t="n">
        <v>42</v>
      </c>
      <c r="E85" s="6" t="n">
        <v>96.41942295598288</v>
      </c>
      <c r="F85" s="6" t="n">
        <v>68.18077235751574</v>
      </c>
      <c r="G85" s="6">
        <f>E85-F85</f>
        <v/>
      </c>
      <c r="H85" s="36" t="n">
        <v>1.68</v>
      </c>
      <c r="I85" s="36">
        <f>IF(B85="MDLZ", H85*(1-0.068), H85*(1-0.040))</f>
        <v/>
      </c>
      <c r="J85" s="36" t="n">
        <v>1.34</v>
      </c>
      <c r="K85" s="6">
        <f>D85*H85</f>
        <v/>
      </c>
      <c r="L85" s="6">
        <f>D85*I85</f>
        <v/>
      </c>
      <c r="M85" s="6">
        <f>D85*J85</f>
        <v/>
      </c>
      <c r="N85" s="6">
        <f>E85-K85</f>
        <v/>
      </c>
      <c r="O85" s="6">
        <f>E85-L85</f>
        <v/>
      </c>
      <c r="P85" s="6">
        <f>E85-M85</f>
        <v/>
      </c>
      <c r="Q85" s="8">
        <f>K85-M85</f>
        <v/>
      </c>
      <c r="R85" s="8">
        <f>L85-M85</f>
        <v/>
      </c>
      <c r="S85" s="7">
        <f>IF(E85&gt;0, G85/E85, 0)</f>
        <v/>
      </c>
      <c r="T85" s="7">
        <f>IF(E85&gt;0, N85/E85, 0)</f>
        <v/>
      </c>
      <c r="U85" s="7">
        <f>IF(E85&gt;0, O85/E85, 0)</f>
        <v/>
      </c>
      <c r="V85" s="7">
        <f>IF(E85&gt;0, P85/E85, 0)</f>
        <v/>
      </c>
    </row>
    <row r="86" ht="19" customHeight="1">
      <c r="A86" s="35" t="inlineStr">
        <is>
          <t>1278</t>
        </is>
      </c>
      <c r="B86" s="35" t="inlineStr">
        <is>
          <t>MDLZ</t>
        </is>
      </c>
      <c r="C86" s="5" t="inlineStr">
        <is>
          <t>Б-ти Орео двоен крем 157гр.</t>
        </is>
      </c>
      <c r="D86" s="24" t="n">
        <v>42</v>
      </c>
      <c r="E86" s="6" t="n">
        <v>96.41942295598288</v>
      </c>
      <c r="F86" s="6" t="n">
        <v>65.67032922084231</v>
      </c>
      <c r="G86" s="6">
        <f>E86-F86</f>
        <v/>
      </c>
      <c r="H86" s="36" t="n">
        <v>1.692</v>
      </c>
      <c r="I86" s="36">
        <f>IF(B86="MDLZ", H86*(1-0.068), H86*(1-0.040))</f>
        <v/>
      </c>
      <c r="J86" s="36" t="n">
        <v>1.39</v>
      </c>
      <c r="K86" s="6">
        <f>D86*H86</f>
        <v/>
      </c>
      <c r="L86" s="6">
        <f>D86*I86</f>
        <v/>
      </c>
      <c r="M86" s="6">
        <f>D86*J86</f>
        <v/>
      </c>
      <c r="N86" s="6">
        <f>E86-K86</f>
        <v/>
      </c>
      <c r="O86" s="6">
        <f>E86-L86</f>
        <v/>
      </c>
      <c r="P86" s="6">
        <f>E86-M86</f>
        <v/>
      </c>
      <c r="Q86" s="8">
        <f>K86-M86</f>
        <v/>
      </c>
      <c r="R86" s="8">
        <f>L86-M86</f>
        <v/>
      </c>
      <c r="S86" s="7">
        <f>IF(E86&gt;0, G86/E86, 0)</f>
        <v/>
      </c>
      <c r="T86" s="7">
        <f>IF(E86&gt;0, N86/E86, 0)</f>
        <v/>
      </c>
      <c r="U86" s="7">
        <f>IF(E86&gt;0, O86/E86, 0)</f>
        <v/>
      </c>
      <c r="V86" s="7">
        <f>IF(E86&gt;0, P86/E86, 0)</f>
        <v/>
      </c>
    </row>
    <row r="87" ht="19" customHeight="1">
      <c r="A87" s="35" t="inlineStr">
        <is>
          <t>12292</t>
        </is>
      </c>
      <c r="B87" s="35" t="inlineStr">
        <is>
          <t>MDLZ</t>
        </is>
      </c>
      <c r="C87" s="5" t="inlineStr">
        <is>
          <t>Милка Балончета бял 95гр.</t>
        </is>
      </c>
      <c r="D87" s="24" t="n">
        <v>43</v>
      </c>
      <c r="E87" s="6" t="n">
        <v>95.39172627477849</v>
      </c>
      <c r="F87" s="6" t="n">
        <v>69.33629200901919</v>
      </c>
      <c r="G87" s="6">
        <f>E87-F87</f>
        <v/>
      </c>
      <c r="H87" s="36" t="n">
        <v>1.992</v>
      </c>
      <c r="I87" s="36">
        <f>IF(B87="MDLZ", H87*(1-0.068), H87*(1-0.040))</f>
        <v/>
      </c>
      <c r="J87" s="36" t="n">
        <v>1.09</v>
      </c>
      <c r="K87" s="6">
        <f>D87*H87</f>
        <v/>
      </c>
      <c r="L87" s="6">
        <f>D87*I87</f>
        <v/>
      </c>
      <c r="M87" s="6">
        <f>D87*J87</f>
        <v/>
      </c>
      <c r="N87" s="6">
        <f>E87-K87</f>
        <v/>
      </c>
      <c r="O87" s="6">
        <f>E87-L87</f>
        <v/>
      </c>
      <c r="P87" s="6">
        <f>E87-M87</f>
        <v/>
      </c>
      <c r="Q87" s="8">
        <f>K87-M87</f>
        <v/>
      </c>
      <c r="R87" s="8">
        <f>L87-M87</f>
        <v/>
      </c>
      <c r="S87" s="7">
        <f>IF(E87&gt;0, G87/E87, 0)</f>
        <v/>
      </c>
      <c r="T87" s="7">
        <f>IF(E87&gt;0, N87/E87, 0)</f>
        <v/>
      </c>
      <c r="U87" s="7">
        <f>IF(E87&gt;0, O87/E87, 0)</f>
        <v/>
      </c>
      <c r="V87" s="7">
        <f>IF(E87&gt;0, P87/E87, 0)</f>
        <v/>
      </c>
    </row>
    <row r="88" ht="19" customHeight="1">
      <c r="A88" s="35" t="inlineStr">
        <is>
          <t>865</t>
        </is>
      </c>
      <c r="B88" s="35" t="inlineStr">
        <is>
          <t>MDLZ</t>
        </is>
      </c>
      <c r="C88" s="5" t="inlineStr">
        <is>
          <t>Милка кексче Крава 140гр.</t>
        </is>
      </c>
      <c r="D88" s="24" t="n">
        <v>31</v>
      </c>
      <c r="E88" s="6" t="n">
        <v>94.92645066288992</v>
      </c>
      <c r="F88" s="6" t="n">
        <v>70.31285950210398</v>
      </c>
      <c r="G88" s="6">
        <f>E88-F88</f>
        <v/>
      </c>
      <c r="H88" s="36" t="n">
        <v>2.484</v>
      </c>
      <c r="I88" s="36">
        <f>IF(B88="MDLZ", H88*(1-0.068), H88*(1-0.040))</f>
        <v/>
      </c>
      <c r="J88" s="36" t="n">
        <v>1.94</v>
      </c>
      <c r="K88" s="6">
        <f>D88*H88</f>
        <v/>
      </c>
      <c r="L88" s="6">
        <f>D88*I88</f>
        <v/>
      </c>
      <c r="M88" s="6">
        <f>D88*J88</f>
        <v/>
      </c>
      <c r="N88" s="6">
        <f>E88-K88</f>
        <v/>
      </c>
      <c r="O88" s="6">
        <f>E88-L88</f>
        <v/>
      </c>
      <c r="P88" s="6">
        <f>E88-M88</f>
        <v/>
      </c>
      <c r="Q88" s="8">
        <f>K88-M88</f>
        <v/>
      </c>
      <c r="R88" s="8">
        <f>L88-M88</f>
        <v/>
      </c>
      <c r="S88" s="7">
        <f>IF(E88&gt;0, G88/E88, 0)</f>
        <v/>
      </c>
      <c r="T88" s="7">
        <f>IF(E88&gt;0, N88/E88, 0)</f>
        <v/>
      </c>
      <c r="U88" s="7">
        <f>IF(E88&gt;0, O88/E88, 0)</f>
        <v/>
      </c>
      <c r="V88" s="7">
        <f>IF(E88&gt;0, P88/E88, 0)</f>
        <v/>
      </c>
    </row>
    <row r="89" ht="19" customHeight="1">
      <c r="A89" s="35" t="inlineStr">
        <is>
          <t>9243</t>
        </is>
      </c>
      <c r="B89" s="35" t="inlineStr">
        <is>
          <t>MDLZ</t>
        </is>
      </c>
      <c r="C89" s="5" t="inlineStr">
        <is>
          <t>Милка Крем бисквита 100гр.</t>
        </is>
      </c>
      <c r="D89" s="24" t="n">
        <v>36</v>
      </c>
      <c r="E89" s="6" t="n">
        <v>91.84847353808868</v>
      </c>
      <c r="F89" s="6" t="n">
        <v>64.75511675350107</v>
      </c>
      <c r="G89" s="6">
        <f>E89-F89</f>
        <v/>
      </c>
      <c r="H89" s="36" t="n">
        <v>1.992</v>
      </c>
      <c r="I89" s="36">
        <f>IF(B89="MDLZ", H89*(1-0.068), H89*(1-0.040))</f>
        <v/>
      </c>
      <c r="J89" s="36" t="n">
        <v>1.09</v>
      </c>
      <c r="K89" s="6">
        <f>D89*H89</f>
        <v/>
      </c>
      <c r="L89" s="6">
        <f>D89*I89</f>
        <v/>
      </c>
      <c r="M89" s="6">
        <f>D89*J89</f>
        <v/>
      </c>
      <c r="N89" s="6">
        <f>E89-K89</f>
        <v/>
      </c>
      <c r="O89" s="6">
        <f>E89-L89</f>
        <v/>
      </c>
      <c r="P89" s="6">
        <f>E89-M89</f>
        <v/>
      </c>
      <c r="Q89" s="8">
        <f>K89-M89</f>
        <v/>
      </c>
      <c r="R89" s="8">
        <f>L89-M89</f>
        <v/>
      </c>
      <c r="S89" s="7">
        <f>IF(E89&gt;0, G89/E89, 0)</f>
        <v/>
      </c>
      <c r="T89" s="7">
        <f>IF(E89&gt;0, N89/E89, 0)</f>
        <v/>
      </c>
      <c r="U89" s="7">
        <f>IF(E89&gt;0, O89/E89, 0)</f>
        <v/>
      </c>
      <c r="V89" s="7">
        <f>IF(E89&gt;0, P89/E89, 0)</f>
        <v/>
      </c>
    </row>
    <row r="90" ht="19" customHeight="1">
      <c r="A90" s="35" t="inlineStr">
        <is>
          <t>17383</t>
        </is>
      </c>
      <c r="B90" s="35" t="inlineStr">
        <is>
          <t>MDLZ</t>
        </is>
      </c>
      <c r="C90" s="5" t="inlineStr">
        <is>
          <t>Б-ти Милка Шоколад 128гр.</t>
        </is>
      </c>
      <c r="D90" s="24" t="n">
        <v>38</v>
      </c>
      <c r="E90" s="6" t="n">
        <v>87.2366207696988</v>
      </c>
      <c r="F90" s="6" t="n">
        <v>62.97582100693823</v>
      </c>
      <c r="G90" s="6">
        <f>E90-F90</f>
        <v/>
      </c>
      <c r="H90" s="36" t="n">
        <v>1.68</v>
      </c>
      <c r="I90" s="36">
        <f>IF(B90="MDLZ", H90*(1-0.068), H90*(1-0.040))</f>
        <v/>
      </c>
      <c r="J90" s="36" t="n">
        <v>1.34</v>
      </c>
      <c r="K90" s="6">
        <f>D90*H90</f>
        <v/>
      </c>
      <c r="L90" s="6">
        <f>D90*I90</f>
        <v/>
      </c>
      <c r="M90" s="6">
        <f>D90*J90</f>
        <v/>
      </c>
      <c r="N90" s="6">
        <f>E90-K90</f>
        <v/>
      </c>
      <c r="O90" s="6">
        <f>E90-L90</f>
        <v/>
      </c>
      <c r="P90" s="6">
        <f>E90-M90</f>
        <v/>
      </c>
      <c r="Q90" s="8">
        <f>K90-M90</f>
        <v/>
      </c>
      <c r="R90" s="8">
        <f>L90-M90</f>
        <v/>
      </c>
      <c r="S90" s="7">
        <f>IF(E90&gt;0, G90/E90, 0)</f>
        <v/>
      </c>
      <c r="T90" s="7">
        <f>IF(E90&gt;0, N90/E90, 0)</f>
        <v/>
      </c>
      <c r="U90" s="7">
        <f>IF(E90&gt;0, O90/E90, 0)</f>
        <v/>
      </c>
      <c r="V90" s="7">
        <f>IF(E90&gt;0, P90/E90, 0)</f>
        <v/>
      </c>
    </row>
    <row r="91" ht="19" customHeight="1">
      <c r="A91" s="35" t="inlineStr">
        <is>
          <t>3066</t>
        </is>
      </c>
      <c r="B91" s="35" t="inlineStr">
        <is>
          <t>MDLZ</t>
        </is>
      </c>
      <c r="C91" s="5" t="inlineStr">
        <is>
          <t>Милка Орео брауни 100гр.</t>
        </is>
      </c>
      <c r="D91" s="24" t="n">
        <v>40</v>
      </c>
      <c r="E91" s="6" t="n">
        <v>82.62476800130891</v>
      </c>
      <c r="F91" s="6" t="n">
        <v>62.11173772771662</v>
      </c>
      <c r="G91" s="6">
        <f>E91-F91</f>
        <v/>
      </c>
      <c r="H91" s="36" t="n">
        <v>1.992</v>
      </c>
      <c r="I91" s="36">
        <f>IF(B91="MDLZ", H91*(1-0.068), H91*(1-0.040))</f>
        <v/>
      </c>
      <c r="J91" s="36" t="n">
        <v>1.09</v>
      </c>
      <c r="K91" s="6">
        <f>D91*H91</f>
        <v/>
      </c>
      <c r="L91" s="6">
        <f>D91*I91</f>
        <v/>
      </c>
      <c r="M91" s="6">
        <f>D91*J91</f>
        <v/>
      </c>
      <c r="N91" s="6">
        <f>E91-K91</f>
        <v/>
      </c>
      <c r="O91" s="6">
        <f>E91-L91</f>
        <v/>
      </c>
      <c r="P91" s="6">
        <f>E91-M91</f>
        <v/>
      </c>
      <c r="Q91" s="8">
        <f>K91-M91</f>
        <v/>
      </c>
      <c r="R91" s="8">
        <f>L91-M91</f>
        <v/>
      </c>
      <c r="S91" s="7">
        <f>IF(E91&gt;0, G91/E91, 0)</f>
        <v/>
      </c>
      <c r="T91" s="7">
        <f>IF(E91&gt;0, N91/E91, 0)</f>
        <v/>
      </c>
      <c r="U91" s="7">
        <f>IF(E91&gt;0, O91/E91, 0)</f>
        <v/>
      </c>
      <c r="V91" s="7">
        <f>IF(E91&gt;0, P91/E91, 0)</f>
        <v/>
      </c>
    </row>
    <row r="92" ht="19" customHeight="1">
      <c r="A92" s="35" t="inlineStr">
        <is>
          <t>1534</t>
        </is>
      </c>
      <c r="B92" s="35" t="inlineStr">
        <is>
          <t>MDLZ</t>
        </is>
      </c>
      <c r="C92" s="5" t="inlineStr">
        <is>
          <t>Милка Карамел 100гр.</t>
        </is>
      </c>
      <c r="D92" s="24" t="n">
        <v>42</v>
      </c>
      <c r="E92" s="6" t="n">
        <v>81.59195840129254</v>
      </c>
      <c r="F92" s="6" t="n">
        <v>64.98519810003937</v>
      </c>
      <c r="G92" s="6">
        <f>E92-F92</f>
        <v/>
      </c>
      <c r="H92" s="36" t="n">
        <v>1.992</v>
      </c>
      <c r="I92" s="36">
        <f>IF(B92="MDLZ", H92*(1-0.068), H92*(1-0.040))</f>
        <v/>
      </c>
      <c r="J92" s="36" t="n">
        <v>1.09</v>
      </c>
      <c r="K92" s="6">
        <f>D92*H92</f>
        <v/>
      </c>
      <c r="L92" s="6">
        <f>D92*I92</f>
        <v/>
      </c>
      <c r="M92" s="6">
        <f>D92*J92</f>
        <v/>
      </c>
      <c r="N92" s="6">
        <f>E92-K92</f>
        <v/>
      </c>
      <c r="O92" s="6">
        <f>E92-L92</f>
        <v/>
      </c>
      <c r="P92" s="6">
        <f>E92-M92</f>
        <v/>
      </c>
      <c r="Q92" s="8">
        <f>K92-M92</f>
        <v/>
      </c>
      <c r="R92" s="8">
        <f>L92-M92</f>
        <v/>
      </c>
      <c r="S92" s="7">
        <f>IF(E92&gt;0, G92/E92, 0)</f>
        <v/>
      </c>
      <c r="T92" s="7">
        <f>IF(E92&gt;0, N92/E92, 0)</f>
        <v/>
      </c>
      <c r="U92" s="7">
        <f>IF(E92&gt;0, O92/E92, 0)</f>
        <v/>
      </c>
      <c r="V92" s="7">
        <f>IF(E92&gt;0, P92/E92, 0)</f>
        <v/>
      </c>
    </row>
    <row r="93" ht="19" customHeight="1">
      <c r="A93" s="35" t="inlineStr">
        <is>
          <t>7145</t>
        </is>
      </c>
      <c r="B93" s="35" t="inlineStr">
        <is>
          <t>MDLZ</t>
        </is>
      </c>
      <c r="C93" s="5" t="inlineStr">
        <is>
          <t>Сезони Ягода 140г</t>
        </is>
      </c>
      <c r="D93" s="24" t="n">
        <v>23</v>
      </c>
      <c r="E93" s="6" t="n">
        <v>76.32053910615953</v>
      </c>
      <c r="F93" s="6" t="n">
        <v>54.59063415532025</v>
      </c>
      <c r="G93" s="6">
        <f>E93-F93</f>
        <v/>
      </c>
      <c r="H93" s="36" t="n">
        <v>2.388</v>
      </c>
      <c r="I93" s="36">
        <f>IF(B93="MDLZ", H93*(1-0.068), H93*(1-0.040))</f>
        <v/>
      </c>
      <c r="J93" s="36" t="n">
        <v>1.99</v>
      </c>
      <c r="K93" s="6">
        <f>D93*H93</f>
        <v/>
      </c>
      <c r="L93" s="6">
        <f>D93*I93</f>
        <v/>
      </c>
      <c r="M93" s="6">
        <f>D93*J93</f>
        <v/>
      </c>
      <c r="N93" s="6">
        <f>E93-K93</f>
        <v/>
      </c>
      <c r="O93" s="6">
        <f>E93-L93</f>
        <v/>
      </c>
      <c r="P93" s="6">
        <f>E93-M93</f>
        <v/>
      </c>
      <c r="Q93" s="8">
        <f>K93-M93</f>
        <v/>
      </c>
      <c r="R93" s="8">
        <f>L93-M93</f>
        <v/>
      </c>
      <c r="S93" s="7">
        <f>IF(E93&gt;0, G93/E93, 0)</f>
        <v/>
      </c>
      <c r="T93" s="7">
        <f>IF(E93&gt;0, N93/E93, 0)</f>
        <v/>
      </c>
      <c r="U93" s="7">
        <f>IF(E93&gt;0, O93/E93, 0)</f>
        <v/>
      </c>
      <c r="V93" s="7">
        <f>IF(E93&gt;0, P93/E93, 0)</f>
        <v/>
      </c>
    </row>
    <row r="94" ht="19" customHeight="1">
      <c r="A94" s="35" t="inlineStr">
        <is>
          <t>7072</t>
        </is>
      </c>
      <c r="B94" s="35" t="inlineStr">
        <is>
          <t>MDLZ</t>
        </is>
      </c>
      <c r="C94" s="5" t="inlineStr">
        <is>
          <t>Милка Орео 100гр.</t>
        </is>
      </c>
      <c r="D94" s="24" t="n">
        <v>31</v>
      </c>
      <c r="E94" s="6" t="n">
        <v>67.84331971592623</v>
      </c>
      <c r="F94" s="6" t="n">
        <v>54.65710209987576</v>
      </c>
      <c r="G94" s="6">
        <f>E94-F94</f>
        <v/>
      </c>
      <c r="H94" s="36" t="n">
        <v>1.992</v>
      </c>
      <c r="I94" s="36">
        <f>IF(B94="MDLZ", H94*(1-0.068), H94*(1-0.040))</f>
        <v/>
      </c>
      <c r="J94" s="36" t="n">
        <v>1.09</v>
      </c>
      <c r="K94" s="6">
        <f>D94*H94</f>
        <v/>
      </c>
      <c r="L94" s="6">
        <f>D94*I94</f>
        <v/>
      </c>
      <c r="M94" s="6">
        <f>D94*J94</f>
        <v/>
      </c>
      <c r="N94" s="6">
        <f>E94-K94</f>
        <v/>
      </c>
      <c r="O94" s="6">
        <f>E94-L94</f>
        <v/>
      </c>
      <c r="P94" s="6">
        <f>E94-M94</f>
        <v/>
      </c>
      <c r="Q94" s="8">
        <f>K94-M94</f>
        <v/>
      </c>
      <c r="R94" s="8">
        <f>L94-M94</f>
        <v/>
      </c>
      <c r="S94" s="7">
        <f>IF(E94&gt;0, G94/E94, 0)</f>
        <v/>
      </c>
      <c r="T94" s="7">
        <f>IF(E94&gt;0, N94/E94, 0)</f>
        <v/>
      </c>
      <c r="U94" s="7">
        <f>IF(E94&gt;0, O94/E94, 0)</f>
        <v/>
      </c>
      <c r="V94" s="7">
        <f>IF(E94&gt;0, P94/E94, 0)</f>
        <v/>
      </c>
    </row>
    <row r="95" ht="19" customHeight="1">
      <c r="A95" s="35" t="inlineStr">
        <is>
          <t>630287</t>
        </is>
      </c>
      <c r="B95" s="35" t="inlineStr">
        <is>
          <t>MDLZ</t>
        </is>
      </c>
      <c r="C95" s="5" t="inlineStr">
        <is>
          <t>Милка лешници и стафиди 90 гр. НОВ</t>
        </is>
      </c>
      <c r="D95" s="24" t="n">
        <v>26</v>
      </c>
      <c r="E95" s="6" t="n">
        <v>66.33500866639739</v>
      </c>
      <c r="F95" s="6" t="n">
        <v>39.76828251944187</v>
      </c>
      <c r="G95" s="6">
        <f>E95-F95</f>
        <v/>
      </c>
      <c r="H95" s="36" t="n">
        <v>2.1</v>
      </c>
      <c r="I95" s="36">
        <f>IF(B95="MDLZ", H95*(1-0.068), H95*(1-0.040))</f>
        <v/>
      </c>
      <c r="J95" s="36" t="n">
        <v>1.09</v>
      </c>
      <c r="K95" s="6">
        <f>D95*H95</f>
        <v/>
      </c>
      <c r="L95" s="6">
        <f>D95*I95</f>
        <v/>
      </c>
      <c r="M95" s="6">
        <f>D95*J95</f>
        <v/>
      </c>
      <c r="N95" s="6">
        <f>E95-K95</f>
        <v/>
      </c>
      <c r="O95" s="6">
        <f>E95-L95</f>
        <v/>
      </c>
      <c r="P95" s="6">
        <f>E95-M95</f>
        <v/>
      </c>
      <c r="Q95" s="8">
        <f>K95-M95</f>
        <v/>
      </c>
      <c r="R95" s="8">
        <f>L95-M95</f>
        <v/>
      </c>
      <c r="S95" s="7">
        <f>IF(E95&gt;0, G95/E95, 0)</f>
        <v/>
      </c>
      <c r="T95" s="7">
        <f>IF(E95&gt;0, N95/E95, 0)</f>
        <v/>
      </c>
      <c r="U95" s="7">
        <f>IF(E95&gt;0, O95/E95, 0)</f>
        <v/>
      </c>
      <c r="V95" s="7">
        <f>IF(E95&gt;0, P95/E95, 0)</f>
        <v/>
      </c>
    </row>
    <row r="96" ht="19" customHeight="1">
      <c r="A96" s="35" t="inlineStr">
        <is>
          <t>632907</t>
        </is>
      </c>
      <c r="B96" s="35" t="inlineStr">
        <is>
          <t>MDLZ</t>
        </is>
      </c>
      <c r="C96" s="5" t="inlineStr">
        <is>
          <t>Милкинис Стик голям 87.5гр.</t>
        </is>
      </c>
      <c r="D96" s="24" t="n">
        <v>29</v>
      </c>
      <c r="E96" s="6" t="n">
        <v>64.78579426637285</v>
      </c>
      <c r="F96" s="6" t="n">
        <v>46.99283680074444</v>
      </c>
      <c r="G96" s="6">
        <f>E96-F96</f>
        <v/>
      </c>
      <c r="H96" s="36" t="n">
        <v>1.992</v>
      </c>
      <c r="I96" s="36">
        <f>IF(B96="MDLZ", H96*(1-0.068), H96*(1-0.040))</f>
        <v/>
      </c>
      <c r="J96" s="36" t="n">
        <v>1.09</v>
      </c>
      <c r="K96" s="6">
        <f>D96*H96</f>
        <v/>
      </c>
      <c r="L96" s="6">
        <f>D96*I96</f>
        <v/>
      </c>
      <c r="M96" s="6">
        <f>D96*J96</f>
        <v/>
      </c>
      <c r="N96" s="6">
        <f>E96-K96</f>
        <v/>
      </c>
      <c r="O96" s="6">
        <f>E96-L96</f>
        <v/>
      </c>
      <c r="P96" s="6">
        <f>E96-M96</f>
        <v/>
      </c>
      <c r="Q96" s="8">
        <f>K96-M96</f>
        <v/>
      </c>
      <c r="R96" s="8">
        <f>L96-M96</f>
        <v/>
      </c>
      <c r="S96" s="7">
        <f>IF(E96&gt;0, G96/E96, 0)</f>
        <v/>
      </c>
      <c r="T96" s="7">
        <f>IF(E96&gt;0, N96/E96, 0)</f>
        <v/>
      </c>
      <c r="U96" s="7">
        <f>IF(E96&gt;0, O96/E96, 0)</f>
        <v/>
      </c>
      <c r="V96" s="7">
        <f>IF(E96&gt;0, P96/E96, 0)</f>
        <v/>
      </c>
    </row>
    <row r="97" ht="19" customHeight="1">
      <c r="A97" s="35" t="inlineStr">
        <is>
          <t>9265</t>
        </is>
      </c>
      <c r="B97" s="35" t="inlineStr">
        <is>
          <t>MDLZ</t>
        </is>
      </c>
      <c r="C97" s="5" t="inlineStr">
        <is>
          <t>Милка Орео бял 100гр.</t>
        </is>
      </c>
      <c r="D97" s="24" t="n">
        <v>25</v>
      </c>
      <c r="E97" s="6" t="n">
        <v>63.78366217922826</v>
      </c>
      <c r="F97" s="6" t="n">
        <v>40.17220310558689</v>
      </c>
      <c r="G97" s="6">
        <f>E97-F97</f>
        <v/>
      </c>
      <c r="H97" s="36" t="n">
        <v>1.992</v>
      </c>
      <c r="I97" s="36">
        <f>IF(B97="MDLZ", H97*(1-0.068), H97*(1-0.040))</f>
        <v/>
      </c>
      <c r="J97" s="36" t="n">
        <v>1.09</v>
      </c>
      <c r="K97" s="6">
        <f>D97*H97</f>
        <v/>
      </c>
      <c r="L97" s="6">
        <f>D97*I97</f>
        <v/>
      </c>
      <c r="M97" s="6">
        <f>D97*J97</f>
        <v/>
      </c>
      <c r="N97" s="6">
        <f>E97-K97</f>
        <v/>
      </c>
      <c r="O97" s="6">
        <f>E97-L97</f>
        <v/>
      </c>
      <c r="P97" s="6">
        <f>E97-M97</f>
        <v/>
      </c>
      <c r="Q97" s="8">
        <f>K97-M97</f>
        <v/>
      </c>
      <c r="R97" s="8">
        <f>L97-M97</f>
        <v/>
      </c>
      <c r="S97" s="7">
        <f>IF(E97&gt;0, G97/E97, 0)</f>
        <v/>
      </c>
      <c r="T97" s="7">
        <f>IF(E97&gt;0, N97/E97, 0)</f>
        <v/>
      </c>
      <c r="U97" s="7">
        <f>IF(E97&gt;0, O97/E97, 0)</f>
        <v/>
      </c>
      <c r="V97" s="7">
        <f>IF(E97&gt;0, P97/E97, 0)</f>
        <v/>
      </c>
    </row>
    <row r="98" ht="19" customHeight="1">
      <c r="A98" s="35" t="inlineStr">
        <is>
          <t>630065</t>
        </is>
      </c>
      <c r="B98" s="35" t="inlineStr">
        <is>
          <t>MDLZ</t>
        </is>
      </c>
      <c r="C98" s="5" t="inlineStr">
        <is>
          <t>Тоблерон млечен 35гр.</t>
        </is>
      </c>
      <c r="D98" s="24" t="n">
        <v>56</v>
      </c>
      <c r="E98" s="6" t="n">
        <v>56.97836724050659</v>
      </c>
      <c r="F98" s="6" t="n">
        <v>41.23057729966306</v>
      </c>
      <c r="G98" s="6">
        <f>E98-F98</f>
        <v/>
      </c>
      <c r="H98" s="36" t="n">
        <v>0.744</v>
      </c>
      <c r="I98" s="36">
        <f>IF(B98="MDLZ", H98*(1-0.068), H98*(1-0.040))</f>
        <v/>
      </c>
      <c r="J98" s="36" t="n">
        <v>0.66</v>
      </c>
      <c r="K98" s="6">
        <f>D98*H98</f>
        <v/>
      </c>
      <c r="L98" s="6">
        <f>D98*I98</f>
        <v/>
      </c>
      <c r="M98" s="6">
        <f>D98*J98</f>
        <v/>
      </c>
      <c r="N98" s="6">
        <f>E98-K98</f>
        <v/>
      </c>
      <c r="O98" s="6">
        <f>E98-L98</f>
        <v/>
      </c>
      <c r="P98" s="6">
        <f>E98-M98</f>
        <v/>
      </c>
      <c r="Q98" s="8">
        <f>K98-M98</f>
        <v/>
      </c>
      <c r="R98" s="8">
        <f>L98-M98</f>
        <v/>
      </c>
      <c r="S98" s="7">
        <f>IF(E98&gt;0, G98/E98, 0)</f>
        <v/>
      </c>
      <c r="T98" s="7">
        <f>IF(E98&gt;0, N98/E98, 0)</f>
        <v/>
      </c>
      <c r="U98" s="7">
        <f>IF(E98&gt;0, O98/E98, 0)</f>
        <v/>
      </c>
      <c r="V98" s="7">
        <f>IF(E98&gt;0, P98/E98, 0)</f>
        <v/>
      </c>
    </row>
    <row r="99" ht="19" customHeight="1">
      <c r="A99" s="35" t="inlineStr">
        <is>
          <t>9606</t>
        </is>
      </c>
      <c r="B99" s="35" t="inlineStr">
        <is>
          <t>MDLZ</t>
        </is>
      </c>
      <c r="C99" s="5" t="inlineStr">
        <is>
          <t>Милка Шоко бисквита 300гр.</t>
        </is>
      </c>
      <c r="D99" s="24" t="n">
        <v>8</v>
      </c>
      <c r="E99" s="6" t="n">
        <v>54.56506956126044</v>
      </c>
      <c r="F99" s="6" t="n">
        <v>34.57866992530025</v>
      </c>
      <c r="G99" s="6">
        <f>E99-F99</f>
        <v/>
      </c>
      <c r="H99" s="36" t="n">
        <v>5.892</v>
      </c>
      <c r="I99" s="36">
        <f>IF(B99="MDLZ", H99*(1-0.068), H99*(1-0.040))</f>
        <v/>
      </c>
      <c r="J99" s="36" t="n">
        <v>3.99</v>
      </c>
      <c r="K99" s="6">
        <f>D99*H99</f>
        <v/>
      </c>
      <c r="L99" s="6">
        <f>D99*I99</f>
        <v/>
      </c>
      <c r="M99" s="6">
        <f>D99*J99</f>
        <v/>
      </c>
      <c r="N99" s="6">
        <f>E99-K99</f>
        <v/>
      </c>
      <c r="O99" s="6">
        <f>E99-L99</f>
        <v/>
      </c>
      <c r="P99" s="6">
        <f>E99-M99</f>
        <v/>
      </c>
      <c r="Q99" s="8">
        <f>K99-M99</f>
        <v/>
      </c>
      <c r="R99" s="8">
        <f>L99-M99</f>
        <v/>
      </c>
      <c r="S99" s="7">
        <f>IF(E99&gt;0, G99/E99, 0)</f>
        <v/>
      </c>
      <c r="T99" s="7">
        <f>IF(E99&gt;0, N99/E99, 0)</f>
        <v/>
      </c>
      <c r="U99" s="7">
        <f>IF(E99&gt;0, O99/E99, 0)</f>
        <v/>
      </c>
      <c r="V99" s="7">
        <f>IF(E99&gt;0, P99/E99, 0)</f>
        <v/>
      </c>
    </row>
    <row r="100" ht="19" customHeight="1">
      <c r="A100" s="35" t="inlineStr">
        <is>
          <t>13364</t>
        </is>
      </c>
      <c r="B100" s="35" t="inlineStr">
        <is>
          <t>MDLZ</t>
        </is>
      </c>
      <c r="C100" s="5" t="inlineStr">
        <is>
          <t>Милка Орео 300гр.</t>
        </is>
      </c>
      <c r="D100" s="24" t="n">
        <v>7</v>
      </c>
      <c r="E100" s="6" t="n">
        <v>47.00306263836836</v>
      </c>
      <c r="F100" s="6" t="n">
        <v>30.59570617078171</v>
      </c>
      <c r="G100" s="6">
        <f>E100-F100</f>
        <v/>
      </c>
      <c r="H100" s="36" t="n">
        <v>5.892</v>
      </c>
      <c r="I100" s="36">
        <f>IF(B100="MDLZ", H100*(1-0.068), H100*(1-0.040))</f>
        <v/>
      </c>
      <c r="J100" s="36" t="n">
        <v>3.99</v>
      </c>
      <c r="K100" s="6">
        <f>D100*H100</f>
        <v/>
      </c>
      <c r="L100" s="6">
        <f>D100*I100</f>
        <v/>
      </c>
      <c r="M100" s="6">
        <f>D100*J100</f>
        <v/>
      </c>
      <c r="N100" s="6">
        <f>E100-K100</f>
        <v/>
      </c>
      <c r="O100" s="6">
        <f>E100-L100</f>
        <v/>
      </c>
      <c r="P100" s="6">
        <f>E100-M100</f>
        <v/>
      </c>
      <c r="Q100" s="8">
        <f>K100-M100</f>
        <v/>
      </c>
      <c r="R100" s="8">
        <f>L100-M100</f>
        <v/>
      </c>
      <c r="S100" s="7">
        <f>IF(E100&gt;0, G100/E100, 0)</f>
        <v/>
      </c>
      <c r="T100" s="7">
        <f>IF(E100&gt;0, N100/E100, 0)</f>
        <v/>
      </c>
      <c r="U100" s="7">
        <f>IF(E100&gt;0, O100/E100, 0)</f>
        <v/>
      </c>
      <c r="V100" s="7">
        <f>IF(E100&gt;0, P100/E100, 0)</f>
        <v/>
      </c>
    </row>
    <row r="101" ht="19" customHeight="1">
      <c r="A101" s="35" t="inlineStr">
        <is>
          <t>630289</t>
        </is>
      </c>
      <c r="B101" s="35" t="inlineStr">
        <is>
          <t>MDLZ</t>
        </is>
      </c>
      <c r="C101" s="5" t="inlineStr">
        <is>
          <t>Сезони Ванилия 140г</t>
        </is>
      </c>
      <c r="D101" s="24" t="n">
        <v>14</v>
      </c>
      <c r="E101" s="6" t="n">
        <v>46.45598032548841</v>
      </c>
      <c r="F101" s="6" t="n">
        <v>33.49984405597623</v>
      </c>
      <c r="G101" s="6">
        <f>E101-F101</f>
        <v/>
      </c>
      <c r="H101" s="36" t="n">
        <v>2.388</v>
      </c>
      <c r="I101" s="36">
        <f>IF(B101="MDLZ", H101*(1-0.068), H101*(1-0.040))</f>
        <v/>
      </c>
      <c r="J101" s="36" t="n">
        <v>1.99</v>
      </c>
      <c r="K101" s="6">
        <f>D101*H101</f>
        <v/>
      </c>
      <c r="L101" s="6">
        <f>D101*I101</f>
        <v/>
      </c>
      <c r="M101" s="6">
        <f>D101*J101</f>
        <v/>
      </c>
      <c r="N101" s="6">
        <f>E101-K101</f>
        <v/>
      </c>
      <c r="O101" s="6">
        <f>E101-L101</f>
        <v/>
      </c>
      <c r="P101" s="6">
        <f>E101-M101</f>
        <v/>
      </c>
      <c r="Q101" s="8">
        <f>K101-M101</f>
        <v/>
      </c>
      <c r="R101" s="8">
        <f>L101-M101</f>
        <v/>
      </c>
      <c r="S101" s="7">
        <f>IF(E101&gt;0, G101/E101, 0)</f>
        <v/>
      </c>
      <c r="T101" s="7">
        <f>IF(E101&gt;0, N101/E101, 0)</f>
        <v/>
      </c>
      <c r="U101" s="7">
        <f>IF(E101&gt;0, O101/E101, 0)</f>
        <v/>
      </c>
      <c r="V101" s="7">
        <f>IF(E101&gt;0, P101/E101, 0)</f>
        <v/>
      </c>
    </row>
    <row r="102" ht="19" customHeight="1">
      <c r="A102" s="35" t="inlineStr">
        <is>
          <t>16890</t>
        </is>
      </c>
      <c r="B102" s="35" t="inlineStr">
        <is>
          <t>MDLZ</t>
        </is>
      </c>
      <c r="C102" s="5" t="inlineStr">
        <is>
          <t>Б-ти Милка Кукис с лешн. 135 гр</t>
        </is>
      </c>
      <c r="D102" s="24" t="n">
        <v>18</v>
      </c>
      <c r="E102" s="6" t="n">
        <v>41.32260983827838</v>
      </c>
      <c r="F102" s="6" t="n">
        <v>28.43294151332171</v>
      </c>
      <c r="G102" s="6">
        <f>E102-F102</f>
        <v/>
      </c>
      <c r="H102" s="36" t="n">
        <v>1.68</v>
      </c>
      <c r="I102" s="36">
        <f>IF(B102="MDLZ", H102*(1-0.068), H102*(1-0.040))</f>
        <v/>
      </c>
      <c r="J102" s="36" t="n">
        <v>1.34</v>
      </c>
      <c r="K102" s="6">
        <f>D102*H102</f>
        <v/>
      </c>
      <c r="L102" s="6">
        <f>D102*I102</f>
        <v/>
      </c>
      <c r="M102" s="6">
        <f>D102*J102</f>
        <v/>
      </c>
      <c r="N102" s="6">
        <f>E102-K102</f>
        <v/>
      </c>
      <c r="O102" s="6">
        <f>E102-L102</f>
        <v/>
      </c>
      <c r="P102" s="6">
        <f>E102-M102</f>
        <v/>
      </c>
      <c r="Q102" s="8">
        <f>K102-M102</f>
        <v/>
      </c>
      <c r="R102" s="8">
        <f>L102-M102</f>
        <v/>
      </c>
      <c r="S102" s="7">
        <f>IF(E102&gt;0, G102/E102, 0)</f>
        <v/>
      </c>
      <c r="T102" s="7">
        <f>IF(E102&gt;0, N102/E102, 0)</f>
        <v/>
      </c>
      <c r="U102" s="7">
        <f>IF(E102&gt;0, O102/E102, 0)</f>
        <v/>
      </c>
      <c r="V102" s="7">
        <f>IF(E102&gt;0, P102/E102, 0)</f>
        <v/>
      </c>
    </row>
    <row r="103" ht="19" customHeight="1">
      <c r="A103" s="35" t="inlineStr">
        <is>
          <t>10001</t>
        </is>
      </c>
      <c r="B103" s="35" t="inlineStr">
        <is>
          <t>MDLZ</t>
        </is>
      </c>
      <c r="C103" s="5" t="inlineStr">
        <is>
          <t>Милка Лешници и стафиди 270гр.</t>
        </is>
      </c>
      <c r="D103" s="24" t="n">
        <v>6</v>
      </c>
      <c r="E103" s="6" t="n">
        <v>36.47556280453823</v>
      </c>
      <c r="F103" s="6" t="n">
        <v>25.97874048357986</v>
      </c>
      <c r="G103" s="6">
        <f>E103-F103</f>
        <v/>
      </c>
      <c r="H103" s="36" t="n">
        <v>5.892</v>
      </c>
      <c r="I103" s="36">
        <f>IF(B103="MDLZ", H103*(1-0.068), H103*(1-0.040))</f>
        <v/>
      </c>
      <c r="J103" s="36" t="n">
        <v>3.99</v>
      </c>
      <c r="K103" s="6">
        <f>D103*H103</f>
        <v/>
      </c>
      <c r="L103" s="6">
        <f>D103*I103</f>
        <v/>
      </c>
      <c r="M103" s="6">
        <f>D103*J103</f>
        <v/>
      </c>
      <c r="N103" s="6">
        <f>E103-K103</f>
        <v/>
      </c>
      <c r="O103" s="6">
        <f>E103-L103</f>
        <v/>
      </c>
      <c r="P103" s="6">
        <f>E103-M103</f>
        <v/>
      </c>
      <c r="Q103" s="8">
        <f>K103-M103</f>
        <v/>
      </c>
      <c r="R103" s="8">
        <f>L103-M103</f>
        <v/>
      </c>
      <c r="S103" s="7">
        <f>IF(E103&gt;0, G103/E103, 0)</f>
        <v/>
      </c>
      <c r="T103" s="7">
        <f>IF(E103&gt;0, N103/E103, 0)</f>
        <v/>
      </c>
      <c r="U103" s="7">
        <f>IF(E103&gt;0, O103/E103, 0)</f>
        <v/>
      </c>
      <c r="V103" s="7">
        <f>IF(E103&gt;0, P103/E103, 0)</f>
        <v/>
      </c>
    </row>
    <row r="104" ht="19" customHeight="1">
      <c r="A104" s="35" t="inlineStr">
        <is>
          <t>13721</t>
        </is>
      </c>
      <c r="B104" s="35" t="inlineStr">
        <is>
          <t>MDLZ</t>
        </is>
      </c>
      <c r="C104" s="5" t="inlineStr">
        <is>
          <t>Милка кисело мляко 100г</t>
        </is>
      </c>
      <c r="D104" s="24" t="n">
        <v>14</v>
      </c>
      <c r="E104" s="6" t="n">
        <v>35.71885082036783</v>
      </c>
      <c r="F104" s="6" t="n">
        <v>20.54370778646406</v>
      </c>
      <c r="G104" s="6">
        <f>E104-F104</f>
        <v/>
      </c>
      <c r="H104" s="36" t="n">
        <v>1.992</v>
      </c>
      <c r="I104" s="36">
        <f>IF(B104="MDLZ", H104*(1-0.068), H104*(1-0.040))</f>
        <v/>
      </c>
      <c r="J104" s="36" t="n">
        <v>1.09</v>
      </c>
      <c r="K104" s="6">
        <f>D104*H104</f>
        <v/>
      </c>
      <c r="L104" s="6">
        <f>D104*I104</f>
        <v/>
      </c>
      <c r="M104" s="6">
        <f>D104*J104</f>
        <v/>
      </c>
      <c r="N104" s="6">
        <f>E104-K104</f>
        <v/>
      </c>
      <c r="O104" s="6">
        <f>E104-L104</f>
        <v/>
      </c>
      <c r="P104" s="6">
        <f>E104-M104</f>
        <v/>
      </c>
      <c r="Q104" s="8">
        <f>K104-M104</f>
        <v/>
      </c>
      <c r="R104" s="8">
        <f>L104-M104</f>
        <v/>
      </c>
      <c r="S104" s="7">
        <f>IF(E104&gt;0, G104/E104, 0)</f>
        <v/>
      </c>
      <c r="T104" s="7">
        <f>IF(E104&gt;0, N104/E104, 0)</f>
        <v/>
      </c>
      <c r="U104" s="7">
        <f>IF(E104&gt;0, O104/E104, 0)</f>
        <v/>
      </c>
      <c r="V104" s="7">
        <f>IF(E104&gt;0, P104/E104, 0)</f>
        <v/>
      </c>
    </row>
    <row r="105" ht="24" customHeight="1">
      <c r="A105" s="37" t="inlineStr">
        <is>
          <t>ОБЩО / TOTAL</t>
        </is>
      </c>
      <c r="B105" s="38" t="n"/>
      <c r="C105" s="38" t="n"/>
      <c r="D105" s="32">
        <f>SUM(D11:D104)</f>
        <v/>
      </c>
      <c r="E105" s="33">
        <f>SUM(E11:E104)</f>
        <v/>
      </c>
      <c r="F105" s="33">
        <f>SUM(F11:F104)</f>
        <v/>
      </c>
      <c r="G105" s="33">
        <f>SUM(G11:G104)</f>
        <v/>
      </c>
      <c r="H105" s="39" t="inlineStr"/>
      <c r="I105" s="39" t="inlineStr"/>
      <c r="J105" s="39" t="inlineStr"/>
      <c r="K105" s="33">
        <f>SUM(K11:K104)</f>
        <v/>
      </c>
      <c r="L105" s="33">
        <f>SUM(L11:L104)</f>
        <v/>
      </c>
      <c r="M105" s="33">
        <f>SUM(M11:M104)</f>
        <v/>
      </c>
      <c r="N105" s="33">
        <f>SUM(N11:N104)</f>
        <v/>
      </c>
      <c r="O105" s="33">
        <f>SUM(O11:O104)</f>
        <v/>
      </c>
      <c r="P105" s="33">
        <f>SUM(P11:P104)</f>
        <v/>
      </c>
      <c r="Q105" s="40">
        <f>SUM(Q11:Q104)</f>
        <v/>
      </c>
      <c r="R105" s="40">
        <f>SUM(R11:R104)</f>
        <v/>
      </c>
      <c r="S105" s="34">
        <f>G105/E105</f>
        <v/>
      </c>
      <c r="T105" s="34">
        <f>N105/E105</f>
        <v/>
      </c>
      <c r="U105" s="34">
        <f>O105/E105</f>
        <v/>
      </c>
      <c r="V105" s="34">
        <f>P105/E105</f>
        <v/>
      </c>
    </row>
  </sheetData>
  <mergeCells count="3">
    <mergeCell ref="A1:G1"/>
    <mergeCell ref="A105:C105"/>
    <mergeCell ref="A8:V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0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34" customWidth="1" min="3" max="3"/>
    <col width="22" customWidth="1" min="4" max="4"/>
    <col width="26" customWidth="1" min="5" max="5"/>
    <col width="30" customWidth="1" min="6" max="6"/>
    <col width="32" customWidth="1" min="7" max="7"/>
    <col width="28" customWidth="1" min="8" max="8"/>
    <col width="51" customWidth="1" min="9" max="9"/>
    <col width="20" customWidth="1" min="10" max="10"/>
    <col width="36" customWidth="1" min="11" max="11"/>
    <col width="34" customWidth="1" min="12" max="12"/>
    <col width="28" customWidth="1" min="13" max="13"/>
    <col width="27" customWidth="1" min="14" max="14"/>
    <col width="25" customWidth="1" min="15" max="15"/>
    <col width="19" customWidth="1" min="16" max="16"/>
    <col width="35" customWidth="1" min="17" max="17"/>
    <col width="33" customWidth="1" min="18" max="18"/>
    <col width="28" customWidth="1" min="19" max="19"/>
    <col width="28" customWidth="1" min="20" max="20"/>
    <col width="28" customWidth="1" min="21" max="21"/>
    <col width="28" customWidth="1" min="22" max="22"/>
  </cols>
  <sheetData>
    <row r="1">
      <c r="A1" s="2" t="inlineStr">
        <is>
          <t>СРАВНИТЕЛЕН АНАЛИЗ НА СЦЕНАРИИ — ЯНУАРИ 2026 (РЕЗЮМЕ)</t>
        </is>
      </c>
    </row>
    <row r="2" ht="28" customHeight="1">
      <c r="A2" s="4" t="inlineStr">
        <is>
          <t>Показател / Сценарий</t>
        </is>
      </c>
      <c r="B2" s="4" t="inlineStr">
        <is>
          <t>Покупна стойност (€ с ДДС)</t>
        </is>
      </c>
      <c r="C2" s="4" t="inlineStr">
        <is>
          <t>Брутна печалба (€ с ДДС)</t>
        </is>
      </c>
      <c r="D2" s="4" t="inlineStr">
        <is>
          <t>Търговски марж (%)</t>
        </is>
      </c>
      <c r="E2" s="4" t="inlineStr">
        <is>
          <t>Разлика спрямо Яско (€)</t>
        </is>
      </c>
      <c r="F2" s="4" t="inlineStr">
        <is>
          <t>% разлика спрямо Яско</t>
        </is>
      </c>
      <c r="G2" s="4" t="inlineStr">
        <is>
          <t>Икономически ефект / Бележка</t>
        </is>
      </c>
    </row>
    <row r="3" ht="22" customHeight="1">
      <c r="A3" s="5" t="inlineStr">
        <is>
          <t>1. Рожен — Базова ценова листа</t>
        </is>
      </c>
      <c r="B3" s="6">
        <f>K105</f>
        <v/>
      </c>
      <c r="C3" s="6">
        <f>E105-B3</f>
        <v/>
      </c>
      <c r="D3" s="7">
        <f>C3/E105</f>
        <v/>
      </c>
      <c r="E3" s="8">
        <f>B3-B5</f>
        <v/>
      </c>
      <c r="F3" s="7">
        <f>IF(B3&gt;0,(B3-B5)/B3,0)</f>
        <v/>
      </c>
      <c r="G3" s="5">
        <f>"Яско е по-изгоден с " &amp; ROUND(F3*100, 1) &amp; "%"</f>
        <v/>
      </c>
    </row>
    <row r="4" ht="22" customHeight="1">
      <c r="A4" s="9" t="inlineStr">
        <is>
          <t>2. Рожен — Нето фактура (-6.8% / -4.0%)</t>
        </is>
      </c>
      <c r="B4" s="10">
        <f>L105</f>
        <v/>
      </c>
      <c r="C4" s="10">
        <f>E105-B4</f>
        <v/>
      </c>
      <c r="D4" s="11">
        <f>C4/E105</f>
        <v/>
      </c>
      <c r="E4" s="12">
        <f>B4-B5</f>
        <v/>
      </c>
      <c r="F4" s="11">
        <f>IF(B4&gt;0,(B4-B5)/B4,0)</f>
        <v/>
      </c>
      <c r="G4" s="9">
        <f>"Яско е по-изгоден с " &amp; ROUND(F4*100, 1) &amp; "%"</f>
        <v/>
      </c>
    </row>
    <row r="5" ht="22" customHeight="1">
      <c r="A5" s="13" t="inlineStr">
        <is>
          <t>3. Яско — Директни цени с ДДС</t>
        </is>
      </c>
      <c r="B5" s="14">
        <f>M105</f>
        <v/>
      </c>
      <c r="C5" s="14">
        <f>E105-B5</f>
        <v/>
      </c>
      <c r="D5" s="15">
        <f>C5/E105</f>
        <v/>
      </c>
      <c r="E5" s="16">
        <f>0.00</f>
        <v/>
      </c>
      <c r="F5" s="15" t="n">
        <v>0</v>
      </c>
      <c r="G5" s="13">
        <f>"0.00 € (База за сравнение)"</f>
        <v/>
      </c>
    </row>
    <row r="6" ht="22" customHeight="1">
      <c r="A6" s="17" t="inlineStr">
        <is>
          <t>Текущо отчетено в Мистрал ERP</t>
        </is>
      </c>
      <c r="B6" s="18">
        <f>F105</f>
        <v/>
      </c>
      <c r="C6" s="18">
        <f>G105</f>
        <v/>
      </c>
      <c r="D6" s="19">
        <f>C6/E105</f>
        <v/>
      </c>
      <c r="E6" s="20">
        <f>B6-B5</f>
        <v/>
      </c>
      <c r="F6" s="19">
        <f>IF(B6&gt;0,(B6-B5)/B6,0)</f>
        <v/>
      </c>
      <c r="G6" s="21">
        <f>"Яско спестява +" &amp; ROUND(E6, 2) &amp; " € спрямо реалното в ERP"</f>
        <v/>
      </c>
    </row>
    <row r="7"/>
    <row r="8">
      <c r="A8" s="2" t="inlineStr">
        <is>
          <t>ДЕТАЙЛНА СПРАВКА ПО АРТИКУЛИ — ЯНУАРИ 2026 (РЕАЛНИ ПРОДАЖБИ И НОВИ ЦЕНИ НА ДОСТАВЧИЦИ)</t>
        </is>
      </c>
    </row>
    <row r="9"/>
    <row r="10" ht="28" customHeight="1">
      <c r="A10" s="22" t="inlineStr">
        <is>
          <t>Мат. №</t>
        </is>
      </c>
      <c r="B10" s="22" t="inlineStr">
        <is>
          <t>Бранд</t>
        </is>
      </c>
      <c r="C10" s="22" t="inlineStr">
        <is>
          <t>Артикул (Ценова листа)</t>
        </is>
      </c>
      <c r="D10" s="22" t="inlineStr">
        <is>
          <t>Продадени К-во (бр)</t>
        </is>
      </c>
      <c r="E10" s="22" t="inlineStr">
        <is>
          <t>Оборот Сума с ДДС (€)</t>
        </is>
      </c>
      <c r="F10" s="22" t="inlineStr">
        <is>
          <t>Реална Себестойност ERP (€)</t>
        </is>
      </c>
      <c r="G10" s="22" t="inlineStr">
        <is>
          <t>Реална Печалба ERP (€)</t>
        </is>
      </c>
      <c r="H10" s="22" t="inlineStr">
        <is>
          <t>Рожен Ед. Цена Базова (€)</t>
        </is>
      </c>
      <c r="I10" s="22" t="inlineStr">
        <is>
          <t>Рожен Ед. Цена Нето Ф-ра (€)</t>
        </is>
      </c>
      <c r="J10" s="22" t="inlineStr">
        <is>
          <t>Яско Ед. Цена (€)</t>
        </is>
      </c>
      <c r="K10" s="22" t="inlineStr">
        <is>
          <t>Покупна Стойност Рожен Базова (€)</t>
        </is>
      </c>
      <c r="L10" s="22" t="inlineStr">
        <is>
          <t>Покупна Стойност Рожен Нето (€)</t>
        </is>
      </c>
      <c r="M10" s="22" t="inlineStr">
        <is>
          <t>Покупна Стойност Яско (€)</t>
        </is>
      </c>
      <c r="N10" s="22" t="inlineStr">
        <is>
          <t>Печалба Рожен Базова (€)</t>
        </is>
      </c>
      <c r="O10" s="22" t="inlineStr">
        <is>
          <t>Печалба Рожен Нето (€)</t>
        </is>
      </c>
      <c r="P10" s="22" t="inlineStr">
        <is>
          <t>Печалба Яско (€)</t>
        </is>
      </c>
      <c r="Q10" s="22" t="inlineStr">
        <is>
          <t>Икономия спрямо Базова Рожен (€)</t>
        </is>
      </c>
      <c r="R10" s="22" t="inlineStr">
        <is>
          <t>Икономия спрямо Нето Рожен (€)</t>
        </is>
      </c>
      <c r="S10" s="22" t="inlineStr">
        <is>
          <t>Марж Реален ERP %</t>
        </is>
      </c>
      <c r="T10" s="22" t="inlineStr">
        <is>
          <t>Марж Рожен Базова %</t>
        </is>
      </c>
      <c r="U10" s="22" t="inlineStr">
        <is>
          <t>Марж Рожен Нето %</t>
        </is>
      </c>
      <c r="V10" s="22" t="inlineStr">
        <is>
          <t>Марж Яско %</t>
        </is>
      </c>
    </row>
    <row r="11" ht="19" customHeight="1">
      <c r="A11" s="35" t="inlineStr">
        <is>
          <t>630298</t>
        </is>
      </c>
      <c r="B11" s="35" t="inlineStr">
        <is>
          <t>MDLZ</t>
        </is>
      </c>
      <c r="C11" s="5" t="inlineStr">
        <is>
          <t>Морени 49гр.</t>
        </is>
      </c>
      <c r="D11" s="24" t="n">
        <v>2077</v>
      </c>
      <c r="E11" s="6" t="n">
        <v>1416.19</v>
      </c>
      <c r="F11" s="6" t="n">
        <v>1033.18</v>
      </c>
      <c r="G11" s="6">
        <f>E11-F11</f>
        <v/>
      </c>
      <c r="H11" s="36" t="n">
        <v>0.614</v>
      </c>
      <c r="I11" s="36">
        <f>IF(B11="MDLZ", H11*(1-0.068), H11*(1-0.040))</f>
        <v/>
      </c>
      <c r="J11" s="36" t="n">
        <v>0.43</v>
      </c>
      <c r="K11" s="6">
        <f>D11*H11</f>
        <v/>
      </c>
      <c r="L11" s="6">
        <f>D11*I11</f>
        <v/>
      </c>
      <c r="M11" s="6">
        <f>D11*J11</f>
        <v/>
      </c>
      <c r="N11" s="6">
        <f>E11-K11</f>
        <v/>
      </c>
      <c r="O11" s="6">
        <f>E11-L11</f>
        <v/>
      </c>
      <c r="P11" s="6">
        <f>E11-M11</f>
        <v/>
      </c>
      <c r="Q11" s="8">
        <f>K11-M11</f>
        <v/>
      </c>
      <c r="R11" s="8">
        <f>L11-M11</f>
        <v/>
      </c>
      <c r="S11" s="7">
        <f>IF(E11&gt;0, G11/E11, 0)</f>
        <v/>
      </c>
      <c r="T11" s="7">
        <f>IF(E11&gt;0, N11/E11, 0)</f>
        <v/>
      </c>
      <c r="U11" s="7">
        <f>IF(E11&gt;0, O11/E11, 0)</f>
        <v/>
      </c>
      <c r="V11" s="7">
        <f>IF(E11&gt;0, P11/E11, 0)</f>
        <v/>
      </c>
    </row>
    <row r="12" ht="19" customHeight="1">
      <c r="A12" s="35" t="inlineStr">
        <is>
          <t>12459</t>
        </is>
      </c>
      <c r="B12" s="35" t="inlineStr">
        <is>
          <t>CHIPITA</t>
        </is>
      </c>
      <c r="C12" s="5" t="inlineStr">
        <is>
          <t>7ДЕЙC КРОАСАН КАКАО 110ГХ18 AC</t>
        </is>
      </c>
      <c r="D12" s="24" t="n">
        <v>634</v>
      </c>
      <c r="E12" s="6" t="n">
        <v>805.1799999999999</v>
      </c>
      <c r="F12" s="6" t="n">
        <v>543</v>
      </c>
      <c r="G12" s="6">
        <f>E12-F12</f>
        <v/>
      </c>
      <c r="H12" s="36" t="n">
        <v>0.84</v>
      </c>
      <c r="I12" s="36">
        <f>IF(B12="MDLZ", H12*(1-0.068), H12*(1-0.040))</f>
        <v/>
      </c>
      <c r="J12" s="36" t="n">
        <v>0.79</v>
      </c>
      <c r="K12" s="6">
        <f>D12*H12</f>
        <v/>
      </c>
      <c r="L12" s="6">
        <f>D12*I12</f>
        <v/>
      </c>
      <c r="M12" s="6">
        <f>D12*J12</f>
        <v/>
      </c>
      <c r="N12" s="6">
        <f>E12-K12</f>
        <v/>
      </c>
      <c r="O12" s="6">
        <f>E12-L12</f>
        <v/>
      </c>
      <c r="P12" s="6">
        <f>E12-M12</f>
        <v/>
      </c>
      <c r="Q12" s="8">
        <f>K12-M12</f>
        <v/>
      </c>
      <c r="R12" s="8">
        <f>L12-M12</f>
        <v/>
      </c>
      <c r="S12" s="7">
        <f>IF(E12&gt;0, G12/E12, 0)</f>
        <v/>
      </c>
      <c r="T12" s="7">
        <f>IF(E12&gt;0, N12/E12, 0)</f>
        <v/>
      </c>
      <c r="U12" s="7">
        <f>IF(E12&gt;0, O12/E12, 0)</f>
        <v/>
      </c>
      <c r="V12" s="7">
        <f>IF(E12&gt;0, P12/E12, 0)</f>
        <v/>
      </c>
    </row>
    <row r="13" ht="19" customHeight="1">
      <c r="A13" s="35" t="inlineStr">
        <is>
          <t>6701</t>
        </is>
      </c>
      <c r="B13" s="35" t="inlineStr">
        <is>
          <t>CHIPITA</t>
        </is>
      </c>
      <c r="C13" s="5" t="inlineStr">
        <is>
          <t>7ДЕЙС КРОАСАН КАКАО 92ГРХ20КШ</t>
        </is>
      </c>
      <c r="D13" s="24" t="n">
        <v>1123</v>
      </c>
      <c r="E13" s="6" t="n">
        <v>949.16</v>
      </c>
      <c r="F13" s="6" t="n">
        <v>700.99</v>
      </c>
      <c r="G13" s="6">
        <f>E13-F13</f>
        <v/>
      </c>
      <c r="H13" s="36" t="n">
        <v>0.672</v>
      </c>
      <c r="I13" s="36">
        <f>IF(B13="MDLZ", H13*(1-0.068), H13*(1-0.040))</f>
        <v/>
      </c>
      <c r="J13" s="36" t="n">
        <v>0.59</v>
      </c>
      <c r="K13" s="6">
        <f>D13*H13</f>
        <v/>
      </c>
      <c r="L13" s="6">
        <f>D13*I13</f>
        <v/>
      </c>
      <c r="M13" s="6">
        <f>D13*J13</f>
        <v/>
      </c>
      <c r="N13" s="6">
        <f>E13-K13</f>
        <v/>
      </c>
      <c r="O13" s="6">
        <f>E13-L13</f>
        <v/>
      </c>
      <c r="P13" s="6">
        <f>E13-M13</f>
        <v/>
      </c>
      <c r="Q13" s="8">
        <f>K13-M13</f>
        <v/>
      </c>
      <c r="R13" s="8">
        <f>L13-M13</f>
        <v/>
      </c>
      <c r="S13" s="7">
        <f>IF(E13&gt;0, G13/E13, 0)</f>
        <v/>
      </c>
      <c r="T13" s="7">
        <f>IF(E13&gt;0, N13/E13, 0)</f>
        <v/>
      </c>
      <c r="U13" s="7">
        <f>IF(E13&gt;0, O13/E13, 0)</f>
        <v/>
      </c>
      <c r="V13" s="7">
        <f>IF(E13&gt;0, P13/E13, 0)</f>
        <v/>
      </c>
    </row>
    <row r="14" ht="19" customHeight="1">
      <c r="A14" s="35" t="inlineStr">
        <is>
          <t>16891</t>
        </is>
      </c>
      <c r="B14" s="35" t="inlineStr">
        <is>
          <t>MDLZ</t>
        </is>
      </c>
      <c r="C14" s="5" t="inlineStr">
        <is>
          <t>Млечен 160 гр.</t>
        </is>
      </c>
      <c r="D14" s="24" t="n">
        <v>262</v>
      </c>
      <c r="E14" s="6" t="n">
        <v>695.13</v>
      </c>
      <c r="F14" s="6" t="n">
        <v>523.8</v>
      </c>
      <c r="G14" s="6">
        <f>E14-F14</f>
        <v/>
      </c>
      <c r="H14" s="36" t="n">
        <v>2.244</v>
      </c>
      <c r="I14" s="36">
        <f>IF(B14="MDLZ", H14*(1-0.068), H14*(1-0.040))</f>
        <v/>
      </c>
      <c r="J14" s="36" t="n">
        <v>1.99</v>
      </c>
      <c r="K14" s="6">
        <f>D14*H14</f>
        <v/>
      </c>
      <c r="L14" s="6">
        <f>D14*I14</f>
        <v/>
      </c>
      <c r="M14" s="6">
        <f>D14*J14</f>
        <v/>
      </c>
      <c r="N14" s="6">
        <f>E14-K14</f>
        <v/>
      </c>
      <c r="O14" s="6">
        <f>E14-L14</f>
        <v/>
      </c>
      <c r="P14" s="6">
        <f>E14-M14</f>
        <v/>
      </c>
      <c r="Q14" s="8">
        <f>K14-M14</f>
        <v/>
      </c>
      <c r="R14" s="8">
        <f>L14-M14</f>
        <v/>
      </c>
      <c r="S14" s="7">
        <f>IF(E14&gt;0, G14/E14, 0)</f>
        <v/>
      </c>
      <c r="T14" s="7">
        <f>IF(E14&gt;0, N14/E14, 0)</f>
        <v/>
      </c>
      <c r="U14" s="7">
        <f>IF(E14&gt;0, O14/E14, 0)</f>
        <v/>
      </c>
      <c r="V14" s="7">
        <f>IF(E14&gt;0, P14/E14, 0)</f>
        <v/>
      </c>
    </row>
    <row r="15" ht="19" customHeight="1">
      <c r="A15" s="35" t="inlineStr">
        <is>
          <t>5315</t>
        </is>
      </c>
      <c r="B15" s="35" t="inlineStr">
        <is>
          <t>MDLZ</t>
        </is>
      </c>
      <c r="C15" s="5" t="inlineStr">
        <is>
          <t>Млечен 80 гр.</t>
        </is>
      </c>
      <c r="D15" s="24" t="n">
        <v>388</v>
      </c>
      <c r="E15" s="6" t="n">
        <v>485.86</v>
      </c>
      <c r="F15" s="6" t="n">
        <v>392.53</v>
      </c>
      <c r="G15" s="6">
        <f>E15-F15</f>
        <v/>
      </c>
      <c r="H15" s="36" t="n">
        <v>1.152</v>
      </c>
      <c r="I15" s="36">
        <f>IF(B15="MDLZ", H15*(1-0.068), H15*(1-0.040))</f>
        <v/>
      </c>
      <c r="J15" s="36" t="n">
        <v>0.85</v>
      </c>
      <c r="K15" s="6">
        <f>D15*H15</f>
        <v/>
      </c>
      <c r="L15" s="6">
        <f>D15*I15</f>
        <v/>
      </c>
      <c r="M15" s="6">
        <f>D15*J15</f>
        <v/>
      </c>
      <c r="N15" s="6">
        <f>E15-K15</f>
        <v/>
      </c>
      <c r="O15" s="6">
        <f>E15-L15</f>
        <v/>
      </c>
      <c r="P15" s="6">
        <f>E15-M15</f>
        <v/>
      </c>
      <c r="Q15" s="8">
        <f>K15-M15</f>
        <v/>
      </c>
      <c r="R15" s="8">
        <f>L15-M15</f>
        <v/>
      </c>
      <c r="S15" s="7">
        <f>IF(E15&gt;0, G15/E15, 0)</f>
        <v/>
      </c>
      <c r="T15" s="7">
        <f>IF(E15&gt;0, N15/E15, 0)</f>
        <v/>
      </c>
      <c r="U15" s="7">
        <f>IF(E15&gt;0, O15/E15, 0)</f>
        <v/>
      </c>
      <c r="V15" s="7">
        <f>IF(E15&gt;0, P15/E15, 0)</f>
        <v/>
      </c>
    </row>
    <row r="16" ht="19" customHeight="1">
      <c r="A16" s="35" t="inlineStr">
        <is>
          <t>13808</t>
        </is>
      </c>
      <c r="B16" s="35" t="inlineStr">
        <is>
          <t>MDLZ</t>
        </is>
      </c>
      <c r="C16" s="5" t="inlineStr">
        <is>
          <t>Б-ти Милка Сандвич 150гр.</t>
        </is>
      </c>
      <c r="D16" s="24" t="n">
        <v>120</v>
      </c>
      <c r="E16" s="6" t="n">
        <v>416.4</v>
      </c>
      <c r="F16" s="6" t="n">
        <v>285.36</v>
      </c>
      <c r="G16" s="6">
        <f>E16-F16</f>
        <v/>
      </c>
      <c r="H16" s="36" t="n">
        <v>2.484</v>
      </c>
      <c r="I16" s="36">
        <f>IF(B16="MDLZ", H16*(1-0.068), H16*(1-0.040))</f>
        <v/>
      </c>
      <c r="J16" s="36" t="n">
        <v>1.94</v>
      </c>
      <c r="K16" s="6">
        <f>D16*H16</f>
        <v/>
      </c>
      <c r="L16" s="6">
        <f>D16*I16</f>
        <v/>
      </c>
      <c r="M16" s="6">
        <f>D16*J16</f>
        <v/>
      </c>
      <c r="N16" s="6">
        <f>E16-K16</f>
        <v/>
      </c>
      <c r="O16" s="6">
        <f>E16-L16</f>
        <v/>
      </c>
      <c r="P16" s="6">
        <f>E16-M16</f>
        <v/>
      </c>
      <c r="Q16" s="8">
        <f>K16-M16</f>
        <v/>
      </c>
      <c r="R16" s="8">
        <f>L16-M16</f>
        <v/>
      </c>
      <c r="S16" s="7">
        <f>IF(E16&gt;0, G16/E16, 0)</f>
        <v/>
      </c>
      <c r="T16" s="7">
        <f>IF(E16&gt;0, N16/E16, 0)</f>
        <v/>
      </c>
      <c r="U16" s="7">
        <f>IF(E16&gt;0, O16/E16, 0)</f>
        <v/>
      </c>
      <c r="V16" s="7">
        <f>IF(E16&gt;0, P16/E16, 0)</f>
        <v/>
      </c>
    </row>
    <row r="17" ht="19" customHeight="1">
      <c r="A17" s="35" t="inlineStr">
        <is>
          <t>147</t>
        </is>
      </c>
      <c r="B17" s="35" t="inlineStr">
        <is>
          <t>MDLZ</t>
        </is>
      </c>
      <c r="C17" s="5" t="inlineStr">
        <is>
          <t>Милка шоко вафла 150гр.</t>
        </is>
      </c>
      <c r="D17" s="24" t="n">
        <v>78</v>
      </c>
      <c r="E17" s="6" t="n">
        <v>270.66</v>
      </c>
      <c r="F17" s="6" t="n">
        <v>182.74</v>
      </c>
      <c r="G17" s="6">
        <f>E17-F17</f>
        <v/>
      </c>
      <c r="H17" s="36" t="n">
        <v>2.484</v>
      </c>
      <c r="I17" s="36">
        <f>IF(B17="MDLZ", H17*(1-0.068), H17*(1-0.040))</f>
        <v/>
      </c>
      <c r="J17" s="36" t="n">
        <v>1.94</v>
      </c>
      <c r="K17" s="6">
        <f>D17*H17</f>
        <v/>
      </c>
      <c r="L17" s="6">
        <f>D17*I17</f>
        <v/>
      </c>
      <c r="M17" s="6">
        <f>D17*J17</f>
        <v/>
      </c>
      <c r="N17" s="6">
        <f>E17-K17</f>
        <v/>
      </c>
      <c r="O17" s="6">
        <f>E17-L17</f>
        <v/>
      </c>
      <c r="P17" s="6">
        <f>E17-M17</f>
        <v/>
      </c>
      <c r="Q17" s="8">
        <f>K17-M17</f>
        <v/>
      </c>
      <c r="R17" s="8">
        <f>L17-M17</f>
        <v/>
      </c>
      <c r="S17" s="7">
        <f>IF(E17&gt;0, G17/E17, 0)</f>
        <v/>
      </c>
      <c r="T17" s="7">
        <f>IF(E17&gt;0, N17/E17, 0)</f>
        <v/>
      </c>
      <c r="U17" s="7">
        <f>IF(E17&gt;0, O17/E17, 0)</f>
        <v/>
      </c>
      <c r="V17" s="7">
        <f>IF(E17&gt;0, P17/E17, 0)</f>
        <v/>
      </c>
    </row>
    <row r="18" ht="19" customHeight="1">
      <c r="A18" s="35" t="inlineStr">
        <is>
          <t>6703</t>
        </is>
      </c>
      <c r="B18" s="35" t="inlineStr">
        <is>
          <t>CHIPITA</t>
        </is>
      </c>
      <c r="C18" s="5" t="inlineStr">
        <is>
          <t>7ДЕЙС КРОАСАН КРЕМ БРЮЛЕ 92ГРХ20КШ</t>
        </is>
      </c>
      <c r="D18" s="24" t="n">
        <v>648</v>
      </c>
      <c r="E18" s="6" t="n">
        <v>552.9</v>
      </c>
      <c r="F18" s="6" t="n">
        <v>406.73</v>
      </c>
      <c r="G18" s="6">
        <f>E18-F18</f>
        <v/>
      </c>
      <c r="H18" s="36" t="n">
        <v>0.672</v>
      </c>
      <c r="I18" s="36">
        <f>IF(B18="MDLZ", H18*(1-0.068), H18*(1-0.040))</f>
        <v/>
      </c>
      <c r="J18" s="36" t="n">
        <v>0.59</v>
      </c>
      <c r="K18" s="6">
        <f>D18*H18</f>
        <v/>
      </c>
      <c r="L18" s="6">
        <f>D18*I18</f>
        <v/>
      </c>
      <c r="M18" s="6">
        <f>D18*J18</f>
        <v/>
      </c>
      <c r="N18" s="6">
        <f>E18-K18</f>
        <v/>
      </c>
      <c r="O18" s="6">
        <f>E18-L18</f>
        <v/>
      </c>
      <c r="P18" s="6">
        <f>E18-M18</f>
        <v/>
      </c>
      <c r="Q18" s="8">
        <f>K18-M18</f>
        <v/>
      </c>
      <c r="R18" s="8">
        <f>L18-M18</f>
        <v/>
      </c>
      <c r="S18" s="7">
        <f>IF(E18&gt;0, G18/E18, 0)</f>
        <v/>
      </c>
      <c r="T18" s="7">
        <f>IF(E18&gt;0, N18/E18, 0)</f>
        <v/>
      </c>
      <c r="U18" s="7">
        <f>IF(E18&gt;0, O18/E18, 0)</f>
        <v/>
      </c>
      <c r="V18" s="7">
        <f>IF(E18&gt;0, P18/E18, 0)</f>
        <v/>
      </c>
    </row>
    <row r="19" ht="19" customHeight="1">
      <c r="A19" s="35" t="inlineStr">
        <is>
          <t>15520</t>
        </is>
      </c>
      <c r="B19" s="35" t="inlineStr">
        <is>
          <t>CHIPITA</t>
        </is>
      </c>
      <c r="C19" s="5" t="inlineStr">
        <is>
          <t>КРОАСАН МИЛКА ВАНИЛИЯ 50ГРХ14КШ</t>
        </is>
      </c>
      <c r="D19" s="24" t="n">
        <v>570</v>
      </c>
      <c r="E19" s="6" t="n">
        <v>723.9</v>
      </c>
      <c r="F19" s="6" t="n">
        <v>518.7</v>
      </c>
      <c r="G19" s="6">
        <f>E19-F19</f>
        <v/>
      </c>
      <c r="H19" s="36" t="n">
        <v>0.9119999999999999</v>
      </c>
      <c r="I19" s="36">
        <f>IF(B19="MDLZ", H19*(1-0.068), H19*(1-0.040))</f>
        <v/>
      </c>
      <c r="J19" s="36" t="n">
        <v>0.75</v>
      </c>
      <c r="K19" s="6">
        <f>D19*H19</f>
        <v/>
      </c>
      <c r="L19" s="6">
        <f>D19*I19</f>
        <v/>
      </c>
      <c r="M19" s="6">
        <f>D19*J19</f>
        <v/>
      </c>
      <c r="N19" s="6">
        <f>E19-K19</f>
        <v/>
      </c>
      <c r="O19" s="6">
        <f>E19-L19</f>
        <v/>
      </c>
      <c r="P19" s="6">
        <f>E19-M19</f>
        <v/>
      </c>
      <c r="Q19" s="8">
        <f>K19-M19</f>
        <v/>
      </c>
      <c r="R19" s="8">
        <f>L19-M19</f>
        <v/>
      </c>
      <c r="S19" s="7">
        <f>IF(E19&gt;0, G19/E19, 0)</f>
        <v/>
      </c>
      <c r="T19" s="7">
        <f>IF(E19&gt;0, N19/E19, 0)</f>
        <v/>
      </c>
      <c r="U19" s="7">
        <f>IF(E19&gt;0, O19/E19, 0)</f>
        <v/>
      </c>
      <c r="V19" s="7">
        <f>IF(E19&gt;0, P19/E19, 0)</f>
        <v/>
      </c>
    </row>
    <row r="20" ht="19" customHeight="1">
      <c r="A20" s="35" t="inlineStr">
        <is>
          <t>5392</t>
        </is>
      </c>
      <c r="B20" s="35" t="inlineStr">
        <is>
          <t>MDLZ</t>
        </is>
      </c>
      <c r="C20" s="5" t="inlineStr">
        <is>
          <t>Милка Шоко Вафла 30гр.</t>
        </is>
      </c>
      <c r="D20" s="24" t="n">
        <v>591</v>
      </c>
      <c r="E20" s="6" t="n">
        <v>419.61</v>
      </c>
      <c r="F20" s="6" t="n">
        <v>301.41</v>
      </c>
      <c r="G20" s="6">
        <f>E20-F20</f>
        <v/>
      </c>
      <c r="H20" s="36" t="n">
        <v>0.504</v>
      </c>
      <c r="I20" s="36">
        <f>IF(B20="MDLZ", H20*(1-0.068), H20*(1-0.040))</f>
        <v/>
      </c>
      <c r="J20" s="36" t="n">
        <v>0.42</v>
      </c>
      <c r="K20" s="6">
        <f>D20*H20</f>
        <v/>
      </c>
      <c r="L20" s="6">
        <f>D20*I20</f>
        <v/>
      </c>
      <c r="M20" s="6">
        <f>D20*J20</f>
        <v/>
      </c>
      <c r="N20" s="6">
        <f>E20-K20</f>
        <v/>
      </c>
      <c r="O20" s="6">
        <f>E20-L20</f>
        <v/>
      </c>
      <c r="P20" s="6">
        <f>E20-M20</f>
        <v/>
      </c>
      <c r="Q20" s="8">
        <f>K20-M20</f>
        <v/>
      </c>
      <c r="R20" s="8">
        <f>L20-M20</f>
        <v/>
      </c>
      <c r="S20" s="7">
        <f>IF(E20&gt;0, G20/E20, 0)</f>
        <v/>
      </c>
      <c r="T20" s="7">
        <f>IF(E20&gt;0, N20/E20, 0)</f>
        <v/>
      </c>
      <c r="U20" s="7">
        <f>IF(E20&gt;0, O20/E20, 0)</f>
        <v/>
      </c>
      <c r="V20" s="7">
        <f>IF(E20&gt;0, P20/E20, 0)</f>
        <v/>
      </c>
    </row>
    <row r="21" ht="19" customHeight="1">
      <c r="A21" s="35" t="inlineStr">
        <is>
          <t>630170</t>
        </is>
      </c>
      <c r="B21" s="35" t="inlineStr">
        <is>
          <t>MDLZ</t>
        </is>
      </c>
      <c r="C21" s="5" t="inlineStr">
        <is>
          <t>Милка млечен 90 гр. НОВ</t>
        </is>
      </c>
      <c r="D21" s="24" t="n">
        <v>164</v>
      </c>
      <c r="E21" s="6" t="n">
        <v>332.32</v>
      </c>
      <c r="F21" s="6" t="n">
        <v>261.4</v>
      </c>
      <c r="G21" s="6">
        <f>E21-F21</f>
        <v/>
      </c>
      <c r="H21" s="36" t="n">
        <v>1.992</v>
      </c>
      <c r="I21" s="36">
        <f>IF(B21="MDLZ", H21*(1-0.068), H21*(1-0.040))</f>
        <v/>
      </c>
      <c r="J21" s="36" t="n">
        <v>1.09</v>
      </c>
      <c r="K21" s="6">
        <f>D21*H21</f>
        <v/>
      </c>
      <c r="L21" s="6">
        <f>D21*I21</f>
        <v/>
      </c>
      <c r="M21" s="6">
        <f>D21*J21</f>
        <v/>
      </c>
      <c r="N21" s="6">
        <f>E21-K21</f>
        <v/>
      </c>
      <c r="O21" s="6">
        <f>E21-L21</f>
        <v/>
      </c>
      <c r="P21" s="6">
        <f>E21-M21</f>
        <v/>
      </c>
      <c r="Q21" s="8">
        <f>K21-M21</f>
        <v/>
      </c>
      <c r="R21" s="8">
        <f>L21-M21</f>
        <v/>
      </c>
      <c r="S21" s="7">
        <f>IF(E21&gt;0, G21/E21, 0)</f>
        <v/>
      </c>
      <c r="T21" s="7">
        <f>IF(E21&gt;0, N21/E21, 0)</f>
        <v/>
      </c>
      <c r="U21" s="7">
        <f>IF(E21&gt;0, O21/E21, 0)</f>
        <v/>
      </c>
      <c r="V21" s="7">
        <f>IF(E21&gt;0, P21/E21, 0)</f>
        <v/>
      </c>
    </row>
    <row r="22" ht="19" customHeight="1">
      <c r="A22" s="35" t="inlineStr">
        <is>
          <t>794</t>
        </is>
      </c>
      <c r="B22" s="35" t="inlineStr">
        <is>
          <t>MDLZ</t>
        </is>
      </c>
      <c r="C22" s="5" t="inlineStr">
        <is>
          <t>Милка Брауни 150гр.</t>
        </is>
      </c>
      <c r="D22" s="24" t="n">
        <v>100</v>
      </c>
      <c r="E22" s="6" t="n">
        <v>347</v>
      </c>
      <c r="F22" s="6" t="n">
        <v>241.16</v>
      </c>
      <c r="G22" s="6">
        <f>E22-F22</f>
        <v/>
      </c>
      <c r="H22" s="36" t="n">
        <v>2.484</v>
      </c>
      <c r="I22" s="36">
        <f>IF(B22="MDLZ", H22*(1-0.068), H22*(1-0.040))</f>
        <v/>
      </c>
      <c r="J22" s="36" t="n">
        <v>1.94</v>
      </c>
      <c r="K22" s="6">
        <f>D22*H22</f>
        <v/>
      </c>
      <c r="L22" s="6">
        <f>D22*I22</f>
        <v/>
      </c>
      <c r="M22" s="6">
        <f>D22*J22</f>
        <v/>
      </c>
      <c r="N22" s="6">
        <f>E22-K22</f>
        <v/>
      </c>
      <c r="O22" s="6">
        <f>E22-L22</f>
        <v/>
      </c>
      <c r="P22" s="6">
        <f>E22-M22</f>
        <v/>
      </c>
      <c r="Q22" s="8">
        <f>K22-M22</f>
        <v/>
      </c>
      <c r="R22" s="8">
        <f>L22-M22</f>
        <v/>
      </c>
      <c r="S22" s="7">
        <f>IF(E22&gt;0, G22/E22, 0)</f>
        <v/>
      </c>
      <c r="T22" s="7">
        <f>IF(E22&gt;0, N22/E22, 0)</f>
        <v/>
      </c>
      <c r="U22" s="7">
        <f>IF(E22&gt;0, O22/E22, 0)</f>
        <v/>
      </c>
      <c r="V22" s="7">
        <f>IF(E22&gt;0, P22/E22, 0)</f>
        <v/>
      </c>
    </row>
    <row r="23" ht="19" customHeight="1">
      <c r="A23" s="35" t="inlineStr">
        <is>
          <t>5133</t>
        </is>
      </c>
      <c r="B23" s="35" t="inlineStr">
        <is>
          <t>MDLZ</t>
        </is>
      </c>
      <c r="C23" s="5" t="inlineStr">
        <is>
          <t>ТУК Оригинал 100гр.</t>
        </is>
      </c>
      <c r="D23" s="24" t="n">
        <v>202</v>
      </c>
      <c r="E23" s="6" t="n">
        <v>288.86</v>
      </c>
      <c r="F23" s="6" t="n">
        <v>210.08</v>
      </c>
      <c r="G23" s="6">
        <f>E23-F23</f>
        <v/>
      </c>
      <c r="H23" s="36" t="n">
        <v>1.044</v>
      </c>
      <c r="I23" s="36">
        <f>IF(B23="MDLZ", H23*(1-0.068), H23*(1-0.040))</f>
        <v/>
      </c>
      <c r="J23" s="36" t="n">
        <v>0.79</v>
      </c>
      <c r="K23" s="6">
        <f>D23*H23</f>
        <v/>
      </c>
      <c r="L23" s="6">
        <f>D23*I23</f>
        <v/>
      </c>
      <c r="M23" s="6">
        <f>D23*J23</f>
        <v/>
      </c>
      <c r="N23" s="6">
        <f>E23-K23</f>
        <v/>
      </c>
      <c r="O23" s="6">
        <f>E23-L23</f>
        <v/>
      </c>
      <c r="P23" s="6">
        <f>E23-M23</f>
        <v/>
      </c>
      <c r="Q23" s="8">
        <f>K23-M23</f>
        <v/>
      </c>
      <c r="R23" s="8">
        <f>L23-M23</f>
        <v/>
      </c>
      <c r="S23" s="7">
        <f>IF(E23&gt;0, G23/E23, 0)</f>
        <v/>
      </c>
      <c r="T23" s="7">
        <f>IF(E23&gt;0, N23/E23, 0)</f>
        <v/>
      </c>
      <c r="U23" s="7">
        <f>IF(E23&gt;0, O23/E23, 0)</f>
        <v/>
      </c>
      <c r="V23" s="7">
        <f>IF(E23&gt;0, P23/E23, 0)</f>
        <v/>
      </c>
    </row>
    <row r="24" ht="19" customHeight="1">
      <c r="A24" s="35" t="inlineStr">
        <is>
          <t>630300</t>
        </is>
      </c>
      <c r="B24" s="35" t="inlineStr">
        <is>
          <t>MDLZ</t>
        </is>
      </c>
      <c r="C24" s="5" t="inlineStr">
        <is>
          <t>Република Какао 30гр.</t>
        </is>
      </c>
      <c r="D24" s="24" t="n">
        <v>451</v>
      </c>
      <c r="E24" s="6" t="n">
        <v>275.11</v>
      </c>
      <c r="F24" s="6" t="n">
        <v>211.97</v>
      </c>
      <c r="G24" s="6">
        <f>E24-F24</f>
        <v/>
      </c>
      <c r="H24" s="36" t="n">
        <v>0.471</v>
      </c>
      <c r="I24" s="36">
        <f>IF(B24="MDLZ", H24*(1-0.068), H24*(1-0.040))</f>
        <v/>
      </c>
      <c r="J24" s="36" t="n">
        <v>0.39</v>
      </c>
      <c r="K24" s="6">
        <f>D24*H24</f>
        <v/>
      </c>
      <c r="L24" s="6">
        <f>D24*I24</f>
        <v/>
      </c>
      <c r="M24" s="6">
        <f>D24*J24</f>
        <v/>
      </c>
      <c r="N24" s="6">
        <f>E24-K24</f>
        <v/>
      </c>
      <c r="O24" s="6">
        <f>E24-L24</f>
        <v/>
      </c>
      <c r="P24" s="6">
        <f>E24-M24</f>
        <v/>
      </c>
      <c r="Q24" s="8">
        <f>K24-M24</f>
        <v/>
      </c>
      <c r="R24" s="8">
        <f>L24-M24</f>
        <v/>
      </c>
      <c r="S24" s="7">
        <f>IF(E24&gt;0, G24/E24, 0)</f>
        <v/>
      </c>
      <c r="T24" s="7">
        <f>IF(E24&gt;0, N24/E24, 0)</f>
        <v/>
      </c>
      <c r="U24" s="7">
        <f>IF(E24&gt;0, O24/E24, 0)</f>
        <v/>
      </c>
      <c r="V24" s="7">
        <f>IF(E24&gt;0, P24/E24, 0)</f>
        <v/>
      </c>
    </row>
    <row r="25" ht="19" customHeight="1">
      <c r="A25" s="35" t="inlineStr">
        <is>
          <t>630171</t>
        </is>
      </c>
      <c r="B25" s="35" t="inlineStr">
        <is>
          <t>MDLZ</t>
        </is>
      </c>
      <c r="C25" s="5" t="inlineStr">
        <is>
          <t>Милка цял лешник 95 гр. НОВ</t>
        </is>
      </c>
      <c r="D25" s="24" t="n">
        <v>150</v>
      </c>
      <c r="E25" s="6" t="n">
        <v>299.66</v>
      </c>
      <c r="F25" s="6" t="n">
        <v>243.98</v>
      </c>
      <c r="G25" s="6">
        <f>E25-F25</f>
        <v/>
      </c>
      <c r="H25" s="36" t="n">
        <v>2.1</v>
      </c>
      <c r="I25" s="36">
        <f>IF(B25="MDLZ", H25*(1-0.068), H25*(1-0.040))</f>
        <v/>
      </c>
      <c r="J25" s="36" t="n">
        <v>1.09</v>
      </c>
      <c r="K25" s="6">
        <f>D25*H25</f>
        <v/>
      </c>
      <c r="L25" s="6">
        <f>D25*I25</f>
        <v/>
      </c>
      <c r="M25" s="6">
        <f>D25*J25</f>
        <v/>
      </c>
      <c r="N25" s="6">
        <f>E25-K25</f>
        <v/>
      </c>
      <c r="O25" s="6">
        <f>E25-L25</f>
        <v/>
      </c>
      <c r="P25" s="6">
        <f>E25-M25</f>
        <v/>
      </c>
      <c r="Q25" s="8">
        <f>K25-M25</f>
        <v/>
      </c>
      <c r="R25" s="8">
        <f>L25-M25</f>
        <v/>
      </c>
      <c r="S25" s="7">
        <f>IF(E25&gt;0, G25/E25, 0)</f>
        <v/>
      </c>
      <c r="T25" s="7">
        <f>IF(E25&gt;0, N25/E25, 0)</f>
        <v/>
      </c>
      <c r="U25" s="7">
        <f>IF(E25&gt;0, O25/E25, 0)</f>
        <v/>
      </c>
      <c r="V25" s="7">
        <f>IF(E25&gt;0, P25/E25, 0)</f>
        <v/>
      </c>
    </row>
    <row r="26" ht="19" customHeight="1">
      <c r="A26" s="35" t="inlineStr">
        <is>
          <t>12193</t>
        </is>
      </c>
      <c r="B26" s="35" t="inlineStr">
        <is>
          <t>MDLZ</t>
        </is>
      </c>
      <c r="C26" s="5" t="inlineStr">
        <is>
          <t>Милка Сандвич Тук 87г</t>
        </is>
      </c>
      <c r="D26" s="24" t="n">
        <v>116</v>
      </c>
      <c r="E26" s="6" t="n">
        <v>295.8</v>
      </c>
      <c r="F26" s="6" t="n">
        <v>219.08</v>
      </c>
      <c r="G26" s="6">
        <f>E26-F26</f>
        <v/>
      </c>
      <c r="H26" s="36" t="n">
        <v>1.992</v>
      </c>
      <c r="I26" s="36">
        <f>IF(B26="MDLZ", H26*(1-0.068), H26*(1-0.040))</f>
        <v/>
      </c>
      <c r="J26" s="36" t="n">
        <v>1.09</v>
      </c>
      <c r="K26" s="6">
        <f>D26*H26</f>
        <v/>
      </c>
      <c r="L26" s="6">
        <f>D26*I26</f>
        <v/>
      </c>
      <c r="M26" s="6">
        <f>D26*J26</f>
        <v/>
      </c>
      <c r="N26" s="6">
        <f>E26-K26</f>
        <v/>
      </c>
      <c r="O26" s="6">
        <f>E26-L26</f>
        <v/>
      </c>
      <c r="P26" s="6">
        <f>E26-M26</f>
        <v/>
      </c>
      <c r="Q26" s="8">
        <f>K26-M26</f>
        <v/>
      </c>
      <c r="R26" s="8">
        <f>L26-M26</f>
        <v/>
      </c>
      <c r="S26" s="7">
        <f>IF(E26&gt;0, G26/E26, 0)</f>
        <v/>
      </c>
      <c r="T26" s="7">
        <f>IF(E26&gt;0, N26/E26, 0)</f>
        <v/>
      </c>
      <c r="U26" s="7">
        <f>IF(E26&gt;0, O26/E26, 0)</f>
        <v/>
      </c>
      <c r="V26" s="7">
        <f>IF(E26&gt;0, P26/E26, 0)</f>
        <v/>
      </c>
    </row>
    <row r="27" ht="19" customHeight="1">
      <c r="A27" s="35" t="inlineStr">
        <is>
          <t>7150</t>
        </is>
      </c>
      <c r="B27" s="35" t="inlineStr">
        <is>
          <t>MDLZ</t>
        </is>
      </c>
      <c r="C27" s="5" t="inlineStr">
        <is>
          <t>Б-ти Орео 154гр.</t>
        </is>
      </c>
      <c r="D27" s="24" t="n">
        <v>112</v>
      </c>
      <c r="E27" s="6" t="n">
        <v>274.4</v>
      </c>
      <c r="F27" s="6" t="n">
        <v>182.82</v>
      </c>
      <c r="G27" s="6">
        <f>E27-F27</f>
        <v/>
      </c>
      <c r="H27" s="36" t="n">
        <v>1.692</v>
      </c>
      <c r="I27" s="36">
        <f>IF(B27="MDLZ", H27*(1-0.068), H27*(1-0.040))</f>
        <v/>
      </c>
      <c r="J27" s="36" t="n">
        <v>1.39</v>
      </c>
      <c r="K27" s="6">
        <f>D27*H27</f>
        <v/>
      </c>
      <c r="L27" s="6">
        <f>D27*I27</f>
        <v/>
      </c>
      <c r="M27" s="6">
        <f>D27*J27</f>
        <v/>
      </c>
      <c r="N27" s="6">
        <f>E27-K27</f>
        <v/>
      </c>
      <c r="O27" s="6">
        <f>E27-L27</f>
        <v/>
      </c>
      <c r="P27" s="6">
        <f>E27-M27</f>
        <v/>
      </c>
      <c r="Q27" s="8">
        <f>K27-M27</f>
        <v/>
      </c>
      <c r="R27" s="8">
        <f>L27-M27</f>
        <v/>
      </c>
      <c r="S27" s="7">
        <f>IF(E27&gt;0, G27/E27, 0)</f>
        <v/>
      </c>
      <c r="T27" s="7">
        <f>IF(E27&gt;0, N27/E27, 0)</f>
        <v/>
      </c>
      <c r="U27" s="7">
        <f>IF(E27&gt;0, O27/E27, 0)</f>
        <v/>
      </c>
      <c r="V27" s="7">
        <f>IF(E27&gt;0, P27/E27, 0)</f>
        <v/>
      </c>
    </row>
    <row r="28" ht="19" customHeight="1">
      <c r="A28" s="35" t="inlineStr">
        <is>
          <t>12467</t>
        </is>
      </c>
      <c r="B28" s="35" t="inlineStr">
        <is>
          <t>CHIPITA</t>
        </is>
      </c>
      <c r="C28" s="5" t="inlineStr">
        <is>
          <t>7ДЕЙС КРОАСАН ВАН&amp;ВИШНА 110Г 18CA</t>
        </is>
      </c>
      <c r="D28" s="24" t="n">
        <v>217</v>
      </c>
      <c r="E28" s="6" t="n">
        <v>275.59</v>
      </c>
      <c r="F28" s="6" t="n">
        <v>185.82</v>
      </c>
      <c r="G28" s="6">
        <f>E28-F28</f>
        <v/>
      </c>
      <c r="H28" s="36" t="n">
        <v>0.84</v>
      </c>
      <c r="I28" s="36">
        <f>IF(B28="MDLZ", H28*(1-0.068), H28*(1-0.040))</f>
        <v/>
      </c>
      <c r="J28" s="36" t="n">
        <v>0.79</v>
      </c>
      <c r="K28" s="6">
        <f>D28*H28</f>
        <v/>
      </c>
      <c r="L28" s="6">
        <f>D28*I28</f>
        <v/>
      </c>
      <c r="M28" s="6">
        <f>D28*J28</f>
        <v/>
      </c>
      <c r="N28" s="6">
        <f>E28-K28</f>
        <v/>
      </c>
      <c r="O28" s="6">
        <f>E28-L28</f>
        <v/>
      </c>
      <c r="P28" s="6">
        <f>E28-M28</f>
        <v/>
      </c>
      <c r="Q28" s="8">
        <f>K28-M28</f>
        <v/>
      </c>
      <c r="R28" s="8">
        <f>L28-M28</f>
        <v/>
      </c>
      <c r="S28" s="7">
        <f>IF(E28&gt;0, G28/E28, 0)</f>
        <v/>
      </c>
      <c r="T28" s="7">
        <f>IF(E28&gt;0, N28/E28, 0)</f>
        <v/>
      </c>
      <c r="U28" s="7">
        <f>IF(E28&gt;0, O28/E28, 0)</f>
        <v/>
      </c>
      <c r="V28" s="7">
        <f>IF(E28&gt;0, P28/E28, 0)</f>
        <v/>
      </c>
    </row>
    <row r="29" ht="19" customHeight="1">
      <c r="A29" s="35" t="inlineStr">
        <is>
          <t>17381</t>
        </is>
      </c>
      <c r="B29" s="35" t="inlineStr">
        <is>
          <t>MDLZ</t>
        </is>
      </c>
      <c r="C29" s="5" t="inlineStr">
        <is>
          <t>Барни Млечен Крем 30гр.</t>
        </is>
      </c>
      <c r="D29" s="24" t="n">
        <v>639</v>
      </c>
      <c r="E29" s="6" t="n">
        <v>325.89</v>
      </c>
      <c r="F29" s="6" t="n">
        <v>217.26</v>
      </c>
      <c r="G29" s="6">
        <f>E29-F29</f>
        <v/>
      </c>
      <c r="H29" s="36" t="n">
        <v>0.338</v>
      </c>
      <c r="I29" s="36">
        <f>IF(B29="MDLZ", H29*(1-0.068), H29*(1-0.040))</f>
        <v/>
      </c>
      <c r="J29" s="36" t="n">
        <v>0.31</v>
      </c>
      <c r="K29" s="6">
        <f>D29*H29</f>
        <v/>
      </c>
      <c r="L29" s="6">
        <f>D29*I29</f>
        <v/>
      </c>
      <c r="M29" s="6">
        <f>D29*J29</f>
        <v/>
      </c>
      <c r="N29" s="6">
        <f>E29-K29</f>
        <v/>
      </c>
      <c r="O29" s="6">
        <f>E29-L29</f>
        <v/>
      </c>
      <c r="P29" s="6">
        <f>E29-M29</f>
        <v/>
      </c>
      <c r="Q29" s="8">
        <f>K29-M29</f>
        <v/>
      </c>
      <c r="R29" s="8">
        <f>L29-M29</f>
        <v/>
      </c>
      <c r="S29" s="7">
        <f>IF(E29&gt;0, G29/E29, 0)</f>
        <v/>
      </c>
      <c r="T29" s="7">
        <f>IF(E29&gt;0, N29/E29, 0)</f>
        <v/>
      </c>
      <c r="U29" s="7">
        <f>IF(E29&gt;0, O29/E29, 0)</f>
        <v/>
      </c>
      <c r="V29" s="7">
        <f>IF(E29&gt;0, P29/E29, 0)</f>
        <v/>
      </c>
    </row>
    <row r="30" ht="19" customHeight="1">
      <c r="A30" s="35" t="inlineStr">
        <is>
          <t>632679</t>
        </is>
      </c>
      <c r="B30" s="35" t="inlineStr">
        <is>
          <t>CHIPITA</t>
        </is>
      </c>
      <c r="C30" s="5" t="inlineStr">
        <is>
          <t>7Д БЕЙК РОЛC БЕКОН 80ГХ15</t>
        </is>
      </c>
      <c r="D30" s="24" t="n">
        <v>331</v>
      </c>
      <c r="E30" s="6" t="n">
        <v>241.11</v>
      </c>
      <c r="F30" s="6" t="n">
        <v>192.78</v>
      </c>
      <c r="G30" s="6">
        <f>E30-F30</f>
        <v/>
      </c>
      <c r="H30" s="36" t="n">
        <v>0.6</v>
      </c>
      <c r="I30" s="36">
        <f>IF(B30="MDLZ", H30*(1-0.068), H30*(1-0.040))</f>
        <v/>
      </c>
      <c r="J30" s="36" t="n">
        <v>0.52</v>
      </c>
      <c r="K30" s="6">
        <f>D30*H30</f>
        <v/>
      </c>
      <c r="L30" s="6">
        <f>D30*I30</f>
        <v/>
      </c>
      <c r="M30" s="6">
        <f>D30*J30</f>
        <v/>
      </c>
      <c r="N30" s="6">
        <f>E30-K30</f>
        <v/>
      </c>
      <c r="O30" s="6">
        <f>E30-L30</f>
        <v/>
      </c>
      <c r="P30" s="6">
        <f>E30-M30</f>
        <v/>
      </c>
      <c r="Q30" s="8">
        <f>K30-M30</f>
        <v/>
      </c>
      <c r="R30" s="8">
        <f>L30-M30</f>
        <v/>
      </c>
      <c r="S30" s="7">
        <f>IF(E30&gt;0, G30/E30, 0)</f>
        <v/>
      </c>
      <c r="T30" s="7">
        <f>IF(E30&gt;0, N30/E30, 0)</f>
        <v/>
      </c>
      <c r="U30" s="7">
        <f>IF(E30&gt;0, O30/E30, 0)</f>
        <v/>
      </c>
      <c r="V30" s="7">
        <f>IF(E30&gt;0, P30/E30, 0)</f>
        <v/>
      </c>
    </row>
    <row r="31" ht="19" customHeight="1">
      <c r="A31" s="35" t="inlineStr">
        <is>
          <t>942</t>
        </is>
      </c>
      <c r="B31" s="35" t="inlineStr">
        <is>
          <t>MDLZ</t>
        </is>
      </c>
      <c r="C31" s="5" t="inlineStr">
        <is>
          <t>Барни Млечен  Крем 150гр.</t>
        </is>
      </c>
      <c r="D31" s="24" t="n">
        <v>139</v>
      </c>
      <c r="E31" s="6" t="n">
        <v>319.7</v>
      </c>
      <c r="F31" s="6" t="n">
        <v>230.74</v>
      </c>
      <c r="G31" s="6">
        <f>E31-F31</f>
        <v/>
      </c>
      <c r="H31" s="36" t="n">
        <v>1.656</v>
      </c>
      <c r="I31" s="36">
        <f>IF(B31="MDLZ", H31*(1-0.068), H31*(1-0.040))</f>
        <v/>
      </c>
      <c r="J31" s="36" t="n">
        <v>1.35</v>
      </c>
      <c r="K31" s="6">
        <f>D31*H31</f>
        <v/>
      </c>
      <c r="L31" s="6">
        <f>D31*I31</f>
        <v/>
      </c>
      <c r="M31" s="6">
        <f>D31*J31</f>
        <v/>
      </c>
      <c r="N31" s="6">
        <f>E31-K31</f>
        <v/>
      </c>
      <c r="O31" s="6">
        <f>E31-L31</f>
        <v/>
      </c>
      <c r="P31" s="6">
        <f>E31-M31</f>
        <v/>
      </c>
      <c r="Q31" s="8">
        <f>K31-M31</f>
        <v/>
      </c>
      <c r="R31" s="8">
        <f>L31-M31</f>
        <v/>
      </c>
      <c r="S31" s="7">
        <f>IF(E31&gt;0, G31/E31, 0)</f>
        <v/>
      </c>
      <c r="T31" s="7">
        <f>IF(E31&gt;0, N31/E31, 0)</f>
        <v/>
      </c>
      <c r="U31" s="7">
        <f>IF(E31&gt;0, O31/E31, 0)</f>
        <v/>
      </c>
      <c r="V31" s="7">
        <f>IF(E31&gt;0, P31/E31, 0)</f>
        <v/>
      </c>
    </row>
    <row r="32" ht="19" customHeight="1">
      <c r="A32" s="35" t="inlineStr">
        <is>
          <t>12460</t>
        </is>
      </c>
      <c r="B32" s="35" t="inlineStr">
        <is>
          <t>CHIPITA</t>
        </is>
      </c>
      <c r="C32" s="5" t="inlineStr">
        <is>
          <t>7ДЕЙС КРОАСАН КАКАО&amp;ВАН 110Г 18CA</t>
        </is>
      </c>
      <c r="D32" s="24" t="n">
        <v>231</v>
      </c>
      <c r="E32" s="6" t="n">
        <v>292.74</v>
      </c>
      <c r="F32" s="6" t="n">
        <v>195.22</v>
      </c>
      <c r="G32" s="6">
        <f>E32-F32</f>
        <v/>
      </c>
      <c r="H32" s="36" t="n">
        <v>0.84</v>
      </c>
      <c r="I32" s="36">
        <f>IF(B32="MDLZ", H32*(1-0.068), H32*(1-0.040))</f>
        <v/>
      </c>
      <c r="J32" s="36" t="n">
        <v>0.79</v>
      </c>
      <c r="K32" s="6">
        <f>D32*H32</f>
        <v/>
      </c>
      <c r="L32" s="6">
        <f>D32*I32</f>
        <v/>
      </c>
      <c r="M32" s="6">
        <f>D32*J32</f>
        <v/>
      </c>
      <c r="N32" s="6">
        <f>E32-K32</f>
        <v/>
      </c>
      <c r="O32" s="6">
        <f>E32-L32</f>
        <v/>
      </c>
      <c r="P32" s="6">
        <f>E32-M32</f>
        <v/>
      </c>
      <c r="Q32" s="8">
        <f>K32-M32</f>
        <v/>
      </c>
      <c r="R32" s="8">
        <f>L32-M32</f>
        <v/>
      </c>
      <c r="S32" s="7">
        <f>IF(E32&gt;0, G32/E32, 0)</f>
        <v/>
      </c>
      <c r="T32" s="7">
        <f>IF(E32&gt;0, N32/E32, 0)</f>
        <v/>
      </c>
      <c r="U32" s="7">
        <f>IF(E32&gt;0, O32/E32, 0)</f>
        <v/>
      </c>
      <c r="V32" s="7">
        <f>IF(E32&gt;0, P32/E32, 0)</f>
        <v/>
      </c>
    </row>
    <row r="33" ht="19" customHeight="1">
      <c r="A33" s="35" t="inlineStr">
        <is>
          <t>10179</t>
        </is>
      </c>
      <c r="B33" s="35" t="inlineStr">
        <is>
          <t>MDLZ</t>
        </is>
      </c>
      <c r="C33" s="5" t="inlineStr">
        <is>
          <t>Милка Балончета млечен 90г.</t>
        </is>
      </c>
      <c r="D33" s="24" t="n">
        <v>128</v>
      </c>
      <c r="E33" s="6" t="n">
        <v>257.72</v>
      </c>
      <c r="F33" s="6" t="n">
        <v>204.88</v>
      </c>
      <c r="G33" s="6">
        <f>E33-F33</f>
        <v/>
      </c>
      <c r="H33" s="36" t="n">
        <v>1.992</v>
      </c>
      <c r="I33" s="36">
        <f>IF(B33="MDLZ", H33*(1-0.068), H33*(1-0.040))</f>
        <v/>
      </c>
      <c r="J33" s="36" t="n">
        <v>1.09</v>
      </c>
      <c r="K33" s="6">
        <f>D33*H33</f>
        <v/>
      </c>
      <c r="L33" s="6">
        <f>D33*I33</f>
        <v/>
      </c>
      <c r="M33" s="6">
        <f>D33*J33</f>
        <v/>
      </c>
      <c r="N33" s="6">
        <f>E33-K33</f>
        <v/>
      </c>
      <c r="O33" s="6">
        <f>E33-L33</f>
        <v/>
      </c>
      <c r="P33" s="6">
        <f>E33-M33</f>
        <v/>
      </c>
      <c r="Q33" s="8">
        <f>K33-M33</f>
        <v/>
      </c>
      <c r="R33" s="8">
        <f>L33-M33</f>
        <v/>
      </c>
      <c r="S33" s="7">
        <f>IF(E33&gt;0, G33/E33, 0)</f>
        <v/>
      </c>
      <c r="T33" s="7">
        <f>IF(E33&gt;0, N33/E33, 0)</f>
        <v/>
      </c>
      <c r="U33" s="7">
        <f>IF(E33&gt;0, O33/E33, 0)</f>
        <v/>
      </c>
      <c r="V33" s="7">
        <f>IF(E33&gt;0, P33/E33, 0)</f>
        <v/>
      </c>
    </row>
    <row r="34" ht="19" customHeight="1">
      <c r="A34" s="35" t="inlineStr">
        <is>
          <t>7033</t>
        </is>
      </c>
      <c r="B34" s="35" t="inlineStr">
        <is>
          <t>MDLZ</t>
        </is>
      </c>
      <c r="C34" s="5" t="inlineStr">
        <is>
          <t>Сушард Аида 234 гр.</t>
        </is>
      </c>
      <c r="D34" s="24" t="n">
        <v>37</v>
      </c>
      <c r="E34" s="6" t="n">
        <v>264.55</v>
      </c>
      <c r="F34" s="6" t="n">
        <v>195.24</v>
      </c>
      <c r="G34" s="6">
        <f>E34-F34</f>
        <v/>
      </c>
      <c r="H34" s="36" t="n">
        <v>5.64</v>
      </c>
      <c r="I34" s="36">
        <f>IF(B34="MDLZ", H34*(1-0.068), H34*(1-0.040))</f>
        <v/>
      </c>
      <c r="J34" s="36" t="n">
        <v>4.79</v>
      </c>
      <c r="K34" s="6">
        <f>D34*H34</f>
        <v/>
      </c>
      <c r="L34" s="6">
        <f>D34*I34</f>
        <v/>
      </c>
      <c r="M34" s="6">
        <f>D34*J34</f>
        <v/>
      </c>
      <c r="N34" s="6">
        <f>E34-K34</f>
        <v/>
      </c>
      <c r="O34" s="6">
        <f>E34-L34</f>
        <v/>
      </c>
      <c r="P34" s="6">
        <f>E34-M34</f>
        <v/>
      </c>
      <c r="Q34" s="8">
        <f>K34-M34</f>
        <v/>
      </c>
      <c r="R34" s="8">
        <f>L34-M34</f>
        <v/>
      </c>
      <c r="S34" s="7">
        <f>IF(E34&gt;0, G34/E34, 0)</f>
        <v/>
      </c>
      <c r="T34" s="7">
        <f>IF(E34&gt;0, N34/E34, 0)</f>
        <v/>
      </c>
      <c r="U34" s="7">
        <f>IF(E34&gt;0, O34/E34, 0)</f>
        <v/>
      </c>
      <c r="V34" s="7">
        <f>IF(E34&gt;0, P34/E34, 0)</f>
        <v/>
      </c>
    </row>
    <row r="35" ht="19" customHeight="1">
      <c r="A35" s="35" t="inlineStr">
        <is>
          <t>5643</t>
        </is>
      </c>
      <c r="B35" s="35" t="inlineStr">
        <is>
          <t>MDLZ</t>
        </is>
      </c>
      <c r="C35" s="5" t="inlineStr">
        <is>
          <t>Б-ти Милка Кукис с пълнеж 156гр.</t>
        </is>
      </c>
      <c r="D35" s="24" t="n">
        <v>80</v>
      </c>
      <c r="E35" s="6" t="n">
        <v>277.6</v>
      </c>
      <c r="F35" s="6" t="n">
        <v>189.3</v>
      </c>
      <c r="G35" s="6">
        <f>E35-F35</f>
        <v/>
      </c>
      <c r="H35" s="36" t="n">
        <v>2.484</v>
      </c>
      <c r="I35" s="36">
        <f>IF(B35="MDLZ", H35*(1-0.068), H35*(1-0.040))</f>
        <v/>
      </c>
      <c r="J35" s="36" t="n">
        <v>1.94</v>
      </c>
      <c r="K35" s="6">
        <f>D35*H35</f>
        <v/>
      </c>
      <c r="L35" s="6">
        <f>D35*I35</f>
        <v/>
      </c>
      <c r="M35" s="6">
        <f>D35*J35</f>
        <v/>
      </c>
      <c r="N35" s="6">
        <f>E35-K35</f>
        <v/>
      </c>
      <c r="O35" s="6">
        <f>E35-L35</f>
        <v/>
      </c>
      <c r="P35" s="6">
        <f>E35-M35</f>
        <v/>
      </c>
      <c r="Q35" s="8">
        <f>K35-M35</f>
        <v/>
      </c>
      <c r="R35" s="8">
        <f>L35-M35</f>
        <v/>
      </c>
      <c r="S35" s="7">
        <f>IF(E35&gt;0, G35/E35, 0)</f>
        <v/>
      </c>
      <c r="T35" s="7">
        <f>IF(E35&gt;0, N35/E35, 0)</f>
        <v/>
      </c>
      <c r="U35" s="7">
        <f>IF(E35&gt;0, O35/E35, 0)</f>
        <v/>
      </c>
      <c r="V35" s="7">
        <f>IF(E35&gt;0, P35/E35, 0)</f>
        <v/>
      </c>
    </row>
    <row r="36" ht="19" customHeight="1">
      <c r="A36" s="35" t="inlineStr">
        <is>
          <t>11927</t>
        </is>
      </c>
      <c r="B36" s="35" t="inlineStr">
        <is>
          <t>CHIPITA</t>
        </is>
      </c>
      <c r="C36" s="5" t="inlineStr">
        <is>
          <t>7ДЕЙС КРОАСАН ЛЕШНИК 92ГРХ20КШ</t>
        </is>
      </c>
      <c r="D36" s="24" t="n">
        <v>426</v>
      </c>
      <c r="E36" s="6" t="n">
        <v>368.4</v>
      </c>
      <c r="F36" s="6" t="n">
        <v>270.23</v>
      </c>
      <c r="G36" s="6">
        <f>E36-F36</f>
        <v/>
      </c>
      <c r="H36" s="36" t="n">
        <v>0.672</v>
      </c>
      <c r="I36" s="36">
        <f>IF(B36="MDLZ", H36*(1-0.068), H36*(1-0.040))</f>
        <v/>
      </c>
      <c r="J36" s="36" t="n">
        <v>0.59</v>
      </c>
      <c r="K36" s="6">
        <f>D36*H36</f>
        <v/>
      </c>
      <c r="L36" s="6">
        <f>D36*I36</f>
        <v/>
      </c>
      <c r="M36" s="6">
        <f>D36*J36</f>
        <v/>
      </c>
      <c r="N36" s="6">
        <f>E36-K36</f>
        <v/>
      </c>
      <c r="O36" s="6">
        <f>E36-L36</f>
        <v/>
      </c>
      <c r="P36" s="6">
        <f>E36-M36</f>
        <v/>
      </c>
      <c r="Q36" s="8">
        <f>K36-M36</f>
        <v/>
      </c>
      <c r="R36" s="8">
        <f>L36-M36</f>
        <v/>
      </c>
      <c r="S36" s="7">
        <f>IF(E36&gt;0, G36/E36, 0)</f>
        <v/>
      </c>
      <c r="T36" s="7">
        <f>IF(E36&gt;0, N36/E36, 0)</f>
        <v/>
      </c>
      <c r="U36" s="7">
        <f>IF(E36&gt;0, O36/E36, 0)</f>
        <v/>
      </c>
      <c r="V36" s="7">
        <f>IF(E36&gt;0, P36/E36, 0)</f>
        <v/>
      </c>
    </row>
    <row r="37" ht="19" customHeight="1">
      <c r="A37" s="35" t="inlineStr">
        <is>
          <t>16601</t>
        </is>
      </c>
      <c r="B37" s="35" t="inlineStr">
        <is>
          <t>MDLZ</t>
        </is>
      </c>
      <c r="C37" s="5" t="inlineStr">
        <is>
          <t>Б-ти Орео 66гр.</t>
        </is>
      </c>
      <c r="D37" s="24" t="n">
        <v>292</v>
      </c>
      <c r="E37" s="6" t="n">
        <v>297.84</v>
      </c>
      <c r="F37" s="6" t="n">
        <v>210.24</v>
      </c>
      <c r="G37" s="6">
        <f>E37-F37</f>
        <v/>
      </c>
      <c r="H37" s="36" t="n">
        <v>0.72</v>
      </c>
      <c r="I37" s="36">
        <f>IF(B37="MDLZ", H37*(1-0.068), H37*(1-0.040))</f>
        <v/>
      </c>
      <c r="J37" s="36" t="n">
        <v>0.58</v>
      </c>
      <c r="K37" s="6">
        <f>D37*H37</f>
        <v/>
      </c>
      <c r="L37" s="6">
        <f>D37*I37</f>
        <v/>
      </c>
      <c r="M37" s="6">
        <f>D37*J37</f>
        <v/>
      </c>
      <c r="N37" s="6">
        <f>E37-K37</f>
        <v/>
      </c>
      <c r="O37" s="6">
        <f>E37-L37</f>
        <v/>
      </c>
      <c r="P37" s="6">
        <f>E37-M37</f>
        <v/>
      </c>
      <c r="Q37" s="8">
        <f>K37-M37</f>
        <v/>
      </c>
      <c r="R37" s="8">
        <f>L37-M37</f>
        <v/>
      </c>
      <c r="S37" s="7">
        <f>IF(E37&gt;0, G37/E37, 0)</f>
        <v/>
      </c>
      <c r="T37" s="7">
        <f>IF(E37&gt;0, N37/E37, 0)</f>
        <v/>
      </c>
      <c r="U37" s="7">
        <f>IF(E37&gt;0, O37/E37, 0)</f>
        <v/>
      </c>
      <c r="V37" s="7">
        <f>IF(E37&gt;0, P37/E37, 0)</f>
        <v/>
      </c>
    </row>
    <row r="38" ht="19" customHeight="1">
      <c r="A38" s="35" t="inlineStr">
        <is>
          <t>6709</t>
        </is>
      </c>
      <c r="B38" s="35" t="inlineStr">
        <is>
          <t>CHIPITA</t>
        </is>
      </c>
      <c r="C38" s="5" t="inlineStr">
        <is>
          <t>7ДЕЙС КРОАСАН ДВОЕН КРЕМ ВАНИЛИЯ И ЯГОДА 92ГРХ20КШ</t>
        </is>
      </c>
      <c r="D38" s="24" t="n">
        <v>392</v>
      </c>
      <c r="E38" s="6" t="n">
        <v>328.51</v>
      </c>
      <c r="F38" s="6" t="n">
        <v>245.35</v>
      </c>
      <c r="G38" s="6">
        <f>E38-F38</f>
        <v/>
      </c>
      <c r="H38" s="36" t="n">
        <v>0.672</v>
      </c>
      <c r="I38" s="36">
        <f>IF(B38="MDLZ", H38*(1-0.068), H38*(1-0.040))</f>
        <v/>
      </c>
      <c r="J38" s="36" t="n">
        <v>0.59</v>
      </c>
      <c r="K38" s="6">
        <f>D38*H38</f>
        <v/>
      </c>
      <c r="L38" s="6">
        <f>D38*I38</f>
        <v/>
      </c>
      <c r="M38" s="6">
        <f>D38*J38</f>
        <v/>
      </c>
      <c r="N38" s="6">
        <f>E38-K38</f>
        <v/>
      </c>
      <c r="O38" s="6">
        <f>E38-L38</f>
        <v/>
      </c>
      <c r="P38" s="6">
        <f>E38-M38</f>
        <v/>
      </c>
      <c r="Q38" s="8">
        <f>K38-M38</f>
        <v/>
      </c>
      <c r="R38" s="8">
        <f>L38-M38</f>
        <v/>
      </c>
      <c r="S38" s="7">
        <f>IF(E38&gt;0, G38/E38, 0)</f>
        <v/>
      </c>
      <c r="T38" s="7">
        <f>IF(E38&gt;0, N38/E38, 0)</f>
        <v/>
      </c>
      <c r="U38" s="7">
        <f>IF(E38&gt;0, O38/E38, 0)</f>
        <v/>
      </c>
      <c r="V38" s="7">
        <f>IF(E38&gt;0, P38/E38, 0)</f>
        <v/>
      </c>
    </row>
    <row r="39" ht="19" customHeight="1">
      <c r="A39" s="35" t="inlineStr">
        <is>
          <t>5565</t>
        </is>
      </c>
      <c r="B39" s="35" t="inlineStr">
        <is>
          <t>MDLZ</t>
        </is>
      </c>
      <c r="C39" s="5" t="inlineStr">
        <is>
          <t>Република Кокос 30гр.</t>
        </is>
      </c>
      <c r="D39" s="24" t="n">
        <v>368</v>
      </c>
      <c r="E39" s="6" t="n">
        <v>224.48</v>
      </c>
      <c r="F39" s="6" t="n">
        <v>172.96</v>
      </c>
      <c r="G39" s="6">
        <f>E39-F39</f>
        <v/>
      </c>
      <c r="H39" s="36" t="n">
        <v>0.471</v>
      </c>
      <c r="I39" s="36">
        <f>IF(B39="MDLZ", H39*(1-0.068), H39*(1-0.040))</f>
        <v/>
      </c>
      <c r="J39" s="36" t="n">
        <v>0.39</v>
      </c>
      <c r="K39" s="6">
        <f>D39*H39</f>
        <v/>
      </c>
      <c r="L39" s="6">
        <f>D39*I39</f>
        <v/>
      </c>
      <c r="M39" s="6">
        <f>D39*J39</f>
        <v/>
      </c>
      <c r="N39" s="6">
        <f>E39-K39</f>
        <v/>
      </c>
      <c r="O39" s="6">
        <f>E39-L39</f>
        <v/>
      </c>
      <c r="P39" s="6">
        <f>E39-M39</f>
        <v/>
      </c>
      <c r="Q39" s="8">
        <f>K39-M39</f>
        <v/>
      </c>
      <c r="R39" s="8">
        <f>L39-M39</f>
        <v/>
      </c>
      <c r="S39" s="7">
        <f>IF(E39&gt;0, G39/E39, 0)</f>
        <v/>
      </c>
      <c r="T39" s="7">
        <f>IF(E39&gt;0, N39/E39, 0)</f>
        <v/>
      </c>
      <c r="U39" s="7">
        <f>IF(E39&gt;0, O39/E39, 0)</f>
        <v/>
      </c>
      <c r="V39" s="7">
        <f>IF(E39&gt;0, P39/E39, 0)</f>
        <v/>
      </c>
    </row>
    <row r="40" ht="19" customHeight="1">
      <c r="A40" s="35" t="inlineStr">
        <is>
          <t>17448</t>
        </is>
      </c>
      <c r="B40" s="35" t="inlineStr">
        <is>
          <t>MDLZ</t>
        </is>
      </c>
      <c r="C40" s="5" t="inlineStr">
        <is>
          <t>Бисквити Орео обвито с бял шоколад 41гр</t>
        </is>
      </c>
      <c r="D40" s="24" t="n">
        <v>292</v>
      </c>
      <c r="E40" s="6" t="n">
        <v>297.84</v>
      </c>
      <c r="F40" s="6" t="n">
        <v>210.24</v>
      </c>
      <c r="G40" s="6">
        <f>E40-F40</f>
        <v/>
      </c>
      <c r="H40" s="36" t="n">
        <v>0.72</v>
      </c>
      <c r="I40" s="36">
        <f>IF(B40="MDLZ", H40*(1-0.068), H40*(1-0.040))</f>
        <v/>
      </c>
      <c r="J40" s="36" t="n">
        <v>0.65</v>
      </c>
      <c r="K40" s="6">
        <f>D40*H40</f>
        <v/>
      </c>
      <c r="L40" s="6">
        <f>D40*I40</f>
        <v/>
      </c>
      <c r="M40" s="6">
        <f>D40*J40</f>
        <v/>
      </c>
      <c r="N40" s="6">
        <f>E40-K40</f>
        <v/>
      </c>
      <c r="O40" s="6">
        <f>E40-L40</f>
        <v/>
      </c>
      <c r="P40" s="6">
        <f>E40-M40</f>
        <v/>
      </c>
      <c r="Q40" s="8">
        <f>K40-M40</f>
        <v/>
      </c>
      <c r="R40" s="8">
        <f>L40-M40</f>
        <v/>
      </c>
      <c r="S40" s="7">
        <f>IF(E40&gt;0, G40/E40, 0)</f>
        <v/>
      </c>
      <c r="T40" s="7">
        <f>IF(E40&gt;0, N40/E40, 0)</f>
        <v/>
      </c>
      <c r="U40" s="7">
        <f>IF(E40&gt;0, O40/E40, 0)</f>
        <v/>
      </c>
      <c r="V40" s="7">
        <f>IF(E40&gt;0, P40/E40, 0)</f>
        <v/>
      </c>
    </row>
    <row r="41" ht="19" customHeight="1">
      <c r="A41" s="35" t="inlineStr">
        <is>
          <t>2157</t>
        </is>
      </c>
      <c r="B41" s="35" t="inlineStr">
        <is>
          <t>MDLZ</t>
        </is>
      </c>
      <c r="C41" s="5" t="inlineStr">
        <is>
          <t>Милка шоко бисквита 150г</t>
        </is>
      </c>
      <c r="D41" s="24" t="n">
        <v>59</v>
      </c>
      <c r="E41" s="6" t="n">
        <v>204.73</v>
      </c>
      <c r="F41" s="6" t="n">
        <v>138.51</v>
      </c>
      <c r="G41" s="6">
        <f>E41-F41</f>
        <v/>
      </c>
      <c r="H41" s="36" t="n">
        <v>2.484</v>
      </c>
      <c r="I41" s="36">
        <f>IF(B41="MDLZ", H41*(1-0.068), H41*(1-0.040))</f>
        <v/>
      </c>
      <c r="J41" s="36" t="n">
        <v>1.94</v>
      </c>
      <c r="K41" s="6">
        <f>D41*H41</f>
        <v/>
      </c>
      <c r="L41" s="6">
        <f>D41*I41</f>
        <v/>
      </c>
      <c r="M41" s="6">
        <f>D41*J41</f>
        <v/>
      </c>
      <c r="N41" s="6">
        <f>E41-K41</f>
        <v/>
      </c>
      <c r="O41" s="6">
        <f>E41-L41</f>
        <v/>
      </c>
      <c r="P41" s="6">
        <f>E41-M41</f>
        <v/>
      </c>
      <c r="Q41" s="8">
        <f>K41-M41</f>
        <v/>
      </c>
      <c r="R41" s="8">
        <f>L41-M41</f>
        <v/>
      </c>
      <c r="S41" s="7">
        <f>IF(E41&gt;0, G41/E41, 0)</f>
        <v/>
      </c>
      <c r="T41" s="7">
        <f>IF(E41&gt;0, N41/E41, 0)</f>
        <v/>
      </c>
      <c r="U41" s="7">
        <f>IF(E41&gt;0, O41/E41, 0)</f>
        <v/>
      </c>
      <c r="V41" s="7">
        <f>IF(E41&gt;0, P41/E41, 0)</f>
        <v/>
      </c>
    </row>
    <row r="42" ht="19" customHeight="1">
      <c r="A42" s="35" t="inlineStr">
        <is>
          <t>11954</t>
        </is>
      </c>
      <c r="B42" s="35" t="inlineStr">
        <is>
          <t>MDLZ</t>
        </is>
      </c>
      <c r="C42" s="5" t="inlineStr">
        <is>
          <t>Б-ти Милка Шоко кейк 175гр.</t>
        </is>
      </c>
      <c r="D42" s="24" t="n">
        <v>56</v>
      </c>
      <c r="E42" s="6" t="n">
        <v>194.32</v>
      </c>
      <c r="F42" s="6" t="n">
        <v>128.52</v>
      </c>
      <c r="G42" s="6">
        <f>E42-F42</f>
        <v/>
      </c>
      <c r="H42" s="36" t="n">
        <v>2.484</v>
      </c>
      <c r="I42" s="36">
        <f>IF(B42="MDLZ", H42*(1-0.068), H42*(1-0.040))</f>
        <v/>
      </c>
      <c r="J42" s="36" t="n">
        <v>1.94</v>
      </c>
      <c r="K42" s="6">
        <f>D42*H42</f>
        <v/>
      </c>
      <c r="L42" s="6">
        <f>D42*I42</f>
        <v/>
      </c>
      <c r="M42" s="6">
        <f>D42*J42</f>
        <v/>
      </c>
      <c r="N42" s="6">
        <f>E42-K42</f>
        <v/>
      </c>
      <c r="O42" s="6">
        <f>E42-L42</f>
        <v/>
      </c>
      <c r="P42" s="6">
        <f>E42-M42</f>
        <v/>
      </c>
      <c r="Q42" s="8">
        <f>K42-M42</f>
        <v/>
      </c>
      <c r="R42" s="8">
        <f>L42-M42</f>
        <v/>
      </c>
      <c r="S42" s="7">
        <f>IF(E42&gt;0, G42/E42, 0)</f>
        <v/>
      </c>
      <c r="T42" s="7">
        <f>IF(E42&gt;0, N42/E42, 0)</f>
        <v/>
      </c>
      <c r="U42" s="7">
        <f>IF(E42&gt;0, O42/E42, 0)</f>
        <v/>
      </c>
      <c r="V42" s="7">
        <f>IF(E42&gt;0, P42/E42, 0)</f>
        <v/>
      </c>
    </row>
    <row r="43" ht="19" customHeight="1">
      <c r="A43" s="35" t="inlineStr">
        <is>
          <t>7032</t>
        </is>
      </c>
      <c r="B43" s="35" t="inlineStr">
        <is>
          <t>MDLZ</t>
        </is>
      </c>
      <c r="C43" s="5" t="inlineStr">
        <is>
          <t>Сушард Фигаро 276гр.</t>
        </is>
      </c>
      <c r="D43" s="24" t="n">
        <v>39</v>
      </c>
      <c r="E43" s="6" t="n">
        <v>278.85</v>
      </c>
      <c r="F43" s="6" t="n">
        <v>207.8</v>
      </c>
      <c r="G43" s="6">
        <f>E43-F43</f>
        <v/>
      </c>
      <c r="H43" s="36" t="n">
        <v>5.64</v>
      </c>
      <c r="I43" s="36">
        <f>IF(B43="MDLZ", H43*(1-0.068), H43*(1-0.040))</f>
        <v/>
      </c>
      <c r="J43" s="36" t="n">
        <v>4.79</v>
      </c>
      <c r="K43" s="6">
        <f>D43*H43</f>
        <v/>
      </c>
      <c r="L43" s="6">
        <f>D43*I43</f>
        <v/>
      </c>
      <c r="M43" s="6">
        <f>D43*J43</f>
        <v/>
      </c>
      <c r="N43" s="6">
        <f>E43-K43</f>
        <v/>
      </c>
      <c r="O43" s="6">
        <f>E43-L43</f>
        <v/>
      </c>
      <c r="P43" s="6">
        <f>E43-M43</f>
        <v/>
      </c>
      <c r="Q43" s="8">
        <f>K43-M43</f>
        <v/>
      </c>
      <c r="R43" s="8">
        <f>L43-M43</f>
        <v/>
      </c>
      <c r="S43" s="7">
        <f>IF(E43&gt;0, G43/E43, 0)</f>
        <v/>
      </c>
      <c r="T43" s="7">
        <f>IF(E43&gt;0, N43/E43, 0)</f>
        <v/>
      </c>
      <c r="U43" s="7">
        <f>IF(E43&gt;0, O43/E43, 0)</f>
        <v/>
      </c>
      <c r="V43" s="7">
        <f>IF(E43&gt;0, P43/E43, 0)</f>
        <v/>
      </c>
    </row>
    <row r="44" ht="19" customHeight="1">
      <c r="A44" s="35" t="inlineStr">
        <is>
          <t>15507</t>
        </is>
      </c>
      <c r="B44" s="35" t="inlineStr">
        <is>
          <t>MDLZ</t>
        </is>
      </c>
      <c r="C44" s="5" t="inlineStr">
        <is>
          <t>Милка 46 г крем с лешников вкус и бисквитка</t>
        </is>
      </c>
      <c r="D44" s="24" t="n">
        <v>236</v>
      </c>
      <c r="E44" s="6" t="n">
        <v>240.72</v>
      </c>
      <c r="F44" s="6" t="n">
        <v>155.76</v>
      </c>
      <c r="G44" s="6">
        <f>E44-F44</f>
        <v/>
      </c>
      <c r="H44" s="36" t="n">
        <v>0.66</v>
      </c>
      <c r="I44" s="36">
        <f>IF(B44="MDLZ", H44*(1-0.068), H44*(1-0.040))</f>
        <v/>
      </c>
      <c r="J44" s="36" t="n">
        <v>0.55</v>
      </c>
      <c r="K44" s="6">
        <f>D44*H44</f>
        <v/>
      </c>
      <c r="L44" s="6">
        <f>D44*I44</f>
        <v/>
      </c>
      <c r="M44" s="6">
        <f>D44*J44</f>
        <v/>
      </c>
      <c r="N44" s="6">
        <f>E44-K44</f>
        <v/>
      </c>
      <c r="O44" s="6">
        <f>E44-L44</f>
        <v/>
      </c>
      <c r="P44" s="6">
        <f>E44-M44</f>
        <v/>
      </c>
      <c r="Q44" s="8">
        <f>K44-M44</f>
        <v/>
      </c>
      <c r="R44" s="8">
        <f>L44-M44</f>
        <v/>
      </c>
      <c r="S44" s="7">
        <f>IF(E44&gt;0, G44/E44, 0)</f>
        <v/>
      </c>
      <c r="T44" s="7">
        <f>IF(E44&gt;0, N44/E44, 0)</f>
        <v/>
      </c>
      <c r="U44" s="7">
        <f>IF(E44&gt;0, O44/E44, 0)</f>
        <v/>
      </c>
      <c r="V44" s="7">
        <f>IF(E44&gt;0, P44/E44, 0)</f>
        <v/>
      </c>
    </row>
    <row r="45" ht="19" customHeight="1">
      <c r="A45" s="35" t="inlineStr">
        <is>
          <t>18039</t>
        </is>
      </c>
      <c r="B45" s="35" t="inlineStr">
        <is>
          <t>MDLZ</t>
        </is>
      </c>
      <c r="C45" s="5" t="inlineStr">
        <is>
          <t>Б-ти Милка Малина 147гр.</t>
        </is>
      </c>
      <c r="D45" s="24" t="n">
        <v>111</v>
      </c>
      <c r="E45" s="6" t="n">
        <v>271.95</v>
      </c>
      <c r="F45" s="6" t="n">
        <v>186.48</v>
      </c>
      <c r="G45" s="6">
        <f>E45-F45</f>
        <v/>
      </c>
      <c r="H45" s="36" t="n">
        <v>1.68</v>
      </c>
      <c r="I45" s="36">
        <f>IF(B45="MDLZ", H45*(1-0.068), H45*(1-0.040))</f>
        <v/>
      </c>
      <c r="J45" s="36" t="n">
        <v>1.34</v>
      </c>
      <c r="K45" s="6">
        <f>D45*H45</f>
        <v/>
      </c>
      <c r="L45" s="6">
        <f>D45*I45</f>
        <v/>
      </c>
      <c r="M45" s="6">
        <f>D45*J45</f>
        <v/>
      </c>
      <c r="N45" s="6">
        <f>E45-K45</f>
        <v/>
      </c>
      <c r="O45" s="6">
        <f>E45-L45</f>
        <v/>
      </c>
      <c r="P45" s="6">
        <f>E45-M45</f>
        <v/>
      </c>
      <c r="Q45" s="8">
        <f>K45-M45</f>
        <v/>
      </c>
      <c r="R45" s="8">
        <f>L45-M45</f>
        <v/>
      </c>
      <c r="S45" s="7">
        <f>IF(E45&gt;0, G45/E45, 0)</f>
        <v/>
      </c>
      <c r="T45" s="7">
        <f>IF(E45&gt;0, N45/E45, 0)</f>
        <v/>
      </c>
      <c r="U45" s="7">
        <f>IF(E45&gt;0, O45/E45, 0)</f>
        <v/>
      </c>
      <c r="V45" s="7">
        <f>IF(E45&gt;0, P45/E45, 0)</f>
        <v/>
      </c>
    </row>
    <row r="46" ht="19" customHeight="1">
      <c r="A46" s="35" t="inlineStr">
        <is>
          <t>630285</t>
        </is>
      </c>
      <c r="B46" s="35" t="inlineStr">
        <is>
          <t>MDLZ</t>
        </is>
      </c>
      <c r="C46" s="5" t="inlineStr">
        <is>
          <t>Милка млян лешник 90 гр. НОВ</t>
        </is>
      </c>
      <c r="D46" s="24" t="n">
        <v>124</v>
      </c>
      <c r="E46" s="6" t="n">
        <v>245.52</v>
      </c>
      <c r="F46" s="6" t="n">
        <v>203.45</v>
      </c>
      <c r="G46" s="6">
        <f>E46-F46</f>
        <v/>
      </c>
      <c r="H46" s="36" t="n">
        <v>2.1</v>
      </c>
      <c r="I46" s="36">
        <f>IF(B46="MDLZ", H46*(1-0.068), H46*(1-0.040))</f>
        <v/>
      </c>
      <c r="J46" s="36" t="n">
        <v>1.09</v>
      </c>
      <c r="K46" s="6">
        <f>D46*H46</f>
        <v/>
      </c>
      <c r="L46" s="6">
        <f>D46*I46</f>
        <v/>
      </c>
      <c r="M46" s="6">
        <f>D46*J46</f>
        <v/>
      </c>
      <c r="N46" s="6">
        <f>E46-K46</f>
        <v/>
      </c>
      <c r="O46" s="6">
        <f>E46-L46</f>
        <v/>
      </c>
      <c r="P46" s="6">
        <f>E46-M46</f>
        <v/>
      </c>
      <c r="Q46" s="8">
        <f>K46-M46</f>
        <v/>
      </c>
      <c r="R46" s="8">
        <f>L46-M46</f>
        <v/>
      </c>
      <c r="S46" s="7">
        <f>IF(E46&gt;0, G46/E46, 0)</f>
        <v/>
      </c>
      <c r="T46" s="7">
        <f>IF(E46&gt;0, N46/E46, 0)</f>
        <v/>
      </c>
      <c r="U46" s="7">
        <f>IF(E46&gt;0, O46/E46, 0)</f>
        <v/>
      </c>
      <c r="V46" s="7">
        <f>IF(E46&gt;0, P46/E46, 0)</f>
        <v/>
      </c>
    </row>
    <row r="47" ht="19" customHeight="1">
      <c r="A47" s="35" t="inlineStr">
        <is>
          <t>332</t>
        </is>
      </c>
      <c r="B47" s="35" t="inlineStr">
        <is>
          <t>MDLZ</t>
        </is>
      </c>
      <c r="C47" s="5" t="inlineStr">
        <is>
          <t>Сушард Аида 117 гр.</t>
        </is>
      </c>
      <c r="D47" s="24" t="n">
        <v>81</v>
      </c>
      <c r="E47" s="6" t="n">
        <v>309.29</v>
      </c>
      <c r="F47" s="6" t="n">
        <v>245.46</v>
      </c>
      <c r="G47" s="6">
        <f>E47-F47</f>
        <v/>
      </c>
      <c r="H47" s="36" t="n">
        <v>3.264</v>
      </c>
      <c r="I47" s="36">
        <f>IF(B47="MDLZ", H47*(1-0.068), H47*(1-0.040))</f>
        <v/>
      </c>
      <c r="J47" s="36" t="n">
        <v>2.79</v>
      </c>
      <c r="K47" s="6">
        <f>D47*H47</f>
        <v/>
      </c>
      <c r="L47" s="6">
        <f>D47*I47</f>
        <v/>
      </c>
      <c r="M47" s="6">
        <f>D47*J47</f>
        <v/>
      </c>
      <c r="N47" s="6">
        <f>E47-K47</f>
        <v/>
      </c>
      <c r="O47" s="6">
        <f>E47-L47</f>
        <v/>
      </c>
      <c r="P47" s="6">
        <f>E47-M47</f>
        <v/>
      </c>
      <c r="Q47" s="8">
        <f>K47-M47</f>
        <v/>
      </c>
      <c r="R47" s="8">
        <f>L47-M47</f>
        <v/>
      </c>
      <c r="S47" s="7">
        <f>IF(E47&gt;0, G47/E47, 0)</f>
        <v/>
      </c>
      <c r="T47" s="7">
        <f>IF(E47&gt;0, N47/E47, 0)</f>
        <v/>
      </c>
      <c r="U47" s="7">
        <f>IF(E47&gt;0, O47/E47, 0)</f>
        <v/>
      </c>
      <c r="V47" s="7">
        <f>IF(E47&gt;0, P47/E47, 0)</f>
        <v/>
      </c>
    </row>
    <row r="48" ht="19" customHeight="1">
      <c r="A48" s="35" t="inlineStr">
        <is>
          <t>13279</t>
        </is>
      </c>
      <c r="B48" s="35" t="inlineStr">
        <is>
          <t>MDLZ</t>
        </is>
      </c>
      <c r="C48" s="5" t="inlineStr">
        <is>
          <t>Б-ти Милка Лила Stix 112гр.</t>
        </is>
      </c>
      <c r="D48" s="24" t="n">
        <v>63</v>
      </c>
      <c r="E48" s="6" t="n">
        <v>154.35</v>
      </c>
      <c r="F48" s="6" t="n">
        <v>105.34</v>
      </c>
      <c r="G48" s="6">
        <f>E48-F48</f>
        <v/>
      </c>
      <c r="H48" s="36" t="n">
        <v>1.68</v>
      </c>
      <c r="I48" s="36">
        <f>IF(B48="MDLZ", H48*(1-0.068), H48*(1-0.040))</f>
        <v/>
      </c>
      <c r="J48" s="36" t="n">
        <v>1.34</v>
      </c>
      <c r="K48" s="6">
        <f>D48*H48</f>
        <v/>
      </c>
      <c r="L48" s="6">
        <f>D48*I48</f>
        <v/>
      </c>
      <c r="M48" s="6">
        <f>D48*J48</f>
        <v/>
      </c>
      <c r="N48" s="6">
        <f>E48-K48</f>
        <v/>
      </c>
      <c r="O48" s="6">
        <f>E48-L48</f>
        <v/>
      </c>
      <c r="P48" s="6">
        <f>E48-M48</f>
        <v/>
      </c>
      <c r="Q48" s="8">
        <f>K48-M48</f>
        <v/>
      </c>
      <c r="R48" s="8">
        <f>L48-M48</f>
        <v/>
      </c>
      <c r="S48" s="7">
        <f>IF(E48&gt;0, G48/E48, 0)</f>
        <v/>
      </c>
      <c r="T48" s="7">
        <f>IF(E48&gt;0, N48/E48, 0)</f>
        <v/>
      </c>
      <c r="U48" s="7">
        <f>IF(E48&gt;0, O48/E48, 0)</f>
        <v/>
      </c>
      <c r="V48" s="7">
        <f>IF(E48&gt;0, P48/E48, 0)</f>
        <v/>
      </c>
    </row>
    <row r="49" ht="19" customHeight="1">
      <c r="A49" s="35" t="inlineStr">
        <is>
          <t>6704</t>
        </is>
      </c>
      <c r="B49" s="35" t="inlineStr">
        <is>
          <t>CHIPITA</t>
        </is>
      </c>
      <c r="C49" s="5" t="inlineStr">
        <is>
          <t>7ДЕЙС КРОАСАН ДВОЕН КРЕМ ВАНИЛИЯ И ВИШНА 92ГРХ20КШ</t>
        </is>
      </c>
      <c r="D49" s="24" t="n">
        <v>312</v>
      </c>
      <c r="E49" s="6" t="n">
        <v>261.63</v>
      </c>
      <c r="F49" s="6" t="n">
        <v>192.66</v>
      </c>
      <c r="G49" s="6">
        <f>E49-F49</f>
        <v/>
      </c>
      <c r="H49" s="36" t="n">
        <v>0.672</v>
      </c>
      <c r="I49" s="36">
        <f>IF(B49="MDLZ", H49*(1-0.068), H49*(1-0.040))</f>
        <v/>
      </c>
      <c r="J49" s="36" t="n">
        <v>0.59</v>
      </c>
      <c r="K49" s="6">
        <f>D49*H49</f>
        <v/>
      </c>
      <c r="L49" s="6">
        <f>D49*I49</f>
        <v/>
      </c>
      <c r="M49" s="6">
        <f>D49*J49</f>
        <v/>
      </c>
      <c r="N49" s="6">
        <f>E49-K49</f>
        <v/>
      </c>
      <c r="O49" s="6">
        <f>E49-L49</f>
        <v/>
      </c>
      <c r="P49" s="6">
        <f>E49-M49</f>
        <v/>
      </c>
      <c r="Q49" s="8">
        <f>K49-M49</f>
        <v/>
      </c>
      <c r="R49" s="8">
        <f>L49-M49</f>
        <v/>
      </c>
      <c r="S49" s="7">
        <f>IF(E49&gt;0, G49/E49, 0)</f>
        <v/>
      </c>
      <c r="T49" s="7">
        <f>IF(E49&gt;0, N49/E49, 0)</f>
        <v/>
      </c>
      <c r="U49" s="7">
        <f>IF(E49&gt;0, O49/E49, 0)</f>
        <v/>
      </c>
      <c r="V49" s="7">
        <f>IF(E49&gt;0, P49/E49, 0)</f>
        <v/>
      </c>
    </row>
    <row r="50" ht="19" customHeight="1">
      <c r="A50" s="35" t="inlineStr">
        <is>
          <t>13218</t>
        </is>
      </c>
      <c r="B50" s="35" t="inlineStr">
        <is>
          <t>MDLZ</t>
        </is>
      </c>
      <c r="C50" s="5" t="inlineStr">
        <is>
          <t>Своге екстра какао 65%  какао 80гр.</t>
        </is>
      </c>
      <c r="D50" s="24" t="n">
        <v>88</v>
      </c>
      <c r="E50" s="6" t="n">
        <v>156.64</v>
      </c>
      <c r="F50" s="6" t="n">
        <v>113.52</v>
      </c>
      <c r="G50" s="6">
        <f>E50-F50</f>
        <v/>
      </c>
      <c r="H50" s="36" t="n">
        <v>1.284</v>
      </c>
      <c r="I50" s="36">
        <f>IF(B50="MDLZ", H50*(1-0.068), H50*(1-0.040))</f>
        <v/>
      </c>
      <c r="J50" s="36" t="n">
        <v>1.09</v>
      </c>
      <c r="K50" s="6">
        <f>D50*H50</f>
        <v/>
      </c>
      <c r="L50" s="6">
        <f>D50*I50</f>
        <v/>
      </c>
      <c r="M50" s="6">
        <f>D50*J50</f>
        <v/>
      </c>
      <c r="N50" s="6">
        <f>E50-K50</f>
        <v/>
      </c>
      <c r="O50" s="6">
        <f>E50-L50</f>
        <v/>
      </c>
      <c r="P50" s="6">
        <f>E50-M50</f>
        <v/>
      </c>
      <c r="Q50" s="8">
        <f>K50-M50</f>
        <v/>
      </c>
      <c r="R50" s="8">
        <f>L50-M50</f>
        <v/>
      </c>
      <c r="S50" s="7">
        <f>IF(E50&gt;0, G50/E50, 0)</f>
        <v/>
      </c>
      <c r="T50" s="7">
        <f>IF(E50&gt;0, N50/E50, 0)</f>
        <v/>
      </c>
      <c r="U50" s="7">
        <f>IF(E50&gt;0, O50/E50, 0)</f>
        <v/>
      </c>
      <c r="V50" s="7">
        <f>IF(E50&gt;0, P50/E50, 0)</f>
        <v/>
      </c>
    </row>
    <row r="51" ht="19" customHeight="1">
      <c r="A51" s="35" t="inlineStr">
        <is>
          <t>892</t>
        </is>
      </c>
      <c r="B51" s="35" t="inlineStr">
        <is>
          <t>MDLZ</t>
        </is>
      </c>
      <c r="C51" s="5" t="inlineStr">
        <is>
          <t>Милка Лотус Бискоф 90г</t>
        </is>
      </c>
      <c r="D51" s="24" t="n">
        <v>109</v>
      </c>
      <c r="E51" s="6" t="n">
        <v>215.63</v>
      </c>
      <c r="F51" s="6" t="n">
        <v>168.75</v>
      </c>
      <c r="G51" s="6">
        <f>E51-F51</f>
        <v/>
      </c>
      <c r="H51" s="36" t="n">
        <v>1.992</v>
      </c>
      <c r="I51" s="36">
        <f>IF(B51="MDLZ", H51*(1-0.068), H51*(1-0.040))</f>
        <v/>
      </c>
      <c r="J51" s="36" t="n">
        <v>1.09</v>
      </c>
      <c r="K51" s="6">
        <f>D51*H51</f>
        <v/>
      </c>
      <c r="L51" s="6">
        <f>D51*I51</f>
        <v/>
      </c>
      <c r="M51" s="6">
        <f>D51*J51</f>
        <v/>
      </c>
      <c r="N51" s="6">
        <f>E51-K51</f>
        <v/>
      </c>
      <c r="O51" s="6">
        <f>E51-L51</f>
        <v/>
      </c>
      <c r="P51" s="6">
        <f>E51-M51</f>
        <v/>
      </c>
      <c r="Q51" s="8">
        <f>K51-M51</f>
        <v/>
      </c>
      <c r="R51" s="8">
        <f>L51-M51</f>
        <v/>
      </c>
      <c r="S51" s="7">
        <f>IF(E51&gt;0, G51/E51, 0)</f>
        <v/>
      </c>
      <c r="T51" s="7">
        <f>IF(E51&gt;0, N51/E51, 0)</f>
        <v/>
      </c>
      <c r="U51" s="7">
        <f>IF(E51&gt;0, O51/E51, 0)</f>
        <v/>
      </c>
      <c r="V51" s="7">
        <f>IF(E51&gt;0, P51/E51, 0)</f>
        <v/>
      </c>
    </row>
    <row r="52" ht="19" customHeight="1">
      <c r="A52" s="35" t="inlineStr">
        <is>
          <t>11928</t>
        </is>
      </c>
      <c r="B52" s="35" t="inlineStr">
        <is>
          <t>CHIPITA</t>
        </is>
      </c>
      <c r="C52" s="5" t="inlineStr">
        <is>
          <t>7ДЕЙС КРОАСАН ДВОЕН КРЕМ КАКАО И ВАНИЛИЯ 92ГРХ20КШ</t>
        </is>
      </c>
      <c r="D52" s="24" t="n">
        <v>395</v>
      </c>
      <c r="E52" s="6" t="n">
        <v>337.99</v>
      </c>
      <c r="F52" s="6" t="n">
        <v>248.12</v>
      </c>
      <c r="G52" s="6">
        <f>E52-F52</f>
        <v/>
      </c>
      <c r="H52" s="36" t="n">
        <v>0.672</v>
      </c>
      <c r="I52" s="36">
        <f>IF(B52="MDLZ", H52*(1-0.068), H52*(1-0.040))</f>
        <v/>
      </c>
      <c r="J52" s="36" t="n">
        <v>0.59</v>
      </c>
      <c r="K52" s="6">
        <f>D52*H52</f>
        <v/>
      </c>
      <c r="L52" s="6">
        <f>D52*I52</f>
        <v/>
      </c>
      <c r="M52" s="6">
        <f>D52*J52</f>
        <v/>
      </c>
      <c r="N52" s="6">
        <f>E52-K52</f>
        <v/>
      </c>
      <c r="O52" s="6">
        <f>E52-L52</f>
        <v/>
      </c>
      <c r="P52" s="6">
        <f>E52-M52</f>
        <v/>
      </c>
      <c r="Q52" s="8">
        <f>K52-M52</f>
        <v/>
      </c>
      <c r="R52" s="8">
        <f>L52-M52</f>
        <v/>
      </c>
      <c r="S52" s="7">
        <f>IF(E52&gt;0, G52/E52, 0)</f>
        <v/>
      </c>
      <c r="T52" s="7">
        <f>IF(E52&gt;0, N52/E52, 0)</f>
        <v/>
      </c>
      <c r="U52" s="7">
        <f>IF(E52&gt;0, O52/E52, 0)</f>
        <v/>
      </c>
      <c r="V52" s="7">
        <f>IF(E52&gt;0, P52/E52, 0)</f>
        <v/>
      </c>
    </row>
    <row r="53" ht="19" customHeight="1">
      <c r="A53" s="35" t="inlineStr">
        <is>
          <t>633053</t>
        </is>
      </c>
      <c r="B53" s="35" t="inlineStr">
        <is>
          <t>MDLZ</t>
        </is>
      </c>
      <c r="C53" s="5" t="inlineStr">
        <is>
          <t>Тоблерон млечен 100гр.</t>
        </is>
      </c>
      <c r="D53" s="24" t="n">
        <v>64</v>
      </c>
      <c r="E53" s="6" t="n">
        <v>213.52</v>
      </c>
      <c r="F53" s="6" t="n">
        <v>142.52</v>
      </c>
      <c r="G53" s="6">
        <f>E53-F53</f>
        <v/>
      </c>
      <c r="H53" s="36" t="n">
        <v>2.4</v>
      </c>
      <c r="I53" s="36">
        <f>IF(B53="MDLZ", H53*(1-0.068), H53*(1-0.040))</f>
        <v/>
      </c>
      <c r="J53" s="36" t="n">
        <v>1.99</v>
      </c>
      <c r="K53" s="6">
        <f>D53*H53</f>
        <v/>
      </c>
      <c r="L53" s="6">
        <f>D53*I53</f>
        <v/>
      </c>
      <c r="M53" s="6">
        <f>D53*J53</f>
        <v/>
      </c>
      <c r="N53" s="6">
        <f>E53-K53</f>
        <v/>
      </c>
      <c r="O53" s="6">
        <f>E53-L53</f>
        <v/>
      </c>
      <c r="P53" s="6">
        <f>E53-M53</f>
        <v/>
      </c>
      <c r="Q53" s="8">
        <f>K53-M53</f>
        <v/>
      </c>
      <c r="R53" s="8">
        <f>L53-M53</f>
        <v/>
      </c>
      <c r="S53" s="7">
        <f>IF(E53&gt;0, G53/E53, 0)</f>
        <v/>
      </c>
      <c r="T53" s="7">
        <f>IF(E53&gt;0, N53/E53, 0)</f>
        <v/>
      </c>
      <c r="U53" s="7">
        <f>IF(E53&gt;0, O53/E53, 0)</f>
        <v/>
      </c>
      <c r="V53" s="7">
        <f>IF(E53&gt;0, P53/E53, 0)</f>
        <v/>
      </c>
    </row>
    <row r="54" ht="19" customHeight="1">
      <c r="A54" s="35" t="inlineStr">
        <is>
          <t>13845</t>
        </is>
      </c>
      <c r="B54" s="35" t="inlineStr">
        <is>
          <t>MDLZ</t>
        </is>
      </c>
      <c r="C54" s="5" t="inlineStr">
        <is>
          <t>Милка Орео 37гр.</t>
        </is>
      </c>
      <c r="D54" s="24" t="n">
        <v>209</v>
      </c>
      <c r="E54" s="6" t="n">
        <v>213.18</v>
      </c>
      <c r="F54" s="6" t="n">
        <v>137.94</v>
      </c>
      <c r="G54" s="6">
        <f>E54-F54</f>
        <v/>
      </c>
      <c r="H54" s="36" t="n">
        <v>0.66</v>
      </c>
      <c r="I54" s="36">
        <f>IF(B54="MDLZ", H54*(1-0.068), H54*(1-0.040))</f>
        <v/>
      </c>
      <c r="J54" s="36" t="n">
        <v>0.55</v>
      </c>
      <c r="K54" s="6">
        <f>D54*H54</f>
        <v/>
      </c>
      <c r="L54" s="6">
        <f>D54*I54</f>
        <v/>
      </c>
      <c r="M54" s="6">
        <f>D54*J54</f>
        <v/>
      </c>
      <c r="N54" s="6">
        <f>E54-K54</f>
        <v/>
      </c>
      <c r="O54" s="6">
        <f>E54-L54</f>
        <v/>
      </c>
      <c r="P54" s="6">
        <f>E54-M54</f>
        <v/>
      </c>
      <c r="Q54" s="8">
        <f>K54-M54</f>
        <v/>
      </c>
      <c r="R54" s="8">
        <f>L54-M54</f>
        <v/>
      </c>
      <c r="S54" s="7">
        <f>IF(E54&gt;0, G54/E54, 0)</f>
        <v/>
      </c>
      <c r="T54" s="7">
        <f>IF(E54&gt;0, N54/E54, 0)</f>
        <v/>
      </c>
      <c r="U54" s="7">
        <f>IF(E54&gt;0, O54/E54, 0)</f>
        <v/>
      </c>
      <c r="V54" s="7">
        <f>IF(E54&gt;0, P54/E54, 0)</f>
        <v/>
      </c>
    </row>
    <row r="55" ht="19" customHeight="1">
      <c r="A55" s="35" t="inlineStr">
        <is>
          <t>10147</t>
        </is>
      </c>
      <c r="B55" s="35" t="inlineStr">
        <is>
          <t>MDLZ</t>
        </is>
      </c>
      <c r="C55" s="5" t="inlineStr">
        <is>
          <t>Mилка млян лешник 250 гр. НОВ</t>
        </is>
      </c>
      <c r="D55" s="24" t="n">
        <v>20</v>
      </c>
      <c r="E55" s="6" t="n">
        <v>117.79</v>
      </c>
      <c r="F55" s="6" t="n">
        <v>86.10000000000001</v>
      </c>
      <c r="G55" s="6">
        <f>E55-F55</f>
        <v/>
      </c>
      <c r="H55" s="36" t="n">
        <v>5.892</v>
      </c>
      <c r="I55" s="36">
        <f>IF(B55="MDLZ", H55*(1-0.068), H55*(1-0.040))</f>
        <v/>
      </c>
      <c r="J55" s="36" t="n">
        <v>3.99</v>
      </c>
      <c r="K55" s="6">
        <f>D55*H55</f>
        <v/>
      </c>
      <c r="L55" s="6">
        <f>D55*I55</f>
        <v/>
      </c>
      <c r="M55" s="6">
        <f>D55*J55</f>
        <v/>
      </c>
      <c r="N55" s="6">
        <f>E55-K55</f>
        <v/>
      </c>
      <c r="O55" s="6">
        <f>E55-L55</f>
        <v/>
      </c>
      <c r="P55" s="6">
        <f>E55-M55</f>
        <v/>
      </c>
      <c r="Q55" s="8">
        <f>K55-M55</f>
        <v/>
      </c>
      <c r="R55" s="8">
        <f>L55-M55</f>
        <v/>
      </c>
      <c r="S55" s="7">
        <f>IF(E55&gt;0, G55/E55, 0)</f>
        <v/>
      </c>
      <c r="T55" s="7">
        <f>IF(E55&gt;0, N55/E55, 0)</f>
        <v/>
      </c>
      <c r="U55" s="7">
        <f>IF(E55&gt;0, O55/E55, 0)</f>
        <v/>
      </c>
      <c r="V55" s="7">
        <f>IF(E55&gt;0, P55/E55, 0)</f>
        <v/>
      </c>
    </row>
    <row r="56" ht="19" customHeight="1">
      <c r="A56" s="35" t="inlineStr">
        <is>
          <t>16858</t>
        </is>
      </c>
      <c r="B56" s="35" t="inlineStr">
        <is>
          <t>MDLZ</t>
        </is>
      </c>
      <c r="C56" s="5" t="inlineStr">
        <is>
          <t>Б-ти Милка Кукис шоколад 156гр.</t>
        </is>
      </c>
      <c r="D56" s="24" t="n">
        <v>51</v>
      </c>
      <c r="E56" s="6" t="n">
        <v>176.97</v>
      </c>
      <c r="F56" s="6" t="n">
        <v>117.55</v>
      </c>
      <c r="G56" s="6">
        <f>E56-F56</f>
        <v/>
      </c>
      <c r="H56" s="36" t="n">
        <v>2.484</v>
      </c>
      <c r="I56" s="36">
        <f>IF(B56="MDLZ", H56*(1-0.068), H56*(1-0.040))</f>
        <v/>
      </c>
      <c r="J56" s="36" t="n">
        <v>1.94</v>
      </c>
      <c r="K56" s="6">
        <f>D56*H56</f>
        <v/>
      </c>
      <c r="L56" s="6">
        <f>D56*I56</f>
        <v/>
      </c>
      <c r="M56" s="6">
        <f>D56*J56</f>
        <v/>
      </c>
      <c r="N56" s="6">
        <f>E56-K56</f>
        <v/>
      </c>
      <c r="O56" s="6">
        <f>E56-L56</f>
        <v/>
      </c>
      <c r="P56" s="6">
        <f>E56-M56</f>
        <v/>
      </c>
      <c r="Q56" s="8">
        <f>K56-M56</f>
        <v/>
      </c>
      <c r="R56" s="8">
        <f>L56-M56</f>
        <v/>
      </c>
      <c r="S56" s="7">
        <f>IF(E56&gt;0, G56/E56, 0)</f>
        <v/>
      </c>
      <c r="T56" s="7">
        <f>IF(E56&gt;0, N56/E56, 0)</f>
        <v/>
      </c>
      <c r="U56" s="7">
        <f>IF(E56&gt;0, O56/E56, 0)</f>
        <v/>
      </c>
      <c r="V56" s="7">
        <f>IF(E56&gt;0, P56/E56, 0)</f>
        <v/>
      </c>
    </row>
    <row r="57" ht="19" customHeight="1">
      <c r="A57" s="35" t="inlineStr">
        <is>
          <t>18037</t>
        </is>
      </c>
      <c r="B57" s="35" t="inlineStr">
        <is>
          <t>MDLZ</t>
        </is>
      </c>
      <c r="C57" s="5" t="inlineStr">
        <is>
          <t>Милка екстра какао 90 гр. НОВ</t>
        </is>
      </c>
      <c r="D57" s="24" t="n">
        <v>75</v>
      </c>
      <c r="E57" s="6" t="n">
        <v>149.45</v>
      </c>
      <c r="F57" s="6" t="n">
        <v>121.32</v>
      </c>
      <c r="G57" s="6">
        <f>E57-F57</f>
        <v/>
      </c>
      <c r="H57" s="36" t="n">
        <v>2.1</v>
      </c>
      <c r="I57" s="36">
        <f>IF(B57="MDLZ", H57*(1-0.068), H57*(1-0.040))</f>
        <v/>
      </c>
      <c r="J57" s="36" t="n">
        <v>1.09</v>
      </c>
      <c r="K57" s="6">
        <f>D57*H57</f>
        <v/>
      </c>
      <c r="L57" s="6">
        <f>D57*I57</f>
        <v/>
      </c>
      <c r="M57" s="6">
        <f>D57*J57</f>
        <v/>
      </c>
      <c r="N57" s="6">
        <f>E57-K57</f>
        <v/>
      </c>
      <c r="O57" s="6">
        <f>E57-L57</f>
        <v/>
      </c>
      <c r="P57" s="6">
        <f>E57-M57</f>
        <v/>
      </c>
      <c r="Q57" s="8">
        <f>K57-M57</f>
        <v/>
      </c>
      <c r="R57" s="8">
        <f>L57-M57</f>
        <v/>
      </c>
      <c r="S57" s="7">
        <f>IF(E57&gt;0, G57/E57, 0)</f>
        <v/>
      </c>
      <c r="T57" s="7">
        <f>IF(E57&gt;0, N57/E57, 0)</f>
        <v/>
      </c>
      <c r="U57" s="7">
        <f>IF(E57&gt;0, O57/E57, 0)</f>
        <v/>
      </c>
      <c r="V57" s="7">
        <f>IF(E57&gt;0, P57/E57, 0)</f>
        <v/>
      </c>
    </row>
    <row r="58" ht="19" customHeight="1">
      <c r="A58" s="35" t="inlineStr">
        <is>
          <t>633070</t>
        </is>
      </c>
      <c r="B58" s="35" t="inlineStr">
        <is>
          <t>MDLZ</t>
        </is>
      </c>
      <c r="C58" s="5" t="inlineStr">
        <is>
          <t>Милка Ягода  100гр.</t>
        </is>
      </c>
      <c r="D58" s="24" t="n">
        <v>78</v>
      </c>
      <c r="E58" s="6" t="n">
        <v>161.66</v>
      </c>
      <c r="F58" s="6" t="n">
        <v>124.42</v>
      </c>
      <c r="G58" s="6">
        <f>E58-F58</f>
        <v/>
      </c>
      <c r="H58" s="36" t="n">
        <v>1.992</v>
      </c>
      <c r="I58" s="36">
        <f>IF(B58="MDLZ", H58*(1-0.068), H58*(1-0.040))</f>
        <v/>
      </c>
      <c r="J58" s="36" t="n">
        <v>1.09</v>
      </c>
      <c r="K58" s="6">
        <f>D58*H58</f>
        <v/>
      </c>
      <c r="L58" s="6">
        <f>D58*I58</f>
        <v/>
      </c>
      <c r="M58" s="6">
        <f>D58*J58</f>
        <v/>
      </c>
      <c r="N58" s="6">
        <f>E58-K58</f>
        <v/>
      </c>
      <c r="O58" s="6">
        <f>E58-L58</f>
        <v/>
      </c>
      <c r="P58" s="6">
        <f>E58-M58</f>
        <v/>
      </c>
      <c r="Q58" s="8">
        <f>K58-M58</f>
        <v/>
      </c>
      <c r="R58" s="8">
        <f>L58-M58</f>
        <v/>
      </c>
      <c r="S58" s="7">
        <f>IF(E58&gt;0, G58/E58, 0)</f>
        <v/>
      </c>
      <c r="T58" s="7">
        <f>IF(E58&gt;0, N58/E58, 0)</f>
        <v/>
      </c>
      <c r="U58" s="7">
        <f>IF(E58&gt;0, O58/E58, 0)</f>
        <v/>
      </c>
      <c r="V58" s="7">
        <f>IF(E58&gt;0, P58/E58, 0)</f>
        <v/>
      </c>
    </row>
    <row r="59" ht="19" customHeight="1">
      <c r="A59" s="35" t="inlineStr">
        <is>
          <t>2974</t>
        </is>
      </c>
      <c r="B59" s="35" t="inlineStr">
        <is>
          <t>MDLZ</t>
        </is>
      </c>
      <c r="C59" s="5" t="inlineStr">
        <is>
          <t>Белвита  Лешник и Мед 50гр.</t>
        </is>
      </c>
      <c r="D59" s="24" t="n">
        <v>179</v>
      </c>
      <c r="E59" s="6" t="n">
        <v>136.04</v>
      </c>
      <c r="F59" s="6" t="n">
        <v>91.28999999999999</v>
      </c>
      <c r="G59" s="6">
        <f>E59-F59</f>
        <v/>
      </c>
      <c r="H59" s="36" t="n">
        <v>0.504</v>
      </c>
      <c r="I59" s="36">
        <f>IF(B59="MDLZ", H59*(1-0.068), H59*(1-0.040))</f>
        <v/>
      </c>
      <c r="J59" s="36" t="n">
        <v>0.42</v>
      </c>
      <c r="K59" s="6">
        <f>D59*H59</f>
        <v/>
      </c>
      <c r="L59" s="6">
        <f>D59*I59</f>
        <v/>
      </c>
      <c r="M59" s="6">
        <f>D59*J59</f>
        <v/>
      </c>
      <c r="N59" s="6">
        <f>E59-K59</f>
        <v/>
      </c>
      <c r="O59" s="6">
        <f>E59-L59</f>
        <v/>
      </c>
      <c r="P59" s="6">
        <f>E59-M59</f>
        <v/>
      </c>
      <c r="Q59" s="8">
        <f>K59-M59</f>
        <v/>
      </c>
      <c r="R59" s="8">
        <f>L59-M59</f>
        <v/>
      </c>
      <c r="S59" s="7">
        <f>IF(E59&gt;0, G59/E59, 0)</f>
        <v/>
      </c>
      <c r="T59" s="7">
        <f>IF(E59&gt;0, N59/E59, 0)</f>
        <v/>
      </c>
      <c r="U59" s="7">
        <f>IF(E59&gt;0, O59/E59, 0)</f>
        <v/>
      </c>
      <c r="V59" s="7">
        <f>IF(E59&gt;0, P59/E59, 0)</f>
        <v/>
      </c>
    </row>
    <row r="60" ht="19" customHeight="1">
      <c r="A60" s="35" t="inlineStr">
        <is>
          <t>17314</t>
        </is>
      </c>
      <c r="B60" s="35" t="inlineStr">
        <is>
          <t>MDLZ</t>
        </is>
      </c>
      <c r="C60" s="5" t="inlineStr">
        <is>
          <t>Б-ти Милка Шокоминис 150гр.</t>
        </is>
      </c>
      <c r="D60" s="24" t="n">
        <v>77</v>
      </c>
      <c r="E60" s="6" t="n">
        <v>177.1</v>
      </c>
      <c r="F60" s="6" t="n">
        <v>129.36</v>
      </c>
      <c r="G60" s="6">
        <f>E60-F60</f>
        <v/>
      </c>
      <c r="H60" s="36" t="n">
        <v>1.68</v>
      </c>
      <c r="I60" s="36">
        <f>IF(B60="MDLZ", H60*(1-0.068), H60*(1-0.040))</f>
        <v/>
      </c>
      <c r="J60" s="36" t="n">
        <v>1.34</v>
      </c>
      <c r="K60" s="6">
        <f>D60*H60</f>
        <v/>
      </c>
      <c r="L60" s="6">
        <f>D60*I60</f>
        <v/>
      </c>
      <c r="M60" s="6">
        <f>D60*J60</f>
        <v/>
      </c>
      <c r="N60" s="6">
        <f>E60-K60</f>
        <v/>
      </c>
      <c r="O60" s="6">
        <f>E60-L60</f>
        <v/>
      </c>
      <c r="P60" s="6">
        <f>E60-M60</f>
        <v/>
      </c>
      <c r="Q60" s="8">
        <f>K60-M60</f>
        <v/>
      </c>
      <c r="R60" s="8">
        <f>L60-M60</f>
        <v/>
      </c>
      <c r="S60" s="7">
        <f>IF(E60&gt;0, G60/E60, 0)</f>
        <v/>
      </c>
      <c r="T60" s="7">
        <f>IF(E60&gt;0, N60/E60, 0)</f>
        <v/>
      </c>
      <c r="U60" s="7">
        <f>IF(E60&gt;0, O60/E60, 0)</f>
        <v/>
      </c>
      <c r="V60" s="7">
        <f>IF(E60&gt;0, P60/E60, 0)</f>
        <v/>
      </c>
    </row>
    <row r="61" ht="19" customHeight="1">
      <c r="A61" s="35" t="inlineStr">
        <is>
          <t>2930</t>
        </is>
      </c>
      <c r="B61" s="35" t="inlineStr">
        <is>
          <t>MDLZ</t>
        </is>
      </c>
      <c r="C61" s="5" t="inlineStr">
        <is>
          <t>Белвита  Шоколад 50гр.</t>
        </is>
      </c>
      <c r="D61" s="24" t="n">
        <v>214</v>
      </c>
      <c r="E61" s="6" t="n">
        <v>151.94</v>
      </c>
      <c r="F61" s="6" t="n">
        <v>109.14</v>
      </c>
      <c r="G61" s="6">
        <f>E61-F61</f>
        <v/>
      </c>
      <c r="H61" s="36" t="n">
        <v>0.504</v>
      </c>
      <c r="I61" s="36">
        <f>IF(B61="MDLZ", H61*(1-0.068), H61*(1-0.040))</f>
        <v/>
      </c>
      <c r="J61" s="36" t="n">
        <v>0.42</v>
      </c>
      <c r="K61" s="6">
        <f>D61*H61</f>
        <v/>
      </c>
      <c r="L61" s="6">
        <f>D61*I61</f>
        <v/>
      </c>
      <c r="M61" s="6">
        <f>D61*J61</f>
        <v/>
      </c>
      <c r="N61" s="6">
        <f>E61-K61</f>
        <v/>
      </c>
      <c r="O61" s="6">
        <f>E61-L61</f>
        <v/>
      </c>
      <c r="P61" s="6">
        <f>E61-M61</f>
        <v/>
      </c>
      <c r="Q61" s="8">
        <f>K61-M61</f>
        <v/>
      </c>
      <c r="R61" s="8">
        <f>L61-M61</f>
        <v/>
      </c>
      <c r="S61" s="7">
        <f>IF(E61&gt;0, G61/E61, 0)</f>
        <v/>
      </c>
      <c r="T61" s="7">
        <f>IF(E61&gt;0, N61/E61, 0)</f>
        <v/>
      </c>
      <c r="U61" s="7">
        <f>IF(E61&gt;0, O61/E61, 0)</f>
        <v/>
      </c>
      <c r="V61" s="7">
        <f>IF(E61&gt;0, P61/E61, 0)</f>
        <v/>
      </c>
    </row>
    <row r="62" ht="19" customHeight="1">
      <c r="A62" s="35" t="inlineStr">
        <is>
          <t>5148</t>
        </is>
      </c>
      <c r="B62" s="35" t="inlineStr">
        <is>
          <t>MDLZ</t>
        </is>
      </c>
      <c r="C62" s="5" t="inlineStr">
        <is>
          <t>Белвита Софт Пълнеж Шоко 50гр.</t>
        </is>
      </c>
      <c r="D62" s="24" t="n">
        <v>162</v>
      </c>
      <c r="E62" s="6" t="n">
        <v>149.04</v>
      </c>
      <c r="F62" s="6" t="n">
        <v>92.34000000000002</v>
      </c>
      <c r="G62" s="6">
        <f>E62-F62</f>
        <v/>
      </c>
      <c r="H62" s="36" t="n">
        <v>0.576</v>
      </c>
      <c r="I62" s="36">
        <f>IF(B62="MDLZ", H62*(1-0.068), H62*(1-0.040))</f>
        <v/>
      </c>
      <c r="J62" s="36" t="n">
        <v>0.49</v>
      </c>
      <c r="K62" s="6">
        <f>D62*H62</f>
        <v/>
      </c>
      <c r="L62" s="6">
        <f>D62*I62</f>
        <v/>
      </c>
      <c r="M62" s="6">
        <f>D62*J62</f>
        <v/>
      </c>
      <c r="N62" s="6">
        <f>E62-K62</f>
        <v/>
      </c>
      <c r="O62" s="6">
        <f>E62-L62</f>
        <v/>
      </c>
      <c r="P62" s="6">
        <f>E62-M62</f>
        <v/>
      </c>
      <c r="Q62" s="8">
        <f>K62-M62</f>
        <v/>
      </c>
      <c r="R62" s="8">
        <f>L62-M62</f>
        <v/>
      </c>
      <c r="S62" s="7">
        <f>IF(E62&gt;0, G62/E62, 0)</f>
        <v/>
      </c>
      <c r="T62" s="7">
        <f>IF(E62&gt;0, N62/E62, 0)</f>
        <v/>
      </c>
      <c r="U62" s="7">
        <f>IF(E62&gt;0, O62/E62, 0)</f>
        <v/>
      </c>
      <c r="V62" s="7">
        <f>IF(E62&gt;0, P62/E62, 0)</f>
        <v/>
      </c>
    </row>
    <row r="63" ht="19" customHeight="1">
      <c r="A63" s="35" t="inlineStr">
        <is>
          <t>2681</t>
        </is>
      </c>
      <c r="B63" s="35" t="inlineStr">
        <is>
          <t>MDLZ</t>
        </is>
      </c>
      <c r="C63" s="5" t="inlineStr">
        <is>
          <t>Б-ти Милка Сандвич 260гр.</t>
        </is>
      </c>
      <c r="D63" s="24" t="n">
        <v>38</v>
      </c>
      <c r="E63" s="6" t="n">
        <v>131.86</v>
      </c>
      <c r="F63" s="6" t="n">
        <v>89.28000000000002</v>
      </c>
      <c r="G63" s="6">
        <f>E63-F63</f>
        <v/>
      </c>
      <c r="H63" s="36" t="n">
        <v>2.484</v>
      </c>
      <c r="I63" s="36">
        <f>IF(B63="MDLZ", H63*(1-0.068), H63*(1-0.040))</f>
        <v/>
      </c>
      <c r="J63" s="36" t="n">
        <v>1.94</v>
      </c>
      <c r="K63" s="6">
        <f>D63*H63</f>
        <v/>
      </c>
      <c r="L63" s="6">
        <f>D63*I63</f>
        <v/>
      </c>
      <c r="M63" s="6">
        <f>D63*J63</f>
        <v/>
      </c>
      <c r="N63" s="6">
        <f>E63-K63</f>
        <v/>
      </c>
      <c r="O63" s="6">
        <f>E63-L63</f>
        <v/>
      </c>
      <c r="P63" s="6">
        <f>E63-M63</f>
        <v/>
      </c>
      <c r="Q63" s="8">
        <f>K63-M63</f>
        <v/>
      </c>
      <c r="R63" s="8">
        <f>L63-M63</f>
        <v/>
      </c>
      <c r="S63" s="7">
        <f>IF(E63&gt;0, G63/E63, 0)</f>
        <v/>
      </c>
      <c r="T63" s="7">
        <f>IF(E63&gt;0, N63/E63, 0)</f>
        <v/>
      </c>
      <c r="U63" s="7">
        <f>IF(E63&gt;0, O63/E63, 0)</f>
        <v/>
      </c>
      <c r="V63" s="7">
        <f>IF(E63&gt;0, P63/E63, 0)</f>
        <v/>
      </c>
    </row>
    <row r="64" ht="19" customHeight="1">
      <c r="A64" s="35" t="inlineStr">
        <is>
          <t>17444</t>
        </is>
      </c>
      <c r="B64" s="35" t="inlineStr">
        <is>
          <t>MDLZ</t>
        </is>
      </c>
      <c r="C64" s="5" t="inlineStr">
        <is>
          <t>Милка Мини старс бял шоколад 150г</t>
        </is>
      </c>
      <c r="D64" s="24" t="n">
        <v>53</v>
      </c>
      <c r="E64" s="6" t="n">
        <v>121.9</v>
      </c>
      <c r="F64" s="6" t="n">
        <v>89.04000000000001</v>
      </c>
      <c r="G64" s="6">
        <f>E64-F64</f>
        <v/>
      </c>
      <c r="H64" s="36" t="n">
        <v>1.68</v>
      </c>
      <c r="I64" s="36">
        <f>IF(B64="MDLZ", H64*(1-0.068), H64*(1-0.040))</f>
        <v/>
      </c>
      <c r="J64" s="36" t="n">
        <v>1.34</v>
      </c>
      <c r="K64" s="6">
        <f>D64*H64</f>
        <v/>
      </c>
      <c r="L64" s="6">
        <f>D64*I64</f>
        <v/>
      </c>
      <c r="M64" s="6">
        <f>D64*J64</f>
        <v/>
      </c>
      <c r="N64" s="6">
        <f>E64-K64</f>
        <v/>
      </c>
      <c r="O64" s="6">
        <f>E64-L64</f>
        <v/>
      </c>
      <c r="P64" s="6">
        <f>E64-M64</f>
        <v/>
      </c>
      <c r="Q64" s="8">
        <f>K64-M64</f>
        <v/>
      </c>
      <c r="R64" s="8">
        <f>L64-M64</f>
        <v/>
      </c>
      <c r="S64" s="7">
        <f>IF(E64&gt;0, G64/E64, 0)</f>
        <v/>
      </c>
      <c r="T64" s="7">
        <f>IF(E64&gt;0, N64/E64, 0)</f>
        <v/>
      </c>
      <c r="U64" s="7">
        <f>IF(E64&gt;0, O64/E64, 0)</f>
        <v/>
      </c>
      <c r="V64" s="7">
        <f>IF(E64&gt;0, P64/E64, 0)</f>
        <v/>
      </c>
    </row>
    <row r="65" ht="19" customHeight="1">
      <c r="A65" s="35" t="inlineStr">
        <is>
          <t>4836</t>
        </is>
      </c>
      <c r="B65" s="35" t="inlineStr">
        <is>
          <t>MDLZ</t>
        </is>
      </c>
      <c r="C65" s="5" t="inlineStr">
        <is>
          <t>Б-ти Милка Кукис Орео 156гр.</t>
        </is>
      </c>
      <c r="D65" s="24" t="n">
        <v>46</v>
      </c>
      <c r="E65" s="6" t="n">
        <v>159.62</v>
      </c>
      <c r="F65" s="6" t="n">
        <v>107.26</v>
      </c>
      <c r="G65" s="6">
        <f>E65-F65</f>
        <v/>
      </c>
      <c r="H65" s="36" t="n">
        <v>2.484</v>
      </c>
      <c r="I65" s="36">
        <f>IF(B65="MDLZ", H65*(1-0.068), H65*(1-0.040))</f>
        <v/>
      </c>
      <c r="J65" s="36" t="n">
        <v>1.94</v>
      </c>
      <c r="K65" s="6">
        <f>D65*H65</f>
        <v/>
      </c>
      <c r="L65" s="6">
        <f>D65*I65</f>
        <v/>
      </c>
      <c r="M65" s="6">
        <f>D65*J65</f>
        <v/>
      </c>
      <c r="N65" s="6">
        <f>E65-K65</f>
        <v/>
      </c>
      <c r="O65" s="6">
        <f>E65-L65</f>
        <v/>
      </c>
      <c r="P65" s="6">
        <f>E65-M65</f>
        <v/>
      </c>
      <c r="Q65" s="8">
        <f>K65-M65</f>
        <v/>
      </c>
      <c r="R65" s="8">
        <f>L65-M65</f>
        <v/>
      </c>
      <c r="S65" s="7">
        <f>IF(E65&gt;0, G65/E65, 0)</f>
        <v/>
      </c>
      <c r="T65" s="7">
        <f>IF(E65&gt;0, N65/E65, 0)</f>
        <v/>
      </c>
      <c r="U65" s="7">
        <f>IF(E65&gt;0, O65/E65, 0)</f>
        <v/>
      </c>
      <c r="V65" s="7">
        <f>IF(E65&gt;0, P65/E65, 0)</f>
        <v/>
      </c>
    </row>
    <row r="66" ht="19" customHeight="1">
      <c r="A66" s="35" t="inlineStr">
        <is>
          <t>13314</t>
        </is>
      </c>
      <c r="B66" s="35" t="inlineStr">
        <is>
          <t>MDLZ</t>
        </is>
      </c>
      <c r="C66" s="5" t="inlineStr">
        <is>
          <t>Б-ти Милка Пълнозърнести 126гр.</t>
        </is>
      </c>
      <c r="D66" s="24" t="n">
        <v>33</v>
      </c>
      <c r="E66" s="6" t="n">
        <v>75.89999999999999</v>
      </c>
      <c r="F66" s="6" t="n">
        <v>54.43999999999999</v>
      </c>
      <c r="G66" s="6">
        <f>E66-F66</f>
        <v/>
      </c>
      <c r="H66" s="36" t="n">
        <v>1.68</v>
      </c>
      <c r="I66" s="36">
        <f>IF(B66="MDLZ", H66*(1-0.068), H66*(1-0.040))</f>
        <v/>
      </c>
      <c r="J66" s="36" t="n">
        <v>1.34</v>
      </c>
      <c r="K66" s="6">
        <f>D66*H66</f>
        <v/>
      </c>
      <c r="L66" s="6">
        <f>D66*I66</f>
        <v/>
      </c>
      <c r="M66" s="6">
        <f>D66*J66</f>
        <v/>
      </c>
      <c r="N66" s="6">
        <f>E66-K66</f>
        <v/>
      </c>
      <c r="O66" s="6">
        <f>E66-L66</f>
        <v/>
      </c>
      <c r="P66" s="6">
        <f>E66-M66</f>
        <v/>
      </c>
      <c r="Q66" s="8">
        <f>K66-M66</f>
        <v/>
      </c>
      <c r="R66" s="8">
        <f>L66-M66</f>
        <v/>
      </c>
      <c r="S66" s="7">
        <f>IF(E66&gt;0, G66/E66, 0)</f>
        <v/>
      </c>
      <c r="T66" s="7">
        <f>IF(E66&gt;0, N66/E66, 0)</f>
        <v/>
      </c>
      <c r="U66" s="7">
        <f>IF(E66&gt;0, O66/E66, 0)</f>
        <v/>
      </c>
      <c r="V66" s="7">
        <f>IF(E66&gt;0, P66/E66, 0)</f>
        <v/>
      </c>
    </row>
    <row r="67" ht="19" customHeight="1">
      <c r="A67" s="35" t="inlineStr">
        <is>
          <t>12097</t>
        </is>
      </c>
      <c r="B67" s="35" t="inlineStr">
        <is>
          <t>MDLZ</t>
        </is>
      </c>
      <c r="C67" s="5" t="inlineStr">
        <is>
          <t>Милка Цял лешник 250гр.</t>
        </is>
      </c>
      <c r="D67" s="24" t="n">
        <v>42</v>
      </c>
      <c r="E67" s="6" t="n">
        <v>235.28</v>
      </c>
      <c r="F67" s="6" t="n">
        <v>174.48</v>
      </c>
      <c r="G67" s="6">
        <f>E67-F67</f>
        <v/>
      </c>
      <c r="H67" s="36" t="n">
        <v>5.892</v>
      </c>
      <c r="I67" s="36">
        <f>IF(B67="MDLZ", H67*(1-0.068), H67*(1-0.040))</f>
        <v/>
      </c>
      <c r="J67" s="36" t="n">
        <v>3.99</v>
      </c>
      <c r="K67" s="6">
        <f>D67*H67</f>
        <v/>
      </c>
      <c r="L67" s="6">
        <f>D67*I67</f>
        <v/>
      </c>
      <c r="M67" s="6">
        <f>D67*J67</f>
        <v/>
      </c>
      <c r="N67" s="6">
        <f>E67-K67</f>
        <v/>
      </c>
      <c r="O67" s="6">
        <f>E67-L67</f>
        <v/>
      </c>
      <c r="P67" s="6">
        <f>E67-M67</f>
        <v/>
      </c>
      <c r="Q67" s="8">
        <f>K67-M67</f>
        <v/>
      </c>
      <c r="R67" s="8">
        <f>L67-M67</f>
        <v/>
      </c>
      <c r="S67" s="7">
        <f>IF(E67&gt;0, G67/E67, 0)</f>
        <v/>
      </c>
      <c r="T67" s="7">
        <f>IF(E67&gt;0, N67/E67, 0)</f>
        <v/>
      </c>
      <c r="U67" s="7">
        <f>IF(E67&gt;0, O67/E67, 0)</f>
        <v/>
      </c>
      <c r="V67" s="7">
        <f>IF(E67&gt;0, P67/E67, 0)</f>
        <v/>
      </c>
    </row>
    <row r="68" ht="19" customHeight="1">
      <c r="A68" s="35" t="inlineStr">
        <is>
          <t>16600</t>
        </is>
      </c>
      <c r="B68" s="35" t="inlineStr">
        <is>
          <t>MDLZ</t>
        </is>
      </c>
      <c r="C68" s="5" t="inlineStr">
        <is>
          <t>Б-ти Орео 176гр.</t>
        </is>
      </c>
      <c r="D68" s="24" t="n">
        <v>57</v>
      </c>
      <c r="E68" s="6" t="n">
        <v>145.35</v>
      </c>
      <c r="F68" s="6" t="n">
        <v>105.84</v>
      </c>
      <c r="G68" s="6">
        <f>E68-F68</f>
        <v/>
      </c>
      <c r="H68" s="36" t="n">
        <v>1.872</v>
      </c>
      <c r="I68" s="36">
        <f>IF(B68="MDLZ", H68*(1-0.068), H68*(1-0.040))</f>
        <v/>
      </c>
      <c r="J68" s="36" t="n">
        <v>1.55</v>
      </c>
      <c r="K68" s="6">
        <f>D68*H68</f>
        <v/>
      </c>
      <c r="L68" s="6">
        <f>D68*I68</f>
        <v/>
      </c>
      <c r="M68" s="6">
        <f>D68*J68</f>
        <v/>
      </c>
      <c r="N68" s="6">
        <f>E68-K68</f>
        <v/>
      </c>
      <c r="O68" s="6">
        <f>E68-L68</f>
        <v/>
      </c>
      <c r="P68" s="6">
        <f>E68-M68</f>
        <v/>
      </c>
      <c r="Q68" s="8">
        <f>K68-M68</f>
        <v/>
      </c>
      <c r="R68" s="8">
        <f>L68-M68</f>
        <v/>
      </c>
      <c r="S68" s="7">
        <f>IF(E68&gt;0, G68/E68, 0)</f>
        <v/>
      </c>
      <c r="T68" s="7">
        <f>IF(E68&gt;0, N68/E68, 0)</f>
        <v/>
      </c>
      <c r="U68" s="7">
        <f>IF(E68&gt;0, O68/E68, 0)</f>
        <v/>
      </c>
      <c r="V68" s="7">
        <f>IF(E68&gt;0, P68/E68, 0)</f>
        <v/>
      </c>
    </row>
    <row r="69" ht="19" customHeight="1">
      <c r="A69" s="35" t="inlineStr">
        <is>
          <t>632529</t>
        </is>
      </c>
      <c r="B69" s="35" t="inlineStr">
        <is>
          <t>MDLZ</t>
        </is>
      </c>
      <c r="C69" s="5" t="inlineStr">
        <is>
          <t>Mилка бял 90 гр. НОВ</t>
        </is>
      </c>
      <c r="D69" s="24" t="n">
        <v>27</v>
      </c>
      <c r="E69" s="6" t="n">
        <v>53.65</v>
      </c>
      <c r="F69" s="6" t="n">
        <v>45.33</v>
      </c>
      <c r="G69" s="6">
        <f>E69-F69</f>
        <v/>
      </c>
      <c r="H69" s="36" t="n">
        <v>1.992</v>
      </c>
      <c r="I69" s="36">
        <f>IF(B69="MDLZ", H69*(1-0.068), H69*(1-0.040))</f>
        <v/>
      </c>
      <c r="J69" s="36" t="n">
        <v>1.09</v>
      </c>
      <c r="K69" s="6">
        <f>D69*H69</f>
        <v/>
      </c>
      <c r="L69" s="6">
        <f>D69*I69</f>
        <v/>
      </c>
      <c r="M69" s="6">
        <f>D69*J69</f>
        <v/>
      </c>
      <c r="N69" s="6">
        <f>E69-K69</f>
        <v/>
      </c>
      <c r="O69" s="6">
        <f>E69-L69</f>
        <v/>
      </c>
      <c r="P69" s="6">
        <f>E69-M69</f>
        <v/>
      </c>
      <c r="Q69" s="8">
        <f>K69-M69</f>
        <v/>
      </c>
      <c r="R69" s="8">
        <f>L69-M69</f>
        <v/>
      </c>
      <c r="S69" s="7">
        <f>IF(E69&gt;0, G69/E69, 0)</f>
        <v/>
      </c>
      <c r="T69" s="7">
        <f>IF(E69&gt;0, N69/E69, 0)</f>
        <v/>
      </c>
      <c r="U69" s="7">
        <f>IF(E69&gt;0, O69/E69, 0)</f>
        <v/>
      </c>
      <c r="V69" s="7">
        <f>IF(E69&gt;0, P69/E69, 0)</f>
        <v/>
      </c>
    </row>
    <row r="70" ht="19" customHeight="1">
      <c r="A70" s="35" t="inlineStr">
        <is>
          <t>17446</t>
        </is>
      </c>
      <c r="B70" s="35" t="inlineStr">
        <is>
          <t>MDLZ</t>
        </is>
      </c>
      <c r="C70" s="5" t="inlineStr">
        <is>
          <t>Милка Мини старс шоколад 37,5г</t>
        </is>
      </c>
      <c r="D70" s="24" t="n">
        <v>180</v>
      </c>
      <c r="E70" s="6" t="n">
        <v>136.8</v>
      </c>
      <c r="F70" s="6" t="n">
        <v>91.80000000000001</v>
      </c>
      <c r="G70" s="6">
        <f>E70-F70</f>
        <v/>
      </c>
      <c r="H70" s="36" t="n">
        <v>0.509</v>
      </c>
      <c r="I70" s="36">
        <f>IF(B70="MDLZ", H70*(1-0.068), H70*(1-0.040))</f>
        <v/>
      </c>
      <c r="J70" s="36" t="n">
        <v>0.42</v>
      </c>
      <c r="K70" s="6">
        <f>D70*H70</f>
        <v/>
      </c>
      <c r="L70" s="6">
        <f>D70*I70</f>
        <v/>
      </c>
      <c r="M70" s="6">
        <f>D70*J70</f>
        <v/>
      </c>
      <c r="N70" s="6">
        <f>E70-K70</f>
        <v/>
      </c>
      <c r="O70" s="6">
        <f>E70-L70</f>
        <v/>
      </c>
      <c r="P70" s="6">
        <f>E70-M70</f>
        <v/>
      </c>
      <c r="Q70" s="8">
        <f>K70-M70</f>
        <v/>
      </c>
      <c r="R70" s="8">
        <f>L70-M70</f>
        <v/>
      </c>
      <c r="S70" s="7">
        <f>IF(E70&gt;0, G70/E70, 0)</f>
        <v/>
      </c>
      <c r="T70" s="7">
        <f>IF(E70&gt;0, N70/E70, 0)</f>
        <v/>
      </c>
      <c r="U70" s="7">
        <f>IF(E70&gt;0, O70/E70, 0)</f>
        <v/>
      </c>
      <c r="V70" s="7">
        <f>IF(E70&gt;0, P70/E70, 0)</f>
        <v/>
      </c>
    </row>
    <row r="71" ht="19" customHeight="1">
      <c r="A71" s="35" t="inlineStr">
        <is>
          <t>633071</t>
        </is>
      </c>
      <c r="B71" s="35" t="inlineStr">
        <is>
          <t>MDLZ</t>
        </is>
      </c>
      <c r="C71" s="5" t="inlineStr">
        <is>
          <t>Милка Milkinis 100гр.</t>
        </is>
      </c>
      <c r="D71" s="24" t="n">
        <v>45</v>
      </c>
      <c r="E71" s="6" t="n">
        <v>89.67</v>
      </c>
      <c r="F71" s="6" t="n">
        <v>69.39</v>
      </c>
      <c r="G71" s="6">
        <f>E71-F71</f>
        <v/>
      </c>
      <c r="H71" s="36" t="n">
        <v>1.992</v>
      </c>
      <c r="I71" s="36">
        <f>IF(B71="MDLZ", H71*(1-0.068), H71*(1-0.040))</f>
        <v/>
      </c>
      <c r="J71" s="36" t="n">
        <v>1.09</v>
      </c>
      <c r="K71" s="6">
        <f>D71*H71</f>
        <v/>
      </c>
      <c r="L71" s="6">
        <f>D71*I71</f>
        <v/>
      </c>
      <c r="M71" s="6">
        <f>D71*J71</f>
        <v/>
      </c>
      <c r="N71" s="6">
        <f>E71-K71</f>
        <v/>
      </c>
      <c r="O71" s="6">
        <f>E71-L71</f>
        <v/>
      </c>
      <c r="P71" s="6">
        <f>E71-M71</f>
        <v/>
      </c>
      <c r="Q71" s="8">
        <f>K71-M71</f>
        <v/>
      </c>
      <c r="R71" s="8">
        <f>L71-M71</f>
        <v/>
      </c>
      <c r="S71" s="7">
        <f>IF(E71&gt;0, G71/E71, 0)</f>
        <v/>
      </c>
      <c r="T71" s="7">
        <f>IF(E71&gt;0, N71/E71, 0)</f>
        <v/>
      </c>
      <c r="U71" s="7">
        <f>IF(E71&gt;0, O71/E71, 0)</f>
        <v/>
      </c>
      <c r="V71" s="7">
        <f>IF(E71&gt;0, P71/E71, 0)</f>
        <v/>
      </c>
    </row>
    <row r="72" ht="19" customHeight="1">
      <c r="A72" s="35" t="inlineStr">
        <is>
          <t>632525</t>
        </is>
      </c>
      <c r="B72" s="35" t="inlineStr">
        <is>
          <t>MDLZ</t>
        </is>
      </c>
      <c r="C72" s="5" t="inlineStr">
        <is>
          <t>Милка лешници 90 гр. НОВ</t>
        </is>
      </c>
      <c r="D72" s="24" t="n">
        <v>62</v>
      </c>
      <c r="E72" s="6" t="n">
        <v>121.62</v>
      </c>
      <c r="F72" s="6" t="n">
        <v>103.82</v>
      </c>
      <c r="G72" s="6">
        <f>E72-F72</f>
        <v/>
      </c>
      <c r="H72" s="36" t="n">
        <v>2.1</v>
      </c>
      <c r="I72" s="36">
        <f>IF(B72="MDLZ", H72*(1-0.068), H72*(1-0.040))</f>
        <v/>
      </c>
      <c r="J72" s="36" t="n">
        <v>1.09</v>
      </c>
      <c r="K72" s="6">
        <f>D72*H72</f>
        <v/>
      </c>
      <c r="L72" s="6">
        <f>D72*I72</f>
        <v/>
      </c>
      <c r="M72" s="6">
        <f>D72*J72</f>
        <v/>
      </c>
      <c r="N72" s="6">
        <f>E72-K72</f>
        <v/>
      </c>
      <c r="O72" s="6">
        <f>E72-L72</f>
        <v/>
      </c>
      <c r="P72" s="6">
        <f>E72-M72</f>
        <v/>
      </c>
      <c r="Q72" s="8">
        <f>K72-M72</f>
        <v/>
      </c>
      <c r="R72" s="8">
        <f>L72-M72</f>
        <v/>
      </c>
      <c r="S72" s="7">
        <f>IF(E72&gt;0, G72/E72, 0)</f>
        <v/>
      </c>
      <c r="T72" s="7">
        <f>IF(E72&gt;0, N72/E72, 0)</f>
        <v/>
      </c>
      <c r="U72" s="7">
        <f>IF(E72&gt;0, O72/E72, 0)</f>
        <v/>
      </c>
      <c r="V72" s="7">
        <f>IF(E72&gt;0, P72/E72, 0)</f>
        <v/>
      </c>
    </row>
    <row r="73" ht="19" customHeight="1">
      <c r="A73" s="35" t="inlineStr">
        <is>
          <t>630297</t>
        </is>
      </c>
      <c r="B73" s="35" t="inlineStr">
        <is>
          <t>MDLZ</t>
        </is>
      </c>
      <c r="C73" s="5" t="inlineStr">
        <is>
          <t>Морени 36гр.</t>
        </is>
      </c>
      <c r="D73" s="24" t="n">
        <v>355</v>
      </c>
      <c r="E73" s="6" t="n">
        <v>208.77</v>
      </c>
      <c r="F73" s="6" t="n">
        <v>163</v>
      </c>
      <c r="G73" s="6">
        <f>E73-F73</f>
        <v/>
      </c>
      <c r="H73" s="36" t="n">
        <v>0.491</v>
      </c>
      <c r="I73" s="36">
        <f>IF(B73="MDLZ", H73*(1-0.068), H73*(1-0.040))</f>
        <v/>
      </c>
      <c r="J73" s="36" t="n">
        <v>0.35</v>
      </c>
      <c r="K73" s="6">
        <f>D73*H73</f>
        <v/>
      </c>
      <c r="L73" s="6">
        <f>D73*I73</f>
        <v/>
      </c>
      <c r="M73" s="6">
        <f>D73*J73</f>
        <v/>
      </c>
      <c r="N73" s="6">
        <f>E73-K73</f>
        <v/>
      </c>
      <c r="O73" s="6">
        <f>E73-L73</f>
        <v/>
      </c>
      <c r="P73" s="6">
        <f>E73-M73</f>
        <v/>
      </c>
      <c r="Q73" s="8">
        <f>K73-M73</f>
        <v/>
      </c>
      <c r="R73" s="8">
        <f>L73-M73</f>
        <v/>
      </c>
      <c r="S73" s="7">
        <f>IF(E73&gt;0, G73/E73, 0)</f>
        <v/>
      </c>
      <c r="T73" s="7">
        <f>IF(E73&gt;0, N73/E73, 0)</f>
        <v/>
      </c>
      <c r="U73" s="7">
        <f>IF(E73&gt;0, O73/E73, 0)</f>
        <v/>
      </c>
      <c r="V73" s="7">
        <f>IF(E73&gt;0, P73/E73, 0)</f>
        <v/>
      </c>
    </row>
    <row r="74" ht="19" customHeight="1">
      <c r="A74" s="35" t="inlineStr">
        <is>
          <t>10535</t>
        </is>
      </c>
      <c r="B74" s="35" t="inlineStr">
        <is>
          <t>MDLZ</t>
        </is>
      </c>
      <c r="C74" s="5" t="inlineStr">
        <is>
          <t>Б-ти Милка Шоко крава 40гр.</t>
        </is>
      </c>
      <c r="D74" s="24" t="n">
        <v>161</v>
      </c>
      <c r="E74" s="6" t="n">
        <v>114.31</v>
      </c>
      <c r="F74" s="6" t="n">
        <v>82.11</v>
      </c>
      <c r="G74" s="6">
        <f>E74-F74</f>
        <v/>
      </c>
      <c r="H74" s="36" t="n">
        <v>0.504</v>
      </c>
      <c r="I74" s="36">
        <f>IF(B74="MDLZ", H74*(1-0.068), H74*(1-0.040))</f>
        <v/>
      </c>
      <c r="J74" s="36" t="n">
        <v>0.42</v>
      </c>
      <c r="K74" s="6">
        <f>D74*H74</f>
        <v/>
      </c>
      <c r="L74" s="6">
        <f>D74*I74</f>
        <v/>
      </c>
      <c r="M74" s="6">
        <f>D74*J74</f>
        <v/>
      </c>
      <c r="N74" s="6">
        <f>E74-K74</f>
        <v/>
      </c>
      <c r="O74" s="6">
        <f>E74-L74</f>
        <v/>
      </c>
      <c r="P74" s="6">
        <f>E74-M74</f>
        <v/>
      </c>
      <c r="Q74" s="8">
        <f>K74-M74</f>
        <v/>
      </c>
      <c r="R74" s="8">
        <f>L74-M74</f>
        <v/>
      </c>
      <c r="S74" s="7">
        <f>IF(E74&gt;0, G74/E74, 0)</f>
        <v/>
      </c>
      <c r="T74" s="7">
        <f>IF(E74&gt;0, N74/E74, 0)</f>
        <v/>
      </c>
      <c r="U74" s="7">
        <f>IF(E74&gt;0, O74/E74, 0)</f>
        <v/>
      </c>
      <c r="V74" s="7">
        <f>IF(E74&gt;0, P74/E74, 0)</f>
        <v/>
      </c>
    </row>
    <row r="75" ht="19" customHeight="1">
      <c r="A75" s="35" t="inlineStr">
        <is>
          <t>2526</t>
        </is>
      </c>
      <c r="B75" s="35" t="inlineStr">
        <is>
          <t>MDLZ</t>
        </is>
      </c>
      <c r="C75" s="5" t="inlineStr">
        <is>
          <t>Милка Орео сандвич 92гр.</t>
        </is>
      </c>
      <c r="D75" s="24" t="n">
        <v>58</v>
      </c>
      <c r="E75" s="6" t="n">
        <v>119.78</v>
      </c>
      <c r="F75" s="6" t="n">
        <v>90.78</v>
      </c>
      <c r="G75" s="6">
        <f>E75-F75</f>
        <v/>
      </c>
      <c r="H75" s="36" t="n">
        <v>1.992</v>
      </c>
      <c r="I75" s="36">
        <f>IF(B75="MDLZ", H75*(1-0.068), H75*(1-0.040))</f>
        <v/>
      </c>
      <c r="J75" s="36" t="n">
        <v>1.09</v>
      </c>
      <c r="K75" s="6">
        <f>D75*H75</f>
        <v/>
      </c>
      <c r="L75" s="6">
        <f>D75*I75</f>
        <v/>
      </c>
      <c r="M75" s="6">
        <f>D75*J75</f>
        <v/>
      </c>
      <c r="N75" s="6">
        <f>E75-K75</f>
        <v/>
      </c>
      <c r="O75" s="6">
        <f>E75-L75</f>
        <v/>
      </c>
      <c r="P75" s="6">
        <f>E75-M75</f>
        <v/>
      </c>
      <c r="Q75" s="8">
        <f>K75-M75</f>
        <v/>
      </c>
      <c r="R75" s="8">
        <f>L75-M75</f>
        <v/>
      </c>
      <c r="S75" s="7">
        <f>IF(E75&gt;0, G75/E75, 0)</f>
        <v/>
      </c>
      <c r="T75" s="7">
        <f>IF(E75&gt;0, N75/E75, 0)</f>
        <v/>
      </c>
      <c r="U75" s="7">
        <f>IF(E75&gt;0, O75/E75, 0)</f>
        <v/>
      </c>
      <c r="V75" s="7">
        <f>IF(E75&gt;0, P75/E75, 0)</f>
        <v/>
      </c>
    </row>
    <row r="76" ht="19" customHeight="1">
      <c r="A76" s="35" t="inlineStr">
        <is>
          <t>3071</t>
        </is>
      </c>
      <c r="B76" s="35" t="inlineStr">
        <is>
          <t>MDLZ</t>
        </is>
      </c>
      <c r="C76" s="5" t="inlineStr">
        <is>
          <t>Милка Ягодов чийзкейк  300гр.</t>
        </is>
      </c>
      <c r="D76" s="24" t="n">
        <v>7</v>
      </c>
      <c r="E76" s="6" t="n">
        <v>52.91999999999999</v>
      </c>
      <c r="F76" s="6" t="n">
        <v>30.77999999999999</v>
      </c>
      <c r="G76" s="6">
        <f>E76-F76</f>
        <v/>
      </c>
      <c r="H76" s="36" t="n">
        <v>5.892</v>
      </c>
      <c r="I76" s="36">
        <f>IF(B76="MDLZ", H76*(1-0.068), H76*(1-0.040))</f>
        <v/>
      </c>
      <c r="J76" s="36" t="n">
        <v>3.99</v>
      </c>
      <c r="K76" s="6">
        <f>D76*H76</f>
        <v/>
      </c>
      <c r="L76" s="6">
        <f>D76*I76</f>
        <v/>
      </c>
      <c r="M76" s="6">
        <f>D76*J76</f>
        <v/>
      </c>
      <c r="N76" s="6">
        <f>E76-K76</f>
        <v/>
      </c>
      <c r="O76" s="6">
        <f>E76-L76</f>
        <v/>
      </c>
      <c r="P76" s="6">
        <f>E76-M76</f>
        <v/>
      </c>
      <c r="Q76" s="8">
        <f>K76-M76</f>
        <v/>
      </c>
      <c r="R76" s="8">
        <f>L76-M76</f>
        <v/>
      </c>
      <c r="S76" s="7">
        <f>IF(E76&gt;0, G76/E76, 0)</f>
        <v/>
      </c>
      <c r="T76" s="7">
        <f>IF(E76&gt;0, N76/E76, 0)</f>
        <v/>
      </c>
      <c r="U76" s="7">
        <f>IF(E76&gt;0, O76/E76, 0)</f>
        <v/>
      </c>
      <c r="V76" s="7">
        <f>IF(E76&gt;0, P76/E76, 0)</f>
        <v/>
      </c>
    </row>
    <row r="77" ht="19" customHeight="1">
      <c r="A77" s="35" t="inlineStr">
        <is>
          <t>6534</t>
        </is>
      </c>
      <c r="B77" s="35" t="inlineStr">
        <is>
          <t>MDLZ</t>
        </is>
      </c>
      <c r="C77" s="5" t="inlineStr">
        <is>
          <t>Милка Триоладе 280гр.</t>
        </is>
      </c>
      <c r="D77" s="24" t="n">
        <v>9</v>
      </c>
      <c r="E77" s="6" t="n">
        <v>68.03999999999999</v>
      </c>
      <c r="F77" s="6" t="n">
        <v>44.34999999999999</v>
      </c>
      <c r="G77" s="6">
        <f>E77-F77</f>
        <v/>
      </c>
      <c r="H77" s="36" t="n">
        <v>5.892</v>
      </c>
      <c r="I77" s="36">
        <f>IF(B77="MDLZ", H77*(1-0.068), H77*(1-0.040))</f>
        <v/>
      </c>
      <c r="J77" s="36" t="n">
        <v>3.99</v>
      </c>
      <c r="K77" s="6">
        <f>D77*H77</f>
        <v/>
      </c>
      <c r="L77" s="6">
        <f>D77*I77</f>
        <v/>
      </c>
      <c r="M77" s="6">
        <f>D77*J77</f>
        <v/>
      </c>
      <c r="N77" s="6">
        <f>E77-K77</f>
        <v/>
      </c>
      <c r="O77" s="6">
        <f>E77-L77</f>
        <v/>
      </c>
      <c r="P77" s="6">
        <f>E77-M77</f>
        <v/>
      </c>
      <c r="Q77" s="8">
        <f>K77-M77</f>
        <v/>
      </c>
      <c r="R77" s="8">
        <f>L77-M77</f>
        <v/>
      </c>
      <c r="S77" s="7">
        <f>IF(E77&gt;0, G77/E77, 0)</f>
        <v/>
      </c>
      <c r="T77" s="7">
        <f>IF(E77&gt;0, N77/E77, 0)</f>
        <v/>
      </c>
      <c r="U77" s="7">
        <f>IF(E77&gt;0, O77/E77, 0)</f>
        <v/>
      </c>
      <c r="V77" s="7">
        <f>IF(E77&gt;0, P77/E77, 0)</f>
        <v/>
      </c>
    </row>
    <row r="78" ht="19" customHeight="1">
      <c r="A78" s="35" t="inlineStr">
        <is>
          <t>9802</t>
        </is>
      </c>
      <c r="B78" s="35" t="inlineStr">
        <is>
          <t>MDLZ</t>
        </is>
      </c>
      <c r="C78" s="5" t="inlineStr">
        <is>
          <t>Милка Млечна 250гр.</t>
        </is>
      </c>
      <c r="D78" s="24" t="n">
        <v>13</v>
      </c>
      <c r="E78" s="6" t="n">
        <v>80.29000000000001</v>
      </c>
      <c r="F78" s="6" t="n">
        <v>59.71000000000001</v>
      </c>
      <c r="G78" s="6">
        <f>E78-F78</f>
        <v/>
      </c>
      <c r="H78" s="36" t="n">
        <v>5.892</v>
      </c>
      <c r="I78" s="36">
        <f>IF(B78="MDLZ", H78*(1-0.068), H78*(1-0.040))</f>
        <v/>
      </c>
      <c r="J78" s="36" t="n">
        <v>3.99</v>
      </c>
      <c r="K78" s="6">
        <f>D78*H78</f>
        <v/>
      </c>
      <c r="L78" s="6">
        <f>D78*I78</f>
        <v/>
      </c>
      <c r="M78" s="6">
        <f>D78*J78</f>
        <v/>
      </c>
      <c r="N78" s="6">
        <f>E78-K78</f>
        <v/>
      </c>
      <c r="O78" s="6">
        <f>E78-L78</f>
        <v/>
      </c>
      <c r="P78" s="6">
        <f>E78-M78</f>
        <v/>
      </c>
      <c r="Q78" s="8">
        <f>K78-M78</f>
        <v/>
      </c>
      <c r="R78" s="8">
        <f>L78-M78</f>
        <v/>
      </c>
      <c r="S78" s="7">
        <f>IF(E78&gt;0, G78/E78, 0)</f>
        <v/>
      </c>
      <c r="T78" s="7">
        <f>IF(E78&gt;0, N78/E78, 0)</f>
        <v/>
      </c>
      <c r="U78" s="7">
        <f>IF(E78&gt;0, O78/E78, 0)</f>
        <v/>
      </c>
      <c r="V78" s="7">
        <f>IF(E78&gt;0, P78/E78, 0)</f>
        <v/>
      </c>
    </row>
    <row r="79" ht="19" customHeight="1">
      <c r="A79" s="35" t="inlineStr">
        <is>
          <t>16325</t>
        </is>
      </c>
      <c r="B79" s="35" t="inlineStr">
        <is>
          <t>MDLZ</t>
        </is>
      </c>
      <c r="C79" s="5" t="inlineStr">
        <is>
          <t>Б-ти Милка Шококукис 135гр.</t>
        </is>
      </c>
      <c r="D79" s="24" t="n">
        <v>40</v>
      </c>
      <c r="E79" s="6" t="n">
        <v>92</v>
      </c>
      <c r="F79" s="6" t="n">
        <v>66.2</v>
      </c>
      <c r="G79" s="6">
        <f>E79-F79</f>
        <v/>
      </c>
      <c r="H79" s="36" t="n">
        <v>1.68</v>
      </c>
      <c r="I79" s="36">
        <f>IF(B79="MDLZ", H79*(1-0.068), H79*(1-0.040))</f>
        <v/>
      </c>
      <c r="J79" s="36" t="n">
        <v>1.34</v>
      </c>
      <c r="K79" s="6">
        <f>D79*H79</f>
        <v/>
      </c>
      <c r="L79" s="6">
        <f>D79*I79</f>
        <v/>
      </c>
      <c r="M79" s="6">
        <f>D79*J79</f>
        <v/>
      </c>
      <c r="N79" s="6">
        <f>E79-K79</f>
        <v/>
      </c>
      <c r="O79" s="6">
        <f>E79-L79</f>
        <v/>
      </c>
      <c r="P79" s="6">
        <f>E79-M79</f>
        <v/>
      </c>
      <c r="Q79" s="8">
        <f>K79-M79</f>
        <v/>
      </c>
      <c r="R79" s="8">
        <f>L79-M79</f>
        <v/>
      </c>
      <c r="S79" s="7">
        <f>IF(E79&gt;0, G79/E79, 0)</f>
        <v/>
      </c>
      <c r="T79" s="7">
        <f>IF(E79&gt;0, N79/E79, 0)</f>
        <v/>
      </c>
      <c r="U79" s="7">
        <f>IF(E79&gt;0, O79/E79, 0)</f>
        <v/>
      </c>
      <c r="V79" s="7">
        <f>IF(E79&gt;0, P79/E79, 0)</f>
        <v/>
      </c>
    </row>
    <row r="80" ht="19" customHeight="1">
      <c r="A80" s="35" t="inlineStr">
        <is>
          <t>9663</t>
        </is>
      </c>
      <c r="B80" s="35" t="inlineStr">
        <is>
          <t>MDLZ</t>
        </is>
      </c>
      <c r="C80" s="5" t="inlineStr">
        <is>
          <t>Своге  млечен 80гр.</t>
        </is>
      </c>
      <c r="D80" s="24" t="n">
        <v>61</v>
      </c>
      <c r="E80" s="6" t="n">
        <v>108.58</v>
      </c>
      <c r="F80" s="6" t="n">
        <v>78.69</v>
      </c>
      <c r="G80" s="6">
        <f>E80-F80</f>
        <v/>
      </c>
      <c r="H80" s="36" t="n">
        <v>1.284</v>
      </c>
      <c r="I80" s="36">
        <f>IF(B80="MDLZ", H80*(1-0.068), H80*(1-0.040))</f>
        <v/>
      </c>
      <c r="J80" s="36" t="n">
        <v>1.09</v>
      </c>
      <c r="K80" s="6">
        <f>D80*H80</f>
        <v/>
      </c>
      <c r="L80" s="6">
        <f>D80*I80</f>
        <v/>
      </c>
      <c r="M80" s="6">
        <f>D80*J80</f>
        <v/>
      </c>
      <c r="N80" s="6">
        <f>E80-K80</f>
        <v/>
      </c>
      <c r="O80" s="6">
        <f>E80-L80</f>
        <v/>
      </c>
      <c r="P80" s="6">
        <f>E80-M80</f>
        <v/>
      </c>
      <c r="Q80" s="8">
        <f>K80-M80</f>
        <v/>
      </c>
      <c r="R80" s="8">
        <f>L80-M80</f>
        <v/>
      </c>
      <c r="S80" s="7">
        <f>IF(E80&gt;0, G80/E80, 0)</f>
        <v/>
      </c>
      <c r="T80" s="7">
        <f>IF(E80&gt;0, N80/E80, 0)</f>
        <v/>
      </c>
      <c r="U80" s="7">
        <f>IF(E80&gt;0, O80/E80, 0)</f>
        <v/>
      </c>
      <c r="V80" s="7">
        <f>IF(E80&gt;0, P80/E80, 0)</f>
        <v/>
      </c>
    </row>
    <row r="81" ht="19" customHeight="1">
      <c r="A81" s="35" t="inlineStr">
        <is>
          <t>1533</t>
        </is>
      </c>
      <c r="B81" s="35" t="inlineStr">
        <is>
          <t>MDLZ</t>
        </is>
      </c>
      <c r="C81" s="5" t="inlineStr">
        <is>
          <t>Милка Малина 100гр.</t>
        </is>
      </c>
      <c r="D81" s="24" t="n">
        <v>38</v>
      </c>
      <c r="E81" s="6" t="n">
        <v>77.14</v>
      </c>
      <c r="F81" s="6" t="n">
        <v>61.62</v>
      </c>
      <c r="G81" s="6">
        <f>E81-F81</f>
        <v/>
      </c>
      <c r="H81" s="36" t="n">
        <v>1.992</v>
      </c>
      <c r="I81" s="36">
        <f>IF(B81="MDLZ", H81*(1-0.068), H81*(1-0.040))</f>
        <v/>
      </c>
      <c r="J81" s="36" t="n">
        <v>1.09</v>
      </c>
      <c r="K81" s="6">
        <f>D81*H81</f>
        <v/>
      </c>
      <c r="L81" s="6">
        <f>D81*I81</f>
        <v/>
      </c>
      <c r="M81" s="6">
        <f>D81*J81</f>
        <v/>
      </c>
      <c r="N81" s="6">
        <f>E81-K81</f>
        <v/>
      </c>
      <c r="O81" s="6">
        <f>E81-L81</f>
        <v/>
      </c>
      <c r="P81" s="6">
        <f>E81-M81</f>
        <v/>
      </c>
      <c r="Q81" s="8">
        <f>K81-M81</f>
        <v/>
      </c>
      <c r="R81" s="8">
        <f>L81-M81</f>
        <v/>
      </c>
      <c r="S81" s="7">
        <f>IF(E81&gt;0, G81/E81, 0)</f>
        <v/>
      </c>
      <c r="T81" s="7">
        <f>IF(E81&gt;0, N81/E81, 0)</f>
        <v/>
      </c>
      <c r="U81" s="7">
        <f>IF(E81&gt;0, O81/E81, 0)</f>
        <v/>
      </c>
      <c r="V81" s="7">
        <f>IF(E81&gt;0, P81/E81, 0)</f>
        <v/>
      </c>
    </row>
    <row r="82" ht="19" customHeight="1">
      <c r="A82" s="35" t="inlineStr">
        <is>
          <t>10027</t>
        </is>
      </c>
      <c r="B82" s="35" t="inlineStr">
        <is>
          <t>MDLZ</t>
        </is>
      </c>
      <c r="C82" s="5" t="inlineStr">
        <is>
          <t>Сушард Фигаро 138гр.</t>
        </is>
      </c>
      <c r="D82" s="24" t="n">
        <v>54</v>
      </c>
      <c r="E82" s="6" t="n">
        <v>208.06</v>
      </c>
      <c r="F82" s="6" t="n">
        <v>163.24</v>
      </c>
      <c r="G82" s="6">
        <f>E82-F82</f>
        <v/>
      </c>
      <c r="H82" s="36" t="n">
        <v>3.264</v>
      </c>
      <c r="I82" s="36">
        <f>IF(B82="MDLZ", H82*(1-0.068), H82*(1-0.040))</f>
        <v/>
      </c>
      <c r="J82" s="36" t="n">
        <v>2.79</v>
      </c>
      <c r="K82" s="6">
        <f>D82*H82</f>
        <v/>
      </c>
      <c r="L82" s="6">
        <f>D82*I82</f>
        <v/>
      </c>
      <c r="M82" s="6">
        <f>D82*J82</f>
        <v/>
      </c>
      <c r="N82" s="6">
        <f>E82-K82</f>
        <v/>
      </c>
      <c r="O82" s="6">
        <f>E82-L82</f>
        <v/>
      </c>
      <c r="P82" s="6">
        <f>E82-M82</f>
        <v/>
      </c>
      <c r="Q82" s="8">
        <f>K82-M82</f>
        <v/>
      </c>
      <c r="R82" s="8">
        <f>L82-M82</f>
        <v/>
      </c>
      <c r="S82" s="7">
        <f>IF(E82&gt;0, G82/E82, 0)</f>
        <v/>
      </c>
      <c r="T82" s="7">
        <f>IF(E82&gt;0, N82/E82, 0)</f>
        <v/>
      </c>
      <c r="U82" s="7">
        <f>IF(E82&gt;0, O82/E82, 0)</f>
        <v/>
      </c>
      <c r="V82" s="7">
        <f>IF(E82&gt;0, P82/E82, 0)</f>
        <v/>
      </c>
    </row>
    <row r="83" ht="19" customHeight="1">
      <c r="A83" s="35" t="inlineStr">
        <is>
          <t>11955</t>
        </is>
      </c>
      <c r="B83" s="35" t="inlineStr">
        <is>
          <t>MDLZ</t>
        </is>
      </c>
      <c r="C83" s="5" t="inlineStr">
        <is>
          <t>Б-ти Милка Шоко кейк 35гр.</t>
        </is>
      </c>
      <c r="D83" s="24" t="n">
        <v>208</v>
      </c>
      <c r="E83" s="6" t="n">
        <v>147.68</v>
      </c>
      <c r="F83" s="6" t="n">
        <v>106.08</v>
      </c>
      <c r="G83" s="6">
        <f>E83-F83</f>
        <v/>
      </c>
      <c r="H83" s="36" t="n">
        <v>0.509</v>
      </c>
      <c r="I83" s="36">
        <f>IF(B83="MDLZ", H83*(1-0.068), H83*(1-0.040))</f>
        <v/>
      </c>
      <c r="J83" s="36" t="n">
        <v>0.46</v>
      </c>
      <c r="K83" s="6">
        <f>D83*H83</f>
        <v/>
      </c>
      <c r="L83" s="6">
        <f>D83*I83</f>
        <v/>
      </c>
      <c r="M83" s="6">
        <f>D83*J83</f>
        <v/>
      </c>
      <c r="N83" s="6">
        <f>E83-K83</f>
        <v/>
      </c>
      <c r="O83" s="6">
        <f>E83-L83</f>
        <v/>
      </c>
      <c r="P83" s="6">
        <f>E83-M83</f>
        <v/>
      </c>
      <c r="Q83" s="8">
        <f>K83-M83</f>
        <v/>
      </c>
      <c r="R83" s="8">
        <f>L83-M83</f>
        <v/>
      </c>
      <c r="S83" s="7">
        <f>IF(E83&gt;0, G83/E83, 0)</f>
        <v/>
      </c>
      <c r="T83" s="7">
        <f>IF(E83&gt;0, N83/E83, 0)</f>
        <v/>
      </c>
      <c r="U83" s="7">
        <f>IF(E83&gt;0, O83/E83, 0)</f>
        <v/>
      </c>
      <c r="V83" s="7">
        <f>IF(E83&gt;0, P83/E83, 0)</f>
        <v/>
      </c>
    </row>
    <row r="84" ht="19" customHeight="1">
      <c r="A84" s="35" t="inlineStr">
        <is>
          <t>13315</t>
        </is>
      </c>
      <c r="B84" s="35" t="inlineStr">
        <is>
          <t>MDLZ</t>
        </is>
      </c>
      <c r="C84" s="5" t="inlineStr">
        <is>
          <t>Б-ти Милка Шоко крава 120гр.</t>
        </is>
      </c>
      <c r="D84" s="24" t="n">
        <v>41</v>
      </c>
      <c r="E84" s="6" t="n">
        <v>94.3</v>
      </c>
      <c r="F84" s="6" t="n">
        <v>67.88</v>
      </c>
      <c r="G84" s="6">
        <f>E84-F84</f>
        <v/>
      </c>
      <c r="H84" s="36" t="n">
        <v>1.68</v>
      </c>
      <c r="I84" s="36">
        <f>IF(B84="MDLZ", H84*(1-0.068), H84*(1-0.040))</f>
        <v/>
      </c>
      <c r="J84" s="36" t="n">
        <v>1.34</v>
      </c>
      <c r="K84" s="6">
        <f>D84*H84</f>
        <v/>
      </c>
      <c r="L84" s="6">
        <f>D84*I84</f>
        <v/>
      </c>
      <c r="M84" s="6">
        <f>D84*J84</f>
        <v/>
      </c>
      <c r="N84" s="6">
        <f>E84-K84</f>
        <v/>
      </c>
      <c r="O84" s="6">
        <f>E84-L84</f>
        <v/>
      </c>
      <c r="P84" s="6">
        <f>E84-M84</f>
        <v/>
      </c>
      <c r="Q84" s="8">
        <f>K84-M84</f>
        <v/>
      </c>
      <c r="R84" s="8">
        <f>L84-M84</f>
        <v/>
      </c>
      <c r="S84" s="7">
        <f>IF(E84&gt;0, G84/E84, 0)</f>
        <v/>
      </c>
      <c r="T84" s="7">
        <f>IF(E84&gt;0, N84/E84, 0)</f>
        <v/>
      </c>
      <c r="U84" s="7">
        <f>IF(E84&gt;0, O84/E84, 0)</f>
        <v/>
      </c>
      <c r="V84" s="7">
        <f>IF(E84&gt;0, P84/E84, 0)</f>
        <v/>
      </c>
    </row>
    <row r="85" ht="19" customHeight="1">
      <c r="A85" s="35" t="inlineStr">
        <is>
          <t>18038</t>
        </is>
      </c>
      <c r="B85" s="35" t="inlineStr">
        <is>
          <t>MDLZ</t>
        </is>
      </c>
      <c r="C85" s="5" t="inlineStr">
        <is>
          <t>Б-ти Милка Портокал 147гр.</t>
        </is>
      </c>
      <c r="D85" s="24" t="n">
        <v>42</v>
      </c>
      <c r="E85" s="6" t="n">
        <v>96.60000000000001</v>
      </c>
      <c r="F85" s="6" t="n">
        <v>70.56</v>
      </c>
      <c r="G85" s="6">
        <f>E85-F85</f>
        <v/>
      </c>
      <c r="H85" s="36" t="n">
        <v>1.68</v>
      </c>
      <c r="I85" s="36">
        <f>IF(B85="MDLZ", H85*(1-0.068), H85*(1-0.040))</f>
        <v/>
      </c>
      <c r="J85" s="36" t="n">
        <v>1.34</v>
      </c>
      <c r="K85" s="6">
        <f>D85*H85</f>
        <v/>
      </c>
      <c r="L85" s="6">
        <f>D85*I85</f>
        <v/>
      </c>
      <c r="M85" s="6">
        <f>D85*J85</f>
        <v/>
      </c>
      <c r="N85" s="6">
        <f>E85-K85</f>
        <v/>
      </c>
      <c r="O85" s="6">
        <f>E85-L85</f>
        <v/>
      </c>
      <c r="P85" s="6">
        <f>E85-M85</f>
        <v/>
      </c>
      <c r="Q85" s="8">
        <f>K85-M85</f>
        <v/>
      </c>
      <c r="R85" s="8">
        <f>L85-M85</f>
        <v/>
      </c>
      <c r="S85" s="7">
        <f>IF(E85&gt;0, G85/E85, 0)</f>
        <v/>
      </c>
      <c r="T85" s="7">
        <f>IF(E85&gt;0, N85/E85, 0)</f>
        <v/>
      </c>
      <c r="U85" s="7">
        <f>IF(E85&gt;0, O85/E85, 0)</f>
        <v/>
      </c>
      <c r="V85" s="7">
        <f>IF(E85&gt;0, P85/E85, 0)</f>
        <v/>
      </c>
    </row>
    <row r="86" ht="19" customHeight="1">
      <c r="A86" s="35" t="inlineStr">
        <is>
          <t>1278</t>
        </is>
      </c>
      <c r="B86" s="35" t="inlineStr">
        <is>
          <t>MDLZ</t>
        </is>
      </c>
      <c r="C86" s="5" t="inlineStr">
        <is>
          <t>Б-ти Орео двоен крем 157гр.</t>
        </is>
      </c>
      <c r="D86" s="24" t="n">
        <v>55</v>
      </c>
      <c r="E86" s="6" t="n">
        <v>126.5</v>
      </c>
      <c r="F86" s="6" t="n">
        <v>91.25</v>
      </c>
      <c r="G86" s="6">
        <f>E86-F86</f>
        <v/>
      </c>
      <c r="H86" s="36" t="n">
        <v>1.692</v>
      </c>
      <c r="I86" s="36">
        <f>IF(B86="MDLZ", H86*(1-0.068), H86*(1-0.040))</f>
        <v/>
      </c>
      <c r="J86" s="36" t="n">
        <v>1.39</v>
      </c>
      <c r="K86" s="6">
        <f>D86*H86</f>
        <v/>
      </c>
      <c r="L86" s="6">
        <f>D86*I86</f>
        <v/>
      </c>
      <c r="M86" s="6">
        <f>D86*J86</f>
        <v/>
      </c>
      <c r="N86" s="6">
        <f>E86-K86</f>
        <v/>
      </c>
      <c r="O86" s="6">
        <f>E86-L86</f>
        <v/>
      </c>
      <c r="P86" s="6">
        <f>E86-M86</f>
        <v/>
      </c>
      <c r="Q86" s="8">
        <f>K86-M86</f>
        <v/>
      </c>
      <c r="R86" s="8">
        <f>L86-M86</f>
        <v/>
      </c>
      <c r="S86" s="7">
        <f>IF(E86&gt;0, G86/E86, 0)</f>
        <v/>
      </c>
      <c r="T86" s="7">
        <f>IF(E86&gt;0, N86/E86, 0)</f>
        <v/>
      </c>
      <c r="U86" s="7">
        <f>IF(E86&gt;0, O86/E86, 0)</f>
        <v/>
      </c>
      <c r="V86" s="7">
        <f>IF(E86&gt;0, P86/E86, 0)</f>
        <v/>
      </c>
    </row>
    <row r="87" ht="19" customHeight="1">
      <c r="A87" s="35" t="inlineStr">
        <is>
          <t>12292</t>
        </is>
      </c>
      <c r="B87" s="35" t="inlineStr">
        <is>
          <t>MDLZ</t>
        </is>
      </c>
      <c r="C87" s="5" t="inlineStr">
        <is>
          <t>Милка Балончета бял 95гр.</t>
        </is>
      </c>
      <c r="D87" s="24" t="n">
        <v>39</v>
      </c>
      <c r="E87" s="6" t="n">
        <v>75.89</v>
      </c>
      <c r="F87" s="6" t="n">
        <v>60.68</v>
      </c>
      <c r="G87" s="6">
        <f>E87-F87</f>
        <v/>
      </c>
      <c r="H87" s="36" t="n">
        <v>1.992</v>
      </c>
      <c r="I87" s="36">
        <f>IF(B87="MDLZ", H87*(1-0.068), H87*(1-0.040))</f>
        <v/>
      </c>
      <c r="J87" s="36" t="n">
        <v>1.09</v>
      </c>
      <c r="K87" s="6">
        <f>D87*H87</f>
        <v/>
      </c>
      <c r="L87" s="6">
        <f>D87*I87</f>
        <v/>
      </c>
      <c r="M87" s="6">
        <f>D87*J87</f>
        <v/>
      </c>
      <c r="N87" s="6">
        <f>E87-K87</f>
        <v/>
      </c>
      <c r="O87" s="6">
        <f>E87-L87</f>
        <v/>
      </c>
      <c r="P87" s="6">
        <f>E87-M87</f>
        <v/>
      </c>
      <c r="Q87" s="8">
        <f>K87-M87</f>
        <v/>
      </c>
      <c r="R87" s="8">
        <f>L87-M87</f>
        <v/>
      </c>
      <c r="S87" s="7">
        <f>IF(E87&gt;0, G87/E87, 0)</f>
        <v/>
      </c>
      <c r="T87" s="7">
        <f>IF(E87&gt;0, N87/E87, 0)</f>
        <v/>
      </c>
      <c r="U87" s="7">
        <f>IF(E87&gt;0, O87/E87, 0)</f>
        <v/>
      </c>
      <c r="V87" s="7">
        <f>IF(E87&gt;0, P87/E87, 0)</f>
        <v/>
      </c>
    </row>
    <row r="88" ht="19" customHeight="1">
      <c r="A88" s="35" t="inlineStr">
        <is>
          <t>865</t>
        </is>
      </c>
      <c r="B88" s="35" t="inlineStr">
        <is>
          <t>MDLZ</t>
        </is>
      </c>
      <c r="C88" s="5" t="inlineStr">
        <is>
          <t>Милка кексче Крава 140гр.</t>
        </is>
      </c>
      <c r="D88" s="24" t="n">
        <v>25</v>
      </c>
      <c r="E88" s="6" t="n">
        <v>86.75</v>
      </c>
      <c r="F88" s="6" t="n">
        <v>57.48999999999999</v>
      </c>
      <c r="G88" s="6">
        <f>E88-F88</f>
        <v/>
      </c>
      <c r="H88" s="36" t="n">
        <v>2.484</v>
      </c>
      <c r="I88" s="36">
        <f>IF(B88="MDLZ", H88*(1-0.068), H88*(1-0.040))</f>
        <v/>
      </c>
      <c r="J88" s="36" t="n">
        <v>1.94</v>
      </c>
      <c r="K88" s="6">
        <f>D88*H88</f>
        <v/>
      </c>
      <c r="L88" s="6">
        <f>D88*I88</f>
        <v/>
      </c>
      <c r="M88" s="6">
        <f>D88*J88</f>
        <v/>
      </c>
      <c r="N88" s="6">
        <f>E88-K88</f>
        <v/>
      </c>
      <c r="O88" s="6">
        <f>E88-L88</f>
        <v/>
      </c>
      <c r="P88" s="6">
        <f>E88-M88</f>
        <v/>
      </c>
      <c r="Q88" s="8">
        <f>K88-M88</f>
        <v/>
      </c>
      <c r="R88" s="8">
        <f>L88-M88</f>
        <v/>
      </c>
      <c r="S88" s="7">
        <f>IF(E88&gt;0, G88/E88, 0)</f>
        <v/>
      </c>
      <c r="T88" s="7">
        <f>IF(E88&gt;0, N88/E88, 0)</f>
        <v/>
      </c>
      <c r="U88" s="7">
        <f>IF(E88&gt;0, O88/E88, 0)</f>
        <v/>
      </c>
      <c r="V88" s="7">
        <f>IF(E88&gt;0, P88/E88, 0)</f>
        <v/>
      </c>
    </row>
    <row r="89" ht="19" customHeight="1">
      <c r="A89" s="35" t="inlineStr">
        <is>
          <t>9243</t>
        </is>
      </c>
      <c r="B89" s="35" t="inlineStr">
        <is>
          <t>MDLZ</t>
        </is>
      </c>
      <c r="C89" s="5" t="inlineStr">
        <is>
          <t>Милка Крем бисквита 100гр.</t>
        </is>
      </c>
      <c r="D89" s="24" t="n">
        <v>46</v>
      </c>
      <c r="E89" s="6" t="n">
        <v>89.94</v>
      </c>
      <c r="F89" s="6" t="n">
        <v>69.11</v>
      </c>
      <c r="G89" s="6">
        <f>E89-F89</f>
        <v/>
      </c>
      <c r="H89" s="36" t="n">
        <v>1.992</v>
      </c>
      <c r="I89" s="36">
        <f>IF(B89="MDLZ", H89*(1-0.068), H89*(1-0.040))</f>
        <v/>
      </c>
      <c r="J89" s="36" t="n">
        <v>1.09</v>
      </c>
      <c r="K89" s="6">
        <f>D89*H89</f>
        <v/>
      </c>
      <c r="L89" s="6">
        <f>D89*I89</f>
        <v/>
      </c>
      <c r="M89" s="6">
        <f>D89*J89</f>
        <v/>
      </c>
      <c r="N89" s="6">
        <f>E89-K89</f>
        <v/>
      </c>
      <c r="O89" s="6">
        <f>E89-L89</f>
        <v/>
      </c>
      <c r="P89" s="6">
        <f>E89-M89</f>
        <v/>
      </c>
      <c r="Q89" s="8">
        <f>K89-M89</f>
        <v/>
      </c>
      <c r="R89" s="8">
        <f>L89-M89</f>
        <v/>
      </c>
      <c r="S89" s="7">
        <f>IF(E89&gt;0, G89/E89, 0)</f>
        <v/>
      </c>
      <c r="T89" s="7">
        <f>IF(E89&gt;0, N89/E89, 0)</f>
        <v/>
      </c>
      <c r="U89" s="7">
        <f>IF(E89&gt;0, O89/E89, 0)</f>
        <v/>
      </c>
      <c r="V89" s="7">
        <f>IF(E89&gt;0, P89/E89, 0)</f>
        <v/>
      </c>
    </row>
    <row r="90" ht="19" customHeight="1">
      <c r="A90" s="35" t="inlineStr">
        <is>
          <t>17383</t>
        </is>
      </c>
      <c r="B90" s="35" t="inlineStr">
        <is>
          <t>MDLZ</t>
        </is>
      </c>
      <c r="C90" s="5" t="inlineStr">
        <is>
          <t>Б-ти Милка Шоколад 128гр.</t>
        </is>
      </c>
      <c r="D90" s="24" t="n">
        <v>44</v>
      </c>
      <c r="E90" s="6" t="n">
        <v>101.2</v>
      </c>
      <c r="F90" s="6" t="n">
        <v>73.92</v>
      </c>
      <c r="G90" s="6">
        <f>E90-F90</f>
        <v/>
      </c>
      <c r="H90" s="36" t="n">
        <v>1.68</v>
      </c>
      <c r="I90" s="36">
        <f>IF(B90="MDLZ", H90*(1-0.068), H90*(1-0.040))</f>
        <v/>
      </c>
      <c r="J90" s="36" t="n">
        <v>1.34</v>
      </c>
      <c r="K90" s="6">
        <f>D90*H90</f>
        <v/>
      </c>
      <c r="L90" s="6">
        <f>D90*I90</f>
        <v/>
      </c>
      <c r="M90" s="6">
        <f>D90*J90</f>
        <v/>
      </c>
      <c r="N90" s="6">
        <f>E90-K90</f>
        <v/>
      </c>
      <c r="O90" s="6">
        <f>E90-L90</f>
        <v/>
      </c>
      <c r="P90" s="6">
        <f>E90-M90</f>
        <v/>
      </c>
      <c r="Q90" s="8">
        <f>K90-M90</f>
        <v/>
      </c>
      <c r="R90" s="8">
        <f>L90-M90</f>
        <v/>
      </c>
      <c r="S90" s="7">
        <f>IF(E90&gt;0, G90/E90, 0)</f>
        <v/>
      </c>
      <c r="T90" s="7">
        <f>IF(E90&gt;0, N90/E90, 0)</f>
        <v/>
      </c>
      <c r="U90" s="7">
        <f>IF(E90&gt;0, O90/E90, 0)</f>
        <v/>
      </c>
      <c r="V90" s="7">
        <f>IF(E90&gt;0, P90/E90, 0)</f>
        <v/>
      </c>
    </row>
    <row r="91" ht="19" customHeight="1">
      <c r="A91" s="35" t="inlineStr">
        <is>
          <t>3066</t>
        </is>
      </c>
      <c r="B91" s="35" t="inlineStr">
        <is>
          <t>MDLZ</t>
        </is>
      </c>
      <c r="C91" s="5" t="inlineStr">
        <is>
          <t>Милка Орео брауни 100гр.</t>
        </is>
      </c>
      <c r="D91" s="24" t="n">
        <v>39</v>
      </c>
      <c r="E91" s="6" t="n">
        <v>77.41</v>
      </c>
      <c r="F91" s="6" t="n">
        <v>59.06999999999999</v>
      </c>
      <c r="G91" s="6">
        <f>E91-F91</f>
        <v/>
      </c>
      <c r="H91" s="36" t="n">
        <v>1.992</v>
      </c>
      <c r="I91" s="36">
        <f>IF(B91="MDLZ", H91*(1-0.068), H91*(1-0.040))</f>
        <v/>
      </c>
      <c r="J91" s="36" t="n">
        <v>1.09</v>
      </c>
      <c r="K91" s="6">
        <f>D91*H91</f>
        <v/>
      </c>
      <c r="L91" s="6">
        <f>D91*I91</f>
        <v/>
      </c>
      <c r="M91" s="6">
        <f>D91*J91</f>
        <v/>
      </c>
      <c r="N91" s="6">
        <f>E91-K91</f>
        <v/>
      </c>
      <c r="O91" s="6">
        <f>E91-L91</f>
        <v/>
      </c>
      <c r="P91" s="6">
        <f>E91-M91</f>
        <v/>
      </c>
      <c r="Q91" s="8">
        <f>K91-M91</f>
        <v/>
      </c>
      <c r="R91" s="8">
        <f>L91-M91</f>
        <v/>
      </c>
      <c r="S91" s="7">
        <f>IF(E91&gt;0, G91/E91, 0)</f>
        <v/>
      </c>
      <c r="T91" s="7">
        <f>IF(E91&gt;0, N91/E91, 0)</f>
        <v/>
      </c>
      <c r="U91" s="7">
        <f>IF(E91&gt;0, O91/E91, 0)</f>
        <v/>
      </c>
      <c r="V91" s="7">
        <f>IF(E91&gt;0, P91/E91, 0)</f>
        <v/>
      </c>
    </row>
    <row r="92" ht="19" customHeight="1">
      <c r="A92" s="35" t="inlineStr">
        <is>
          <t>1534</t>
        </is>
      </c>
      <c r="B92" s="35" t="inlineStr">
        <is>
          <t>MDLZ</t>
        </is>
      </c>
      <c r="C92" s="5" t="inlineStr">
        <is>
          <t>Милка Карамел 100гр.</t>
        </is>
      </c>
      <c r="D92" s="24" t="n">
        <v>36</v>
      </c>
      <c r="E92" s="6" t="n">
        <v>70.52</v>
      </c>
      <c r="F92" s="6" t="n">
        <v>56.42999999999999</v>
      </c>
      <c r="G92" s="6">
        <f>E92-F92</f>
        <v/>
      </c>
      <c r="H92" s="36" t="n">
        <v>1.992</v>
      </c>
      <c r="I92" s="36">
        <f>IF(B92="MDLZ", H92*(1-0.068), H92*(1-0.040))</f>
        <v/>
      </c>
      <c r="J92" s="36" t="n">
        <v>1.09</v>
      </c>
      <c r="K92" s="6">
        <f>D92*H92</f>
        <v/>
      </c>
      <c r="L92" s="6">
        <f>D92*I92</f>
        <v/>
      </c>
      <c r="M92" s="6">
        <f>D92*J92</f>
        <v/>
      </c>
      <c r="N92" s="6">
        <f>E92-K92</f>
        <v/>
      </c>
      <c r="O92" s="6">
        <f>E92-L92</f>
        <v/>
      </c>
      <c r="P92" s="6">
        <f>E92-M92</f>
        <v/>
      </c>
      <c r="Q92" s="8">
        <f>K92-M92</f>
        <v/>
      </c>
      <c r="R92" s="8">
        <f>L92-M92</f>
        <v/>
      </c>
      <c r="S92" s="7">
        <f>IF(E92&gt;0, G92/E92, 0)</f>
        <v/>
      </c>
      <c r="T92" s="7">
        <f>IF(E92&gt;0, N92/E92, 0)</f>
        <v/>
      </c>
      <c r="U92" s="7">
        <f>IF(E92&gt;0, O92/E92, 0)</f>
        <v/>
      </c>
      <c r="V92" s="7">
        <f>IF(E92&gt;0, P92/E92, 0)</f>
        <v/>
      </c>
    </row>
    <row r="93" ht="19" customHeight="1">
      <c r="A93" s="35" t="inlineStr">
        <is>
          <t>7145</t>
        </is>
      </c>
      <c r="B93" s="35" t="inlineStr">
        <is>
          <t>MDLZ</t>
        </is>
      </c>
      <c r="C93" s="5" t="inlineStr">
        <is>
          <t>Сезони Ягода 140г</t>
        </is>
      </c>
      <c r="D93" s="24" t="n">
        <v>24</v>
      </c>
      <c r="E93" s="6" t="n">
        <v>79.68000000000001</v>
      </c>
      <c r="F93" s="6" t="n">
        <v>57.36000000000001</v>
      </c>
      <c r="G93" s="6">
        <f>E93-F93</f>
        <v/>
      </c>
      <c r="H93" s="36" t="n">
        <v>2.388</v>
      </c>
      <c r="I93" s="36">
        <f>IF(B93="MDLZ", H93*(1-0.068), H93*(1-0.040))</f>
        <v/>
      </c>
      <c r="J93" s="36" t="n">
        <v>1.99</v>
      </c>
      <c r="K93" s="6">
        <f>D93*H93</f>
        <v/>
      </c>
      <c r="L93" s="6">
        <f>D93*I93</f>
        <v/>
      </c>
      <c r="M93" s="6">
        <f>D93*J93</f>
        <v/>
      </c>
      <c r="N93" s="6">
        <f>E93-K93</f>
        <v/>
      </c>
      <c r="O93" s="6">
        <f>E93-L93</f>
        <v/>
      </c>
      <c r="P93" s="6">
        <f>E93-M93</f>
        <v/>
      </c>
      <c r="Q93" s="8">
        <f>K93-M93</f>
        <v/>
      </c>
      <c r="R93" s="8">
        <f>L93-M93</f>
        <v/>
      </c>
      <c r="S93" s="7">
        <f>IF(E93&gt;0, G93/E93, 0)</f>
        <v/>
      </c>
      <c r="T93" s="7">
        <f>IF(E93&gt;0, N93/E93, 0)</f>
        <v/>
      </c>
      <c r="U93" s="7">
        <f>IF(E93&gt;0, O93/E93, 0)</f>
        <v/>
      </c>
      <c r="V93" s="7">
        <f>IF(E93&gt;0, P93/E93, 0)</f>
        <v/>
      </c>
    </row>
    <row r="94" ht="19" customHeight="1">
      <c r="A94" s="35" t="inlineStr">
        <is>
          <t>7072</t>
        </is>
      </c>
      <c r="B94" s="35" t="inlineStr">
        <is>
          <t>MDLZ</t>
        </is>
      </c>
      <c r="C94" s="5" t="inlineStr">
        <is>
          <t>Милка Орео 100гр.</t>
        </is>
      </c>
      <c r="D94" s="24" t="n">
        <v>33</v>
      </c>
      <c r="E94" s="6" t="n">
        <v>66.67</v>
      </c>
      <c r="F94" s="6" t="n">
        <v>50.11</v>
      </c>
      <c r="G94" s="6">
        <f>E94-F94</f>
        <v/>
      </c>
      <c r="H94" s="36" t="n">
        <v>1.992</v>
      </c>
      <c r="I94" s="36">
        <f>IF(B94="MDLZ", H94*(1-0.068), H94*(1-0.040))</f>
        <v/>
      </c>
      <c r="J94" s="36" t="n">
        <v>1.09</v>
      </c>
      <c r="K94" s="6">
        <f>D94*H94</f>
        <v/>
      </c>
      <c r="L94" s="6">
        <f>D94*I94</f>
        <v/>
      </c>
      <c r="M94" s="6">
        <f>D94*J94</f>
        <v/>
      </c>
      <c r="N94" s="6">
        <f>E94-K94</f>
        <v/>
      </c>
      <c r="O94" s="6">
        <f>E94-L94</f>
        <v/>
      </c>
      <c r="P94" s="6">
        <f>E94-M94</f>
        <v/>
      </c>
      <c r="Q94" s="8">
        <f>K94-M94</f>
        <v/>
      </c>
      <c r="R94" s="8">
        <f>L94-M94</f>
        <v/>
      </c>
      <c r="S94" s="7">
        <f>IF(E94&gt;0, G94/E94, 0)</f>
        <v/>
      </c>
      <c r="T94" s="7">
        <f>IF(E94&gt;0, N94/E94, 0)</f>
        <v/>
      </c>
      <c r="U94" s="7">
        <f>IF(E94&gt;0, O94/E94, 0)</f>
        <v/>
      </c>
      <c r="V94" s="7">
        <f>IF(E94&gt;0, P94/E94, 0)</f>
        <v/>
      </c>
    </row>
    <row r="95" ht="19" customHeight="1">
      <c r="A95" s="35" t="inlineStr">
        <is>
          <t>630287</t>
        </is>
      </c>
      <c r="B95" s="35" t="inlineStr">
        <is>
          <t>MDLZ</t>
        </is>
      </c>
      <c r="C95" s="5" t="inlineStr">
        <is>
          <t>Милка лешници и стафиди 90 гр. НОВ</t>
        </is>
      </c>
      <c r="D95" s="24" t="n">
        <v>57</v>
      </c>
      <c r="E95" s="6" t="n">
        <v>104.03</v>
      </c>
      <c r="F95" s="6" t="n">
        <v>88.21000000000001</v>
      </c>
      <c r="G95" s="6">
        <f>E95-F95</f>
        <v/>
      </c>
      <c r="H95" s="36" t="n">
        <v>2.1</v>
      </c>
      <c r="I95" s="36">
        <f>IF(B95="MDLZ", H95*(1-0.068), H95*(1-0.040))</f>
        <v/>
      </c>
      <c r="J95" s="36" t="n">
        <v>1.09</v>
      </c>
      <c r="K95" s="6">
        <f>D95*H95</f>
        <v/>
      </c>
      <c r="L95" s="6">
        <f>D95*I95</f>
        <v/>
      </c>
      <c r="M95" s="6">
        <f>D95*J95</f>
        <v/>
      </c>
      <c r="N95" s="6">
        <f>E95-K95</f>
        <v/>
      </c>
      <c r="O95" s="6">
        <f>E95-L95</f>
        <v/>
      </c>
      <c r="P95" s="6">
        <f>E95-M95</f>
        <v/>
      </c>
      <c r="Q95" s="8">
        <f>K95-M95</f>
        <v/>
      </c>
      <c r="R95" s="8">
        <f>L95-M95</f>
        <v/>
      </c>
      <c r="S95" s="7">
        <f>IF(E95&gt;0, G95/E95, 0)</f>
        <v/>
      </c>
      <c r="T95" s="7">
        <f>IF(E95&gt;0, N95/E95, 0)</f>
        <v/>
      </c>
      <c r="U95" s="7">
        <f>IF(E95&gt;0, O95/E95, 0)</f>
        <v/>
      </c>
      <c r="V95" s="7">
        <f>IF(E95&gt;0, P95/E95, 0)</f>
        <v/>
      </c>
    </row>
    <row r="96" ht="19" customHeight="1">
      <c r="A96" s="35" t="inlineStr">
        <is>
          <t>632907</t>
        </is>
      </c>
      <c r="B96" s="35" t="inlineStr">
        <is>
          <t>MDLZ</t>
        </is>
      </c>
      <c r="C96" s="5" t="inlineStr">
        <is>
          <t>Милкинис Стик голям 87.5гр.</t>
        </is>
      </c>
      <c r="D96" s="24" t="n">
        <v>43</v>
      </c>
      <c r="E96" s="6" t="n">
        <v>83.81</v>
      </c>
      <c r="F96" s="6" t="n">
        <v>68.77</v>
      </c>
      <c r="G96" s="6">
        <f>E96-F96</f>
        <v/>
      </c>
      <c r="H96" s="36" t="n">
        <v>1.992</v>
      </c>
      <c r="I96" s="36">
        <f>IF(B96="MDLZ", H96*(1-0.068), H96*(1-0.040))</f>
        <v/>
      </c>
      <c r="J96" s="36" t="n">
        <v>1.09</v>
      </c>
      <c r="K96" s="6">
        <f>D96*H96</f>
        <v/>
      </c>
      <c r="L96" s="6">
        <f>D96*I96</f>
        <v/>
      </c>
      <c r="M96" s="6">
        <f>D96*J96</f>
        <v/>
      </c>
      <c r="N96" s="6">
        <f>E96-K96</f>
        <v/>
      </c>
      <c r="O96" s="6">
        <f>E96-L96</f>
        <v/>
      </c>
      <c r="P96" s="6">
        <f>E96-M96</f>
        <v/>
      </c>
      <c r="Q96" s="8">
        <f>K96-M96</f>
        <v/>
      </c>
      <c r="R96" s="8">
        <f>L96-M96</f>
        <v/>
      </c>
      <c r="S96" s="7">
        <f>IF(E96&gt;0, G96/E96, 0)</f>
        <v/>
      </c>
      <c r="T96" s="7">
        <f>IF(E96&gt;0, N96/E96, 0)</f>
        <v/>
      </c>
      <c r="U96" s="7">
        <f>IF(E96&gt;0, O96/E96, 0)</f>
        <v/>
      </c>
      <c r="V96" s="7">
        <f>IF(E96&gt;0, P96/E96, 0)</f>
        <v/>
      </c>
    </row>
    <row r="97" ht="19" customHeight="1">
      <c r="A97" s="35" t="inlineStr">
        <is>
          <t>9265</t>
        </is>
      </c>
      <c r="B97" s="35" t="inlineStr">
        <is>
          <t>MDLZ</t>
        </is>
      </c>
      <c r="C97" s="5" t="inlineStr">
        <is>
          <t>Милка Орео бял 100гр.</t>
        </is>
      </c>
      <c r="D97" s="24" t="n">
        <v>19</v>
      </c>
      <c r="E97" s="6" t="n">
        <v>37.05</v>
      </c>
      <c r="F97" s="6" t="n">
        <v>29.92</v>
      </c>
      <c r="G97" s="6">
        <f>E97-F97</f>
        <v/>
      </c>
      <c r="H97" s="36" t="n">
        <v>1.992</v>
      </c>
      <c r="I97" s="36">
        <f>IF(B97="MDLZ", H97*(1-0.068), H97*(1-0.040))</f>
        <v/>
      </c>
      <c r="J97" s="36" t="n">
        <v>1.09</v>
      </c>
      <c r="K97" s="6">
        <f>D97*H97</f>
        <v/>
      </c>
      <c r="L97" s="6">
        <f>D97*I97</f>
        <v/>
      </c>
      <c r="M97" s="6">
        <f>D97*J97</f>
        <v/>
      </c>
      <c r="N97" s="6">
        <f>E97-K97</f>
        <v/>
      </c>
      <c r="O97" s="6">
        <f>E97-L97</f>
        <v/>
      </c>
      <c r="P97" s="6">
        <f>E97-M97</f>
        <v/>
      </c>
      <c r="Q97" s="8">
        <f>K97-M97</f>
        <v/>
      </c>
      <c r="R97" s="8">
        <f>L97-M97</f>
        <v/>
      </c>
      <c r="S97" s="7">
        <f>IF(E97&gt;0, G97/E97, 0)</f>
        <v/>
      </c>
      <c r="T97" s="7">
        <f>IF(E97&gt;0, N97/E97, 0)</f>
        <v/>
      </c>
      <c r="U97" s="7">
        <f>IF(E97&gt;0, O97/E97, 0)</f>
        <v/>
      </c>
      <c r="V97" s="7">
        <f>IF(E97&gt;0, P97/E97, 0)</f>
        <v/>
      </c>
    </row>
    <row r="98" ht="19" customHeight="1">
      <c r="A98" s="35" t="inlineStr">
        <is>
          <t>630065</t>
        </is>
      </c>
      <c r="B98" s="35" t="inlineStr">
        <is>
          <t>MDLZ</t>
        </is>
      </c>
      <c r="C98" s="5" t="inlineStr">
        <is>
          <t>Тоблерон млечен 35гр.</t>
        </is>
      </c>
      <c r="D98" s="24" t="n">
        <v>79</v>
      </c>
      <c r="E98" s="6" t="n">
        <v>80.58</v>
      </c>
      <c r="F98" s="6" t="n">
        <v>58.45999999999999</v>
      </c>
      <c r="G98" s="6">
        <f>E98-F98</f>
        <v/>
      </c>
      <c r="H98" s="36" t="n">
        <v>0.744</v>
      </c>
      <c r="I98" s="36">
        <f>IF(B98="MDLZ", H98*(1-0.068), H98*(1-0.040))</f>
        <v/>
      </c>
      <c r="J98" s="36" t="n">
        <v>0.66</v>
      </c>
      <c r="K98" s="6">
        <f>D98*H98</f>
        <v/>
      </c>
      <c r="L98" s="6">
        <f>D98*I98</f>
        <v/>
      </c>
      <c r="M98" s="6">
        <f>D98*J98</f>
        <v/>
      </c>
      <c r="N98" s="6">
        <f>E98-K98</f>
        <v/>
      </c>
      <c r="O98" s="6">
        <f>E98-L98</f>
        <v/>
      </c>
      <c r="P98" s="6">
        <f>E98-M98</f>
        <v/>
      </c>
      <c r="Q98" s="8">
        <f>K98-M98</f>
        <v/>
      </c>
      <c r="R98" s="8">
        <f>L98-M98</f>
        <v/>
      </c>
      <c r="S98" s="7">
        <f>IF(E98&gt;0, G98/E98, 0)</f>
        <v/>
      </c>
      <c r="T98" s="7">
        <f>IF(E98&gt;0, N98/E98, 0)</f>
        <v/>
      </c>
      <c r="U98" s="7">
        <f>IF(E98&gt;0, O98/E98, 0)</f>
        <v/>
      </c>
      <c r="V98" s="7">
        <f>IF(E98&gt;0, P98/E98, 0)</f>
        <v/>
      </c>
    </row>
    <row r="99" ht="19" customHeight="1">
      <c r="A99" s="35" t="inlineStr">
        <is>
          <t>9606</t>
        </is>
      </c>
      <c r="B99" s="35" t="inlineStr">
        <is>
          <t>MDLZ</t>
        </is>
      </c>
      <c r="C99" s="5" t="inlineStr">
        <is>
          <t>Милка Шоко бисквита 300гр.</t>
        </is>
      </c>
      <c r="D99" s="24" t="n">
        <v>4</v>
      </c>
      <c r="E99" s="6" t="n">
        <v>30.24</v>
      </c>
      <c r="F99" s="6" t="n">
        <v>19.15</v>
      </c>
      <c r="G99" s="6">
        <f>E99-F99</f>
        <v/>
      </c>
      <c r="H99" s="36" t="n">
        <v>5.892</v>
      </c>
      <c r="I99" s="36">
        <f>IF(B99="MDLZ", H99*(1-0.068), H99*(1-0.040))</f>
        <v/>
      </c>
      <c r="J99" s="36" t="n">
        <v>3.99</v>
      </c>
      <c r="K99" s="6">
        <f>D99*H99</f>
        <v/>
      </c>
      <c r="L99" s="6">
        <f>D99*I99</f>
        <v/>
      </c>
      <c r="M99" s="6">
        <f>D99*J99</f>
        <v/>
      </c>
      <c r="N99" s="6">
        <f>E99-K99</f>
        <v/>
      </c>
      <c r="O99" s="6">
        <f>E99-L99</f>
        <v/>
      </c>
      <c r="P99" s="6">
        <f>E99-M99</f>
        <v/>
      </c>
      <c r="Q99" s="8">
        <f>K99-M99</f>
        <v/>
      </c>
      <c r="R99" s="8">
        <f>L99-M99</f>
        <v/>
      </c>
      <c r="S99" s="7">
        <f>IF(E99&gt;0, G99/E99, 0)</f>
        <v/>
      </c>
      <c r="T99" s="7">
        <f>IF(E99&gt;0, N99/E99, 0)</f>
        <v/>
      </c>
      <c r="U99" s="7">
        <f>IF(E99&gt;0, O99/E99, 0)</f>
        <v/>
      </c>
      <c r="V99" s="7">
        <f>IF(E99&gt;0, P99/E99, 0)</f>
        <v/>
      </c>
    </row>
    <row r="100" ht="19" customHeight="1">
      <c r="A100" s="35" t="inlineStr">
        <is>
          <t>13364</t>
        </is>
      </c>
      <c r="B100" s="35" t="inlineStr">
        <is>
          <t>MDLZ</t>
        </is>
      </c>
      <c r="C100" s="5" t="inlineStr">
        <is>
          <t>Милка Орео 300гр.</t>
        </is>
      </c>
      <c r="D100" s="24" t="n">
        <v>2</v>
      </c>
      <c r="E100" s="6" t="n">
        <v>15.12</v>
      </c>
      <c r="F100" s="6" t="n">
        <v>7.76</v>
      </c>
      <c r="G100" s="6">
        <f>E100-F100</f>
        <v/>
      </c>
      <c r="H100" s="36" t="n">
        <v>5.892</v>
      </c>
      <c r="I100" s="36">
        <f>IF(B100="MDLZ", H100*(1-0.068), H100*(1-0.040))</f>
        <v/>
      </c>
      <c r="J100" s="36" t="n">
        <v>3.99</v>
      </c>
      <c r="K100" s="6">
        <f>D100*H100</f>
        <v/>
      </c>
      <c r="L100" s="6">
        <f>D100*I100</f>
        <v/>
      </c>
      <c r="M100" s="6">
        <f>D100*J100</f>
        <v/>
      </c>
      <c r="N100" s="6">
        <f>E100-K100</f>
        <v/>
      </c>
      <c r="O100" s="6">
        <f>E100-L100</f>
        <v/>
      </c>
      <c r="P100" s="6">
        <f>E100-M100</f>
        <v/>
      </c>
      <c r="Q100" s="8">
        <f>K100-M100</f>
        <v/>
      </c>
      <c r="R100" s="8">
        <f>L100-M100</f>
        <v/>
      </c>
      <c r="S100" s="7">
        <f>IF(E100&gt;0, G100/E100, 0)</f>
        <v/>
      </c>
      <c r="T100" s="7">
        <f>IF(E100&gt;0, N100/E100, 0)</f>
        <v/>
      </c>
      <c r="U100" s="7">
        <f>IF(E100&gt;0, O100/E100, 0)</f>
        <v/>
      </c>
      <c r="V100" s="7">
        <f>IF(E100&gt;0, P100/E100, 0)</f>
        <v/>
      </c>
    </row>
    <row r="101" ht="19" customHeight="1">
      <c r="A101" s="35" t="inlineStr">
        <is>
          <t>630289</t>
        </is>
      </c>
      <c r="B101" s="35" t="inlineStr">
        <is>
          <t>MDLZ</t>
        </is>
      </c>
      <c r="C101" s="5" t="inlineStr">
        <is>
          <t>Сезони Ванилия 140г</t>
        </is>
      </c>
      <c r="D101" s="24" t="n">
        <v>11</v>
      </c>
      <c r="E101" s="6" t="n">
        <v>36.52</v>
      </c>
      <c r="F101" s="6" t="n">
        <v>26.29</v>
      </c>
      <c r="G101" s="6">
        <f>E101-F101</f>
        <v/>
      </c>
      <c r="H101" s="36" t="n">
        <v>2.388</v>
      </c>
      <c r="I101" s="36">
        <f>IF(B101="MDLZ", H101*(1-0.068), H101*(1-0.040))</f>
        <v/>
      </c>
      <c r="J101" s="36" t="n">
        <v>1.99</v>
      </c>
      <c r="K101" s="6">
        <f>D101*H101</f>
        <v/>
      </c>
      <c r="L101" s="6">
        <f>D101*I101</f>
        <v/>
      </c>
      <c r="M101" s="6">
        <f>D101*J101</f>
        <v/>
      </c>
      <c r="N101" s="6">
        <f>E101-K101</f>
        <v/>
      </c>
      <c r="O101" s="6">
        <f>E101-L101</f>
        <v/>
      </c>
      <c r="P101" s="6">
        <f>E101-M101</f>
        <v/>
      </c>
      <c r="Q101" s="8">
        <f>K101-M101</f>
        <v/>
      </c>
      <c r="R101" s="8">
        <f>L101-M101</f>
        <v/>
      </c>
      <c r="S101" s="7">
        <f>IF(E101&gt;0, G101/E101, 0)</f>
        <v/>
      </c>
      <c r="T101" s="7">
        <f>IF(E101&gt;0, N101/E101, 0)</f>
        <v/>
      </c>
      <c r="U101" s="7">
        <f>IF(E101&gt;0, O101/E101, 0)</f>
        <v/>
      </c>
      <c r="V101" s="7">
        <f>IF(E101&gt;0, P101/E101, 0)</f>
        <v/>
      </c>
    </row>
    <row r="102" ht="19" customHeight="1">
      <c r="A102" s="35" t="inlineStr">
        <is>
          <t>16890</t>
        </is>
      </c>
      <c r="B102" s="35" t="inlineStr">
        <is>
          <t>MDLZ</t>
        </is>
      </c>
      <c r="C102" s="5" t="inlineStr">
        <is>
          <t>Б-ти Милка Кукис с лешн. 135 гр</t>
        </is>
      </c>
      <c r="D102" s="24" t="n">
        <v>23</v>
      </c>
      <c r="E102" s="6" t="n">
        <v>52.9</v>
      </c>
      <c r="F102" s="6" t="n">
        <v>37.89</v>
      </c>
      <c r="G102" s="6">
        <f>E102-F102</f>
        <v/>
      </c>
      <c r="H102" s="36" t="n">
        <v>1.68</v>
      </c>
      <c r="I102" s="36">
        <f>IF(B102="MDLZ", H102*(1-0.068), H102*(1-0.040))</f>
        <v/>
      </c>
      <c r="J102" s="36" t="n">
        <v>1.34</v>
      </c>
      <c r="K102" s="6">
        <f>D102*H102</f>
        <v/>
      </c>
      <c r="L102" s="6">
        <f>D102*I102</f>
        <v/>
      </c>
      <c r="M102" s="6">
        <f>D102*J102</f>
        <v/>
      </c>
      <c r="N102" s="6">
        <f>E102-K102</f>
        <v/>
      </c>
      <c r="O102" s="6">
        <f>E102-L102</f>
        <v/>
      </c>
      <c r="P102" s="6">
        <f>E102-M102</f>
        <v/>
      </c>
      <c r="Q102" s="8">
        <f>K102-M102</f>
        <v/>
      </c>
      <c r="R102" s="8">
        <f>L102-M102</f>
        <v/>
      </c>
      <c r="S102" s="7">
        <f>IF(E102&gt;0, G102/E102, 0)</f>
        <v/>
      </c>
      <c r="T102" s="7">
        <f>IF(E102&gt;0, N102/E102, 0)</f>
        <v/>
      </c>
      <c r="U102" s="7">
        <f>IF(E102&gt;0, O102/E102, 0)</f>
        <v/>
      </c>
      <c r="V102" s="7">
        <f>IF(E102&gt;0, P102/E102, 0)</f>
        <v/>
      </c>
    </row>
    <row r="103" ht="19" customHeight="1">
      <c r="A103" s="35" t="inlineStr">
        <is>
          <t>10001</t>
        </is>
      </c>
      <c r="B103" s="35" t="inlineStr">
        <is>
          <t>MDLZ</t>
        </is>
      </c>
      <c r="C103" s="5" t="inlineStr">
        <is>
          <t>Милка Лешници и стафиди 270гр.</t>
        </is>
      </c>
      <c r="D103" s="24" t="n">
        <v>4</v>
      </c>
      <c r="E103" s="6" t="n">
        <v>30.24</v>
      </c>
      <c r="F103" s="6" t="n">
        <v>18.16</v>
      </c>
      <c r="G103" s="6">
        <f>E103-F103</f>
        <v/>
      </c>
      <c r="H103" s="36" t="n">
        <v>5.892</v>
      </c>
      <c r="I103" s="36">
        <f>IF(B103="MDLZ", H103*(1-0.068), H103*(1-0.040))</f>
        <v/>
      </c>
      <c r="J103" s="36" t="n">
        <v>3.99</v>
      </c>
      <c r="K103" s="6">
        <f>D103*H103</f>
        <v/>
      </c>
      <c r="L103" s="6">
        <f>D103*I103</f>
        <v/>
      </c>
      <c r="M103" s="6">
        <f>D103*J103</f>
        <v/>
      </c>
      <c r="N103" s="6">
        <f>E103-K103</f>
        <v/>
      </c>
      <c r="O103" s="6">
        <f>E103-L103</f>
        <v/>
      </c>
      <c r="P103" s="6">
        <f>E103-M103</f>
        <v/>
      </c>
      <c r="Q103" s="8">
        <f>K103-M103</f>
        <v/>
      </c>
      <c r="R103" s="8">
        <f>L103-M103</f>
        <v/>
      </c>
      <c r="S103" s="7">
        <f>IF(E103&gt;0, G103/E103, 0)</f>
        <v/>
      </c>
      <c r="T103" s="7">
        <f>IF(E103&gt;0, N103/E103, 0)</f>
        <v/>
      </c>
      <c r="U103" s="7">
        <f>IF(E103&gt;0, O103/E103, 0)</f>
        <v/>
      </c>
      <c r="V103" s="7">
        <f>IF(E103&gt;0, P103/E103, 0)</f>
        <v/>
      </c>
    </row>
    <row r="104" ht="19" customHeight="1">
      <c r="A104" s="35" t="inlineStr">
        <is>
          <t>13721</t>
        </is>
      </c>
      <c r="B104" s="35" t="inlineStr">
        <is>
          <t>MDLZ</t>
        </is>
      </c>
      <c r="C104" s="5" t="inlineStr">
        <is>
          <t>Милка кисело мляко 100г</t>
        </is>
      </c>
      <c r="D104" s="24" t="n">
        <v>13</v>
      </c>
      <c r="E104" s="6" t="n">
        <v>33.15</v>
      </c>
      <c r="F104" s="6" t="n">
        <v>21.95</v>
      </c>
      <c r="G104" s="6">
        <f>E104-F104</f>
        <v/>
      </c>
      <c r="H104" s="36" t="n">
        <v>1.992</v>
      </c>
      <c r="I104" s="36">
        <f>IF(B104="MDLZ", H104*(1-0.068), H104*(1-0.040))</f>
        <v/>
      </c>
      <c r="J104" s="36" t="n">
        <v>1.09</v>
      </c>
      <c r="K104" s="6">
        <f>D104*H104</f>
        <v/>
      </c>
      <c r="L104" s="6">
        <f>D104*I104</f>
        <v/>
      </c>
      <c r="M104" s="6">
        <f>D104*J104</f>
        <v/>
      </c>
      <c r="N104" s="6">
        <f>E104-K104</f>
        <v/>
      </c>
      <c r="O104" s="6">
        <f>E104-L104</f>
        <v/>
      </c>
      <c r="P104" s="6">
        <f>E104-M104</f>
        <v/>
      </c>
      <c r="Q104" s="8">
        <f>K104-M104</f>
        <v/>
      </c>
      <c r="R104" s="8">
        <f>L104-M104</f>
        <v/>
      </c>
      <c r="S104" s="7">
        <f>IF(E104&gt;0, G104/E104, 0)</f>
        <v/>
      </c>
      <c r="T104" s="7">
        <f>IF(E104&gt;0, N104/E104, 0)</f>
        <v/>
      </c>
      <c r="U104" s="7">
        <f>IF(E104&gt;0, O104/E104, 0)</f>
        <v/>
      </c>
      <c r="V104" s="7">
        <f>IF(E104&gt;0, P104/E104, 0)</f>
        <v/>
      </c>
    </row>
    <row r="105" ht="24" customHeight="1">
      <c r="A105" s="37" t="inlineStr">
        <is>
          <t>ОБЩО / TOTAL</t>
        </is>
      </c>
      <c r="B105" s="38" t="n"/>
      <c r="C105" s="38" t="n"/>
      <c r="D105" s="32">
        <f>SUM(D11:D104)</f>
        <v/>
      </c>
      <c r="E105" s="33">
        <f>SUM(E11:E104)</f>
        <v/>
      </c>
      <c r="F105" s="33">
        <f>SUM(F11:F104)</f>
        <v/>
      </c>
      <c r="G105" s="33">
        <f>SUM(G11:G104)</f>
        <v/>
      </c>
      <c r="H105" s="39" t="inlineStr"/>
      <c r="I105" s="39" t="inlineStr"/>
      <c r="J105" s="39" t="inlineStr"/>
      <c r="K105" s="33">
        <f>SUM(K11:K104)</f>
        <v/>
      </c>
      <c r="L105" s="33">
        <f>SUM(L11:L104)</f>
        <v/>
      </c>
      <c r="M105" s="33">
        <f>SUM(M11:M104)</f>
        <v/>
      </c>
      <c r="N105" s="33">
        <f>SUM(N11:N104)</f>
        <v/>
      </c>
      <c r="O105" s="33">
        <f>SUM(O11:O104)</f>
        <v/>
      </c>
      <c r="P105" s="33">
        <f>SUM(P11:P104)</f>
        <v/>
      </c>
      <c r="Q105" s="40">
        <f>SUM(Q11:Q104)</f>
        <v/>
      </c>
      <c r="R105" s="40">
        <f>SUM(R11:R104)</f>
        <v/>
      </c>
      <c r="S105" s="34">
        <f>G105/E105</f>
        <v/>
      </c>
      <c r="T105" s="34">
        <f>N105/E105</f>
        <v/>
      </c>
      <c r="U105" s="34">
        <f>O105/E105</f>
        <v/>
      </c>
      <c r="V105" s="34">
        <f>P105/E105</f>
        <v/>
      </c>
    </row>
  </sheetData>
  <mergeCells count="3">
    <mergeCell ref="A1:G1"/>
    <mergeCell ref="A105:C105"/>
    <mergeCell ref="A8:V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0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34" customWidth="1" min="3" max="3"/>
    <col width="24" customWidth="1" min="4" max="4"/>
    <col width="26" customWidth="1" min="5" max="5"/>
    <col width="25" customWidth="1" min="6" max="6"/>
    <col width="32" customWidth="1" min="7" max="7"/>
    <col width="22" customWidth="1" min="8" max="8"/>
    <col width="23" customWidth="1" min="9" max="9"/>
    <col width="24" customWidth="1" min="10" max="10"/>
    <col width="24" customWidth="1" min="11" max="11"/>
    <col width="24" customWidth="1" min="12" max="12"/>
    <col width="24" customWidth="1" min="13" max="13"/>
    <col width="22" customWidth="1" min="14" max="14"/>
    <col width="17" customWidth="1" min="15" max="15"/>
    <col width="26" customWidth="1" min="16" max="16"/>
    <col width="35" customWidth="1" min="17" max="17"/>
    <col width="35" customWidth="1" min="18" max="18"/>
  </cols>
  <sheetData>
    <row r="1">
      <c r="A1" s="2" t="inlineStr">
        <is>
          <t>СРАВНИТЕЛЕН АНАЛИЗ НА СЦЕНАРИИ — ОБЩО 2 МЕСЕЦА КУМУЛАТИВНО (РЕЗЮМЕ)</t>
        </is>
      </c>
    </row>
    <row r="2" ht="28" customHeight="1">
      <c r="A2" s="4" t="inlineStr">
        <is>
          <t>Показател / Сценарий</t>
        </is>
      </c>
      <c r="B2" s="4" t="inlineStr">
        <is>
          <t>Покупна стойност (€ с ДДС)</t>
        </is>
      </c>
      <c r="C2" s="4" t="inlineStr">
        <is>
          <t>Брутна печалба (€ с ДДС)</t>
        </is>
      </c>
      <c r="D2" s="4" t="inlineStr">
        <is>
          <t>Търговски марж (%)</t>
        </is>
      </c>
      <c r="E2" s="4" t="inlineStr">
        <is>
          <t>Разлика спрямо Яско (€)</t>
        </is>
      </c>
      <c r="F2" s="4" t="inlineStr">
        <is>
          <t>% разлика спрямо Яско</t>
        </is>
      </c>
      <c r="G2" s="4" t="inlineStr">
        <is>
          <t>Икономически ефект / Бележка</t>
        </is>
      </c>
    </row>
    <row r="3" ht="22" customHeight="1">
      <c r="A3" s="5" t="inlineStr">
        <is>
          <t>1. Рожен — Базова ценова листа</t>
        </is>
      </c>
      <c r="B3" s="6">
        <f>M105</f>
        <v/>
      </c>
      <c r="C3" s="6">
        <f>I105-B3</f>
        <v/>
      </c>
      <c r="D3" s="7">
        <f>C3/I105</f>
        <v/>
      </c>
      <c r="E3" s="8">
        <f>B3-B5</f>
        <v/>
      </c>
      <c r="F3" s="7">
        <f>IF(B3&gt;0,(B3-B5)/B3,0)</f>
        <v/>
      </c>
      <c r="G3" s="5">
        <f>"Яско е по-изгоден с " &amp; ROUND(F3*100, 1) &amp; "%"</f>
        <v/>
      </c>
    </row>
    <row r="4" ht="22" customHeight="1">
      <c r="A4" s="9" t="inlineStr">
        <is>
          <t>2. Рожен — Нето фактура (-6.8% / -4.0%)</t>
        </is>
      </c>
      <c r="B4" s="10">
        <f>N105</f>
        <v/>
      </c>
      <c r="C4" s="10">
        <f>I105-B4</f>
        <v/>
      </c>
      <c r="D4" s="11">
        <f>C4/I105</f>
        <v/>
      </c>
      <c r="E4" s="12">
        <f>B4-B5</f>
        <v/>
      </c>
      <c r="F4" s="11">
        <f>IF(B4&gt;0,(B4-B5)/B4,0)</f>
        <v/>
      </c>
      <c r="G4" s="9">
        <f>"Яско е по-изгоден с " &amp; ROUND(F4*100, 1) &amp; "%"</f>
        <v/>
      </c>
    </row>
    <row r="5" ht="22" customHeight="1">
      <c r="A5" s="13" t="inlineStr">
        <is>
          <t>3. Яско — Директни цени с ДДС</t>
        </is>
      </c>
      <c r="B5" s="14">
        <f>O105</f>
        <v/>
      </c>
      <c r="C5" s="14">
        <f>I105-B5</f>
        <v/>
      </c>
      <c r="D5" s="15">
        <f>C5/I105</f>
        <v/>
      </c>
      <c r="E5" s="16">
        <f>0.00</f>
        <v/>
      </c>
      <c r="F5" s="15" t="n">
        <v>0</v>
      </c>
      <c r="G5" s="13">
        <f>"0.00 € (База за сравнение)"</f>
        <v/>
      </c>
    </row>
    <row r="6" ht="22" customHeight="1">
      <c r="A6" s="17" t="inlineStr">
        <is>
          <t>Текущо отчетено в Мистрал ERP</t>
        </is>
      </c>
      <c r="B6" s="18">
        <f>'Декември 2025'!B6+'Януари 2026'!B6</f>
        <v/>
      </c>
      <c r="C6" s="18">
        <f>'Декември 2025'!C6+'Януари 2026'!C6</f>
        <v/>
      </c>
      <c r="D6" s="19">
        <f>C6/I105</f>
        <v/>
      </c>
      <c r="E6" s="20">
        <f>B6-B5</f>
        <v/>
      </c>
      <c r="F6" s="19">
        <f>IF(B6&gt;0,(B6-B5)/B6,0)</f>
        <v/>
      </c>
      <c r="G6" s="21">
        <f>"Яско спестява общо +" &amp; ROUND(E6, 2) &amp; " € спрямо реалното в ERP"</f>
        <v/>
      </c>
    </row>
    <row r="7"/>
    <row r="8">
      <c r="A8" s="2" t="inlineStr">
        <is>
          <t>КУМУЛАТИВНА СПРАВКА ПО АРТИКУЛИ (2 МЕСЕЦА: ДЕКЕМВРИ 2025 И ЯНУАРИ 2026)</t>
        </is>
      </c>
    </row>
    <row r="9"/>
    <row r="10" ht="28" customHeight="1">
      <c r="A10" s="22" t="inlineStr">
        <is>
          <t>Мат. №</t>
        </is>
      </c>
      <c r="B10" s="22" t="inlineStr">
        <is>
          <t>Бранд</t>
        </is>
      </c>
      <c r="C10" s="22" t="inlineStr">
        <is>
          <t>Артикул (Ценова листа)</t>
        </is>
      </c>
      <c r="D10" s="22" t="inlineStr">
        <is>
          <t>К-во Дек (бр)</t>
        </is>
      </c>
      <c r="E10" s="22" t="inlineStr">
        <is>
          <t>К-во Ян (бр)</t>
        </is>
      </c>
      <c r="F10" s="22" t="inlineStr">
        <is>
          <t>ОБЩО К-во (бр)</t>
        </is>
      </c>
      <c r="G10" s="22" t="inlineStr">
        <is>
          <t>Оборот Дек (€)</t>
        </is>
      </c>
      <c r="H10" s="22" t="inlineStr">
        <is>
          <t>Оборот Ян (€)</t>
        </is>
      </c>
      <c r="I10" s="22" t="inlineStr">
        <is>
          <t>ОБЩ Оборот с ДДС (€)</t>
        </is>
      </c>
      <c r="J10" s="22" t="inlineStr">
        <is>
          <t>Рожен Ед. Базова (€)</t>
        </is>
      </c>
      <c r="K10" s="22" t="inlineStr">
        <is>
          <t>Рожен Ед. Нето (€)</t>
        </is>
      </c>
      <c r="L10" s="22" t="inlineStr">
        <is>
          <t>Яско Ед. (€)</t>
        </is>
      </c>
      <c r="M10" s="22" t="inlineStr">
        <is>
          <t>Общо Рожен Базова (€)</t>
        </is>
      </c>
      <c r="N10" s="22" t="inlineStr">
        <is>
          <t>Общо Рожен Нето (€)</t>
        </is>
      </c>
      <c r="O10" s="22" t="inlineStr">
        <is>
          <t>Общо Яско (€)</t>
        </is>
      </c>
      <c r="P10" s="22" t="inlineStr">
        <is>
          <t>ЧИСТА ИКОНОМИЯ ЯСКО (€)</t>
        </is>
      </c>
      <c r="Q10" s="22" t="inlineStr">
        <is>
          <t>Марж Рожен Нето %</t>
        </is>
      </c>
      <c r="R10" s="22" t="inlineStr">
        <is>
          <t>Марж Яско %</t>
        </is>
      </c>
    </row>
    <row r="11" ht="19" customHeight="1">
      <c r="A11" s="41" t="inlineStr">
        <is>
          <t>630298</t>
        </is>
      </c>
      <c r="B11" s="41" t="inlineStr">
        <is>
          <t>MDLZ</t>
        </is>
      </c>
      <c r="C11" s="42" t="inlineStr">
        <is>
          <t>Морени 49гр.</t>
        </is>
      </c>
      <c r="D11" s="24">
        <f>'Декември 2025'!D11</f>
        <v/>
      </c>
      <c r="E11" s="24">
        <f>'Януари 2026'!D11</f>
        <v/>
      </c>
      <c r="F11" s="24">
        <f>D11+E11</f>
        <v/>
      </c>
      <c r="G11" s="6">
        <f>'Декември 2025'!E11</f>
        <v/>
      </c>
      <c r="H11" s="6">
        <f>'Януари 2026'!E11</f>
        <v/>
      </c>
      <c r="I11" s="6">
        <f>G11+H11</f>
        <v/>
      </c>
      <c r="J11" s="36">
        <f>'Декември 2025'!H11</f>
        <v/>
      </c>
      <c r="K11" s="36">
        <f>'Декември 2025'!I11</f>
        <v/>
      </c>
      <c r="L11" s="36">
        <f>'Декември 2025'!J11</f>
        <v/>
      </c>
      <c r="M11" s="6">
        <f>F11*J11</f>
        <v/>
      </c>
      <c r="N11" s="6">
        <f>F11*K11</f>
        <v/>
      </c>
      <c r="O11" s="6">
        <f>F11*L11</f>
        <v/>
      </c>
      <c r="P11" s="16">
        <f>N11-O11</f>
        <v/>
      </c>
      <c r="Q11" s="7">
        <f>IF(I11&gt;0, (I11-N11)/I11, 0)</f>
        <v/>
      </c>
      <c r="R11" s="7">
        <f>IF(I11&gt;0, (I11-O11)/I11, 0)</f>
        <v/>
      </c>
    </row>
    <row r="12" ht="19" customHeight="1">
      <c r="A12" s="41" t="inlineStr">
        <is>
          <t>12459</t>
        </is>
      </c>
      <c r="B12" s="41" t="inlineStr">
        <is>
          <t>CHIPITA</t>
        </is>
      </c>
      <c r="C12" s="42" t="inlineStr">
        <is>
          <t>7ДЕЙC КРОАСАН КАКАО 110ГХ18 AC</t>
        </is>
      </c>
      <c r="D12" s="24">
        <f>'Декември 2025'!D12</f>
        <v/>
      </c>
      <c r="E12" s="24">
        <f>'Януари 2026'!D12</f>
        <v/>
      </c>
      <c r="F12" s="24">
        <f>D12+E12</f>
        <v/>
      </c>
      <c r="G12" s="6">
        <f>'Декември 2025'!E12</f>
        <v/>
      </c>
      <c r="H12" s="6">
        <f>'Януари 2026'!E12</f>
        <v/>
      </c>
      <c r="I12" s="6">
        <f>G12+H12</f>
        <v/>
      </c>
      <c r="J12" s="36">
        <f>'Декември 2025'!H12</f>
        <v/>
      </c>
      <c r="K12" s="36">
        <f>'Декември 2025'!I12</f>
        <v/>
      </c>
      <c r="L12" s="36">
        <f>'Декември 2025'!J12</f>
        <v/>
      </c>
      <c r="M12" s="6">
        <f>F12*J12</f>
        <v/>
      </c>
      <c r="N12" s="6">
        <f>F12*K12</f>
        <v/>
      </c>
      <c r="O12" s="6">
        <f>F12*L12</f>
        <v/>
      </c>
      <c r="P12" s="16">
        <f>N12-O12</f>
        <v/>
      </c>
      <c r="Q12" s="7">
        <f>IF(I12&gt;0, (I12-N12)/I12, 0)</f>
        <v/>
      </c>
      <c r="R12" s="7">
        <f>IF(I12&gt;0, (I12-O12)/I12, 0)</f>
        <v/>
      </c>
    </row>
    <row r="13" ht="19" customHeight="1">
      <c r="A13" s="41" t="inlineStr">
        <is>
          <t>6701</t>
        </is>
      </c>
      <c r="B13" s="41" t="inlineStr">
        <is>
          <t>CHIPITA</t>
        </is>
      </c>
      <c r="C13" s="42" t="inlineStr">
        <is>
          <t>7ДЕЙС КРОАСАН КАКАО 92ГРХ20КШ</t>
        </is>
      </c>
      <c r="D13" s="24">
        <f>'Декември 2025'!D13</f>
        <v/>
      </c>
      <c r="E13" s="24">
        <f>'Януари 2026'!D13</f>
        <v/>
      </c>
      <c r="F13" s="24">
        <f>D13+E13</f>
        <v/>
      </c>
      <c r="G13" s="6">
        <f>'Декември 2025'!E13</f>
        <v/>
      </c>
      <c r="H13" s="6">
        <f>'Януари 2026'!E13</f>
        <v/>
      </c>
      <c r="I13" s="6">
        <f>G13+H13</f>
        <v/>
      </c>
      <c r="J13" s="36">
        <f>'Декември 2025'!H13</f>
        <v/>
      </c>
      <c r="K13" s="36">
        <f>'Декември 2025'!I13</f>
        <v/>
      </c>
      <c r="L13" s="36">
        <f>'Декември 2025'!J13</f>
        <v/>
      </c>
      <c r="M13" s="6">
        <f>F13*J13</f>
        <v/>
      </c>
      <c r="N13" s="6">
        <f>F13*K13</f>
        <v/>
      </c>
      <c r="O13" s="6">
        <f>F13*L13</f>
        <v/>
      </c>
      <c r="P13" s="16">
        <f>N13-O13</f>
        <v/>
      </c>
      <c r="Q13" s="7">
        <f>IF(I13&gt;0, (I13-N13)/I13, 0)</f>
        <v/>
      </c>
      <c r="R13" s="7">
        <f>IF(I13&gt;0, (I13-O13)/I13, 0)</f>
        <v/>
      </c>
    </row>
    <row r="14" ht="19" customHeight="1">
      <c r="A14" s="41" t="inlineStr">
        <is>
          <t>16891</t>
        </is>
      </c>
      <c r="B14" s="41" t="inlineStr">
        <is>
          <t>MDLZ</t>
        </is>
      </c>
      <c r="C14" s="42" t="inlineStr">
        <is>
          <t>Млечен 160 гр.</t>
        </is>
      </c>
      <c r="D14" s="24">
        <f>'Декември 2025'!D14</f>
        <v/>
      </c>
      <c r="E14" s="24">
        <f>'Януари 2026'!D14</f>
        <v/>
      </c>
      <c r="F14" s="24">
        <f>D14+E14</f>
        <v/>
      </c>
      <c r="G14" s="6">
        <f>'Декември 2025'!E14</f>
        <v/>
      </c>
      <c r="H14" s="6">
        <f>'Януари 2026'!E14</f>
        <v/>
      </c>
      <c r="I14" s="6">
        <f>G14+H14</f>
        <v/>
      </c>
      <c r="J14" s="36">
        <f>'Декември 2025'!H14</f>
        <v/>
      </c>
      <c r="K14" s="36">
        <f>'Декември 2025'!I14</f>
        <v/>
      </c>
      <c r="L14" s="36">
        <f>'Декември 2025'!J14</f>
        <v/>
      </c>
      <c r="M14" s="6">
        <f>F14*J14</f>
        <v/>
      </c>
      <c r="N14" s="6">
        <f>F14*K14</f>
        <v/>
      </c>
      <c r="O14" s="6">
        <f>F14*L14</f>
        <v/>
      </c>
      <c r="P14" s="16">
        <f>N14-O14</f>
        <v/>
      </c>
      <c r="Q14" s="7">
        <f>IF(I14&gt;0, (I14-N14)/I14, 0)</f>
        <v/>
      </c>
      <c r="R14" s="7">
        <f>IF(I14&gt;0, (I14-O14)/I14, 0)</f>
        <v/>
      </c>
    </row>
    <row r="15" ht="19" customHeight="1">
      <c r="A15" s="41" t="inlineStr">
        <is>
          <t>5315</t>
        </is>
      </c>
      <c r="B15" s="41" t="inlineStr">
        <is>
          <t>MDLZ</t>
        </is>
      </c>
      <c r="C15" s="42" t="inlineStr">
        <is>
          <t>Млечен 80 гр.</t>
        </is>
      </c>
      <c r="D15" s="24">
        <f>'Декември 2025'!D15</f>
        <v/>
      </c>
      <c r="E15" s="24">
        <f>'Януари 2026'!D15</f>
        <v/>
      </c>
      <c r="F15" s="24">
        <f>D15+E15</f>
        <v/>
      </c>
      <c r="G15" s="6">
        <f>'Декември 2025'!E15</f>
        <v/>
      </c>
      <c r="H15" s="6">
        <f>'Януари 2026'!E15</f>
        <v/>
      </c>
      <c r="I15" s="6">
        <f>G15+H15</f>
        <v/>
      </c>
      <c r="J15" s="36">
        <f>'Декември 2025'!H15</f>
        <v/>
      </c>
      <c r="K15" s="36">
        <f>'Декември 2025'!I15</f>
        <v/>
      </c>
      <c r="L15" s="36">
        <f>'Декември 2025'!J15</f>
        <v/>
      </c>
      <c r="M15" s="6">
        <f>F15*J15</f>
        <v/>
      </c>
      <c r="N15" s="6">
        <f>F15*K15</f>
        <v/>
      </c>
      <c r="O15" s="6">
        <f>F15*L15</f>
        <v/>
      </c>
      <c r="P15" s="16">
        <f>N15-O15</f>
        <v/>
      </c>
      <c r="Q15" s="7">
        <f>IF(I15&gt;0, (I15-N15)/I15, 0)</f>
        <v/>
      </c>
      <c r="R15" s="7">
        <f>IF(I15&gt;0, (I15-O15)/I15, 0)</f>
        <v/>
      </c>
    </row>
    <row r="16" ht="19" customHeight="1">
      <c r="A16" s="41" t="inlineStr">
        <is>
          <t>13808</t>
        </is>
      </c>
      <c r="B16" s="41" t="inlineStr">
        <is>
          <t>MDLZ</t>
        </is>
      </c>
      <c r="C16" s="42" t="inlineStr">
        <is>
          <t>Б-ти Милка Сандвич 150гр.</t>
        </is>
      </c>
      <c r="D16" s="24">
        <f>'Декември 2025'!D16</f>
        <v/>
      </c>
      <c r="E16" s="24">
        <f>'Януари 2026'!D16</f>
        <v/>
      </c>
      <c r="F16" s="24">
        <f>D16+E16</f>
        <v/>
      </c>
      <c r="G16" s="6">
        <f>'Декември 2025'!E16</f>
        <v/>
      </c>
      <c r="H16" s="6">
        <f>'Януари 2026'!E16</f>
        <v/>
      </c>
      <c r="I16" s="6">
        <f>G16+H16</f>
        <v/>
      </c>
      <c r="J16" s="36">
        <f>'Декември 2025'!H16</f>
        <v/>
      </c>
      <c r="K16" s="36">
        <f>'Декември 2025'!I16</f>
        <v/>
      </c>
      <c r="L16" s="36">
        <f>'Декември 2025'!J16</f>
        <v/>
      </c>
      <c r="M16" s="6">
        <f>F16*J16</f>
        <v/>
      </c>
      <c r="N16" s="6">
        <f>F16*K16</f>
        <v/>
      </c>
      <c r="O16" s="6">
        <f>F16*L16</f>
        <v/>
      </c>
      <c r="P16" s="16">
        <f>N16-O16</f>
        <v/>
      </c>
      <c r="Q16" s="7">
        <f>IF(I16&gt;0, (I16-N16)/I16, 0)</f>
        <v/>
      </c>
      <c r="R16" s="7">
        <f>IF(I16&gt;0, (I16-O16)/I16, 0)</f>
        <v/>
      </c>
    </row>
    <row r="17" ht="19" customHeight="1">
      <c r="A17" s="41" t="inlineStr">
        <is>
          <t>147</t>
        </is>
      </c>
      <c r="B17" s="41" t="inlineStr">
        <is>
          <t>MDLZ</t>
        </is>
      </c>
      <c r="C17" s="42" t="inlineStr">
        <is>
          <t>Милка шоко вафла 150гр.</t>
        </is>
      </c>
      <c r="D17" s="24">
        <f>'Декември 2025'!D17</f>
        <v/>
      </c>
      <c r="E17" s="24">
        <f>'Януари 2026'!D17</f>
        <v/>
      </c>
      <c r="F17" s="24">
        <f>D17+E17</f>
        <v/>
      </c>
      <c r="G17" s="6">
        <f>'Декември 2025'!E17</f>
        <v/>
      </c>
      <c r="H17" s="6">
        <f>'Януари 2026'!E17</f>
        <v/>
      </c>
      <c r="I17" s="6">
        <f>G17+H17</f>
        <v/>
      </c>
      <c r="J17" s="36">
        <f>'Декември 2025'!H17</f>
        <v/>
      </c>
      <c r="K17" s="36">
        <f>'Декември 2025'!I17</f>
        <v/>
      </c>
      <c r="L17" s="36">
        <f>'Декември 2025'!J17</f>
        <v/>
      </c>
      <c r="M17" s="6">
        <f>F17*J17</f>
        <v/>
      </c>
      <c r="N17" s="6">
        <f>F17*K17</f>
        <v/>
      </c>
      <c r="O17" s="6">
        <f>F17*L17</f>
        <v/>
      </c>
      <c r="P17" s="16">
        <f>N17-O17</f>
        <v/>
      </c>
      <c r="Q17" s="7">
        <f>IF(I17&gt;0, (I17-N17)/I17, 0)</f>
        <v/>
      </c>
      <c r="R17" s="7">
        <f>IF(I17&gt;0, (I17-O17)/I17, 0)</f>
        <v/>
      </c>
    </row>
    <row r="18" ht="19" customHeight="1">
      <c r="A18" s="41" t="inlineStr">
        <is>
          <t>6703</t>
        </is>
      </c>
      <c r="B18" s="41" t="inlineStr">
        <is>
          <t>CHIPITA</t>
        </is>
      </c>
      <c r="C18" s="42" t="inlineStr">
        <is>
          <t>7ДЕЙС КРОАСАН КРЕМ БРЮЛЕ 92ГРХ20КШ</t>
        </is>
      </c>
      <c r="D18" s="24">
        <f>'Декември 2025'!D18</f>
        <v/>
      </c>
      <c r="E18" s="24">
        <f>'Януари 2026'!D18</f>
        <v/>
      </c>
      <c r="F18" s="24">
        <f>D18+E18</f>
        <v/>
      </c>
      <c r="G18" s="6">
        <f>'Декември 2025'!E18</f>
        <v/>
      </c>
      <c r="H18" s="6">
        <f>'Януари 2026'!E18</f>
        <v/>
      </c>
      <c r="I18" s="6">
        <f>G18+H18</f>
        <v/>
      </c>
      <c r="J18" s="36">
        <f>'Декември 2025'!H18</f>
        <v/>
      </c>
      <c r="K18" s="36">
        <f>'Декември 2025'!I18</f>
        <v/>
      </c>
      <c r="L18" s="36">
        <f>'Декември 2025'!J18</f>
        <v/>
      </c>
      <c r="M18" s="6">
        <f>F18*J18</f>
        <v/>
      </c>
      <c r="N18" s="6">
        <f>F18*K18</f>
        <v/>
      </c>
      <c r="O18" s="6">
        <f>F18*L18</f>
        <v/>
      </c>
      <c r="P18" s="16">
        <f>N18-O18</f>
        <v/>
      </c>
      <c r="Q18" s="7">
        <f>IF(I18&gt;0, (I18-N18)/I18, 0)</f>
        <v/>
      </c>
      <c r="R18" s="7">
        <f>IF(I18&gt;0, (I18-O18)/I18, 0)</f>
        <v/>
      </c>
    </row>
    <row r="19" ht="19" customHeight="1">
      <c r="A19" s="41" t="inlineStr">
        <is>
          <t>15520</t>
        </is>
      </c>
      <c r="B19" s="41" t="inlineStr">
        <is>
          <t>CHIPITA</t>
        </is>
      </c>
      <c r="C19" s="42" t="inlineStr">
        <is>
          <t>КРОАСАН МИЛКА ВАНИЛИЯ 50ГРХ14КШ</t>
        </is>
      </c>
      <c r="D19" s="24">
        <f>'Декември 2025'!D19</f>
        <v/>
      </c>
      <c r="E19" s="24">
        <f>'Януари 2026'!D19</f>
        <v/>
      </c>
      <c r="F19" s="24">
        <f>D19+E19</f>
        <v/>
      </c>
      <c r="G19" s="6">
        <f>'Декември 2025'!E19</f>
        <v/>
      </c>
      <c r="H19" s="6">
        <f>'Януари 2026'!E19</f>
        <v/>
      </c>
      <c r="I19" s="6">
        <f>G19+H19</f>
        <v/>
      </c>
      <c r="J19" s="36">
        <f>'Декември 2025'!H19</f>
        <v/>
      </c>
      <c r="K19" s="36">
        <f>'Декември 2025'!I19</f>
        <v/>
      </c>
      <c r="L19" s="36">
        <f>'Декември 2025'!J19</f>
        <v/>
      </c>
      <c r="M19" s="6">
        <f>F19*J19</f>
        <v/>
      </c>
      <c r="N19" s="6">
        <f>F19*K19</f>
        <v/>
      </c>
      <c r="O19" s="6">
        <f>F19*L19</f>
        <v/>
      </c>
      <c r="P19" s="16">
        <f>N19-O19</f>
        <v/>
      </c>
      <c r="Q19" s="7">
        <f>IF(I19&gt;0, (I19-N19)/I19, 0)</f>
        <v/>
      </c>
      <c r="R19" s="7">
        <f>IF(I19&gt;0, (I19-O19)/I19, 0)</f>
        <v/>
      </c>
    </row>
    <row r="20" ht="19" customHeight="1">
      <c r="A20" s="41" t="inlineStr">
        <is>
          <t>5392</t>
        </is>
      </c>
      <c r="B20" s="41" t="inlineStr">
        <is>
          <t>MDLZ</t>
        </is>
      </c>
      <c r="C20" s="42" t="inlineStr">
        <is>
          <t>Милка Шоко Вафла 30гр.</t>
        </is>
      </c>
      <c r="D20" s="24">
        <f>'Декември 2025'!D20</f>
        <v/>
      </c>
      <c r="E20" s="24">
        <f>'Януари 2026'!D20</f>
        <v/>
      </c>
      <c r="F20" s="24">
        <f>D20+E20</f>
        <v/>
      </c>
      <c r="G20" s="6">
        <f>'Декември 2025'!E20</f>
        <v/>
      </c>
      <c r="H20" s="6">
        <f>'Януари 2026'!E20</f>
        <v/>
      </c>
      <c r="I20" s="6">
        <f>G20+H20</f>
        <v/>
      </c>
      <c r="J20" s="36">
        <f>'Декември 2025'!H20</f>
        <v/>
      </c>
      <c r="K20" s="36">
        <f>'Декември 2025'!I20</f>
        <v/>
      </c>
      <c r="L20" s="36">
        <f>'Декември 2025'!J20</f>
        <v/>
      </c>
      <c r="M20" s="6">
        <f>F20*J20</f>
        <v/>
      </c>
      <c r="N20" s="6">
        <f>F20*K20</f>
        <v/>
      </c>
      <c r="O20" s="6">
        <f>F20*L20</f>
        <v/>
      </c>
      <c r="P20" s="16">
        <f>N20-O20</f>
        <v/>
      </c>
      <c r="Q20" s="7">
        <f>IF(I20&gt;0, (I20-N20)/I20, 0)</f>
        <v/>
      </c>
      <c r="R20" s="7">
        <f>IF(I20&gt;0, (I20-O20)/I20, 0)</f>
        <v/>
      </c>
    </row>
    <row r="21" ht="19" customHeight="1">
      <c r="A21" s="41" t="inlineStr">
        <is>
          <t>630170</t>
        </is>
      </c>
      <c r="B21" s="41" t="inlineStr">
        <is>
          <t>MDLZ</t>
        </is>
      </c>
      <c r="C21" s="42" t="inlineStr">
        <is>
          <t>Милка млечен 90 гр. НОВ</t>
        </is>
      </c>
      <c r="D21" s="24">
        <f>'Декември 2025'!D21</f>
        <v/>
      </c>
      <c r="E21" s="24">
        <f>'Януари 2026'!D21</f>
        <v/>
      </c>
      <c r="F21" s="24">
        <f>D21+E21</f>
        <v/>
      </c>
      <c r="G21" s="6">
        <f>'Декември 2025'!E21</f>
        <v/>
      </c>
      <c r="H21" s="6">
        <f>'Януари 2026'!E21</f>
        <v/>
      </c>
      <c r="I21" s="6">
        <f>G21+H21</f>
        <v/>
      </c>
      <c r="J21" s="36">
        <f>'Декември 2025'!H21</f>
        <v/>
      </c>
      <c r="K21" s="36">
        <f>'Декември 2025'!I21</f>
        <v/>
      </c>
      <c r="L21" s="36">
        <f>'Декември 2025'!J21</f>
        <v/>
      </c>
      <c r="M21" s="6">
        <f>F21*J21</f>
        <v/>
      </c>
      <c r="N21" s="6">
        <f>F21*K21</f>
        <v/>
      </c>
      <c r="O21" s="6">
        <f>F21*L21</f>
        <v/>
      </c>
      <c r="P21" s="16">
        <f>N21-O21</f>
        <v/>
      </c>
      <c r="Q21" s="7">
        <f>IF(I21&gt;0, (I21-N21)/I21, 0)</f>
        <v/>
      </c>
      <c r="R21" s="7">
        <f>IF(I21&gt;0, (I21-O21)/I21, 0)</f>
        <v/>
      </c>
    </row>
    <row r="22" ht="19" customHeight="1">
      <c r="A22" s="41" t="inlineStr">
        <is>
          <t>794</t>
        </is>
      </c>
      <c r="B22" s="41" t="inlineStr">
        <is>
          <t>MDLZ</t>
        </is>
      </c>
      <c r="C22" s="42" t="inlineStr">
        <is>
          <t>Милка Брауни 150гр.</t>
        </is>
      </c>
      <c r="D22" s="24">
        <f>'Декември 2025'!D22</f>
        <v/>
      </c>
      <c r="E22" s="24">
        <f>'Януари 2026'!D22</f>
        <v/>
      </c>
      <c r="F22" s="24">
        <f>D22+E22</f>
        <v/>
      </c>
      <c r="G22" s="6">
        <f>'Декември 2025'!E22</f>
        <v/>
      </c>
      <c r="H22" s="6">
        <f>'Януари 2026'!E22</f>
        <v/>
      </c>
      <c r="I22" s="6">
        <f>G22+H22</f>
        <v/>
      </c>
      <c r="J22" s="36">
        <f>'Декември 2025'!H22</f>
        <v/>
      </c>
      <c r="K22" s="36">
        <f>'Декември 2025'!I22</f>
        <v/>
      </c>
      <c r="L22" s="36">
        <f>'Декември 2025'!J22</f>
        <v/>
      </c>
      <c r="M22" s="6">
        <f>F22*J22</f>
        <v/>
      </c>
      <c r="N22" s="6">
        <f>F22*K22</f>
        <v/>
      </c>
      <c r="O22" s="6">
        <f>F22*L22</f>
        <v/>
      </c>
      <c r="P22" s="16">
        <f>N22-O22</f>
        <v/>
      </c>
      <c r="Q22" s="7">
        <f>IF(I22&gt;0, (I22-N22)/I22, 0)</f>
        <v/>
      </c>
      <c r="R22" s="7">
        <f>IF(I22&gt;0, (I22-O22)/I22, 0)</f>
        <v/>
      </c>
    </row>
    <row r="23" ht="19" customHeight="1">
      <c r="A23" s="41" t="inlineStr">
        <is>
          <t>5133</t>
        </is>
      </c>
      <c r="B23" s="41" t="inlineStr">
        <is>
          <t>MDLZ</t>
        </is>
      </c>
      <c r="C23" s="42" t="inlineStr">
        <is>
          <t>ТУК Оригинал 100гр.</t>
        </is>
      </c>
      <c r="D23" s="24">
        <f>'Декември 2025'!D23</f>
        <v/>
      </c>
      <c r="E23" s="24">
        <f>'Януари 2026'!D23</f>
        <v/>
      </c>
      <c r="F23" s="24">
        <f>D23+E23</f>
        <v/>
      </c>
      <c r="G23" s="6">
        <f>'Декември 2025'!E23</f>
        <v/>
      </c>
      <c r="H23" s="6">
        <f>'Януари 2026'!E23</f>
        <v/>
      </c>
      <c r="I23" s="6">
        <f>G23+H23</f>
        <v/>
      </c>
      <c r="J23" s="36">
        <f>'Декември 2025'!H23</f>
        <v/>
      </c>
      <c r="K23" s="36">
        <f>'Декември 2025'!I23</f>
        <v/>
      </c>
      <c r="L23" s="36">
        <f>'Декември 2025'!J23</f>
        <v/>
      </c>
      <c r="M23" s="6">
        <f>F23*J23</f>
        <v/>
      </c>
      <c r="N23" s="6">
        <f>F23*K23</f>
        <v/>
      </c>
      <c r="O23" s="6">
        <f>F23*L23</f>
        <v/>
      </c>
      <c r="P23" s="16">
        <f>N23-O23</f>
        <v/>
      </c>
      <c r="Q23" s="7">
        <f>IF(I23&gt;0, (I23-N23)/I23, 0)</f>
        <v/>
      </c>
      <c r="R23" s="7">
        <f>IF(I23&gt;0, (I23-O23)/I23, 0)</f>
        <v/>
      </c>
    </row>
    <row r="24" ht="19" customHeight="1">
      <c r="A24" s="41" t="inlineStr">
        <is>
          <t>630300</t>
        </is>
      </c>
      <c r="B24" s="41" t="inlineStr">
        <is>
          <t>MDLZ</t>
        </is>
      </c>
      <c r="C24" s="42" t="inlineStr">
        <is>
          <t>Република Какао 30гр.</t>
        </is>
      </c>
      <c r="D24" s="24">
        <f>'Декември 2025'!D24</f>
        <v/>
      </c>
      <c r="E24" s="24">
        <f>'Януари 2026'!D24</f>
        <v/>
      </c>
      <c r="F24" s="24">
        <f>D24+E24</f>
        <v/>
      </c>
      <c r="G24" s="6">
        <f>'Декември 2025'!E24</f>
        <v/>
      </c>
      <c r="H24" s="6">
        <f>'Януари 2026'!E24</f>
        <v/>
      </c>
      <c r="I24" s="6">
        <f>G24+H24</f>
        <v/>
      </c>
      <c r="J24" s="36">
        <f>'Декември 2025'!H24</f>
        <v/>
      </c>
      <c r="K24" s="36">
        <f>'Декември 2025'!I24</f>
        <v/>
      </c>
      <c r="L24" s="36">
        <f>'Декември 2025'!J24</f>
        <v/>
      </c>
      <c r="M24" s="6">
        <f>F24*J24</f>
        <v/>
      </c>
      <c r="N24" s="6">
        <f>F24*K24</f>
        <v/>
      </c>
      <c r="O24" s="6">
        <f>F24*L24</f>
        <v/>
      </c>
      <c r="P24" s="16">
        <f>N24-O24</f>
        <v/>
      </c>
      <c r="Q24" s="7">
        <f>IF(I24&gt;0, (I24-N24)/I24, 0)</f>
        <v/>
      </c>
      <c r="R24" s="7">
        <f>IF(I24&gt;0, (I24-O24)/I24, 0)</f>
        <v/>
      </c>
    </row>
    <row r="25" ht="19" customHeight="1">
      <c r="A25" s="41" t="inlineStr">
        <is>
          <t>630171</t>
        </is>
      </c>
      <c r="B25" s="41" t="inlineStr">
        <is>
          <t>MDLZ</t>
        </is>
      </c>
      <c r="C25" s="42" t="inlineStr">
        <is>
          <t>Милка цял лешник 95 гр. НОВ</t>
        </is>
      </c>
      <c r="D25" s="24">
        <f>'Декември 2025'!D25</f>
        <v/>
      </c>
      <c r="E25" s="24">
        <f>'Януари 2026'!D25</f>
        <v/>
      </c>
      <c r="F25" s="24">
        <f>D25+E25</f>
        <v/>
      </c>
      <c r="G25" s="6">
        <f>'Декември 2025'!E25</f>
        <v/>
      </c>
      <c r="H25" s="6">
        <f>'Януари 2026'!E25</f>
        <v/>
      </c>
      <c r="I25" s="6">
        <f>G25+H25</f>
        <v/>
      </c>
      <c r="J25" s="36">
        <f>'Декември 2025'!H25</f>
        <v/>
      </c>
      <c r="K25" s="36">
        <f>'Декември 2025'!I25</f>
        <v/>
      </c>
      <c r="L25" s="36">
        <f>'Декември 2025'!J25</f>
        <v/>
      </c>
      <c r="M25" s="6">
        <f>F25*J25</f>
        <v/>
      </c>
      <c r="N25" s="6">
        <f>F25*K25</f>
        <v/>
      </c>
      <c r="O25" s="6">
        <f>F25*L25</f>
        <v/>
      </c>
      <c r="P25" s="16">
        <f>N25-O25</f>
        <v/>
      </c>
      <c r="Q25" s="7">
        <f>IF(I25&gt;0, (I25-N25)/I25, 0)</f>
        <v/>
      </c>
      <c r="R25" s="7">
        <f>IF(I25&gt;0, (I25-O25)/I25, 0)</f>
        <v/>
      </c>
    </row>
    <row r="26" ht="19" customHeight="1">
      <c r="A26" s="41" t="inlineStr">
        <is>
          <t>12193</t>
        </is>
      </c>
      <c r="B26" s="41" t="inlineStr">
        <is>
          <t>MDLZ</t>
        </is>
      </c>
      <c r="C26" s="42" t="inlineStr">
        <is>
          <t>Милка Сандвич Тук 87г</t>
        </is>
      </c>
      <c r="D26" s="24">
        <f>'Декември 2025'!D26</f>
        <v/>
      </c>
      <c r="E26" s="24">
        <f>'Януари 2026'!D26</f>
        <v/>
      </c>
      <c r="F26" s="24">
        <f>D26+E26</f>
        <v/>
      </c>
      <c r="G26" s="6">
        <f>'Декември 2025'!E26</f>
        <v/>
      </c>
      <c r="H26" s="6">
        <f>'Януари 2026'!E26</f>
        <v/>
      </c>
      <c r="I26" s="6">
        <f>G26+H26</f>
        <v/>
      </c>
      <c r="J26" s="36">
        <f>'Декември 2025'!H26</f>
        <v/>
      </c>
      <c r="K26" s="36">
        <f>'Декември 2025'!I26</f>
        <v/>
      </c>
      <c r="L26" s="36">
        <f>'Декември 2025'!J26</f>
        <v/>
      </c>
      <c r="M26" s="6">
        <f>F26*J26</f>
        <v/>
      </c>
      <c r="N26" s="6">
        <f>F26*K26</f>
        <v/>
      </c>
      <c r="O26" s="6">
        <f>F26*L26</f>
        <v/>
      </c>
      <c r="P26" s="16">
        <f>N26-O26</f>
        <v/>
      </c>
      <c r="Q26" s="7">
        <f>IF(I26&gt;0, (I26-N26)/I26, 0)</f>
        <v/>
      </c>
      <c r="R26" s="7">
        <f>IF(I26&gt;0, (I26-O26)/I26, 0)</f>
        <v/>
      </c>
    </row>
    <row r="27" ht="19" customHeight="1">
      <c r="A27" s="41" t="inlineStr">
        <is>
          <t>7150</t>
        </is>
      </c>
      <c r="B27" s="41" t="inlineStr">
        <is>
          <t>MDLZ</t>
        </is>
      </c>
      <c r="C27" s="42" t="inlineStr">
        <is>
          <t>Б-ти Орео 154гр.</t>
        </is>
      </c>
      <c r="D27" s="24">
        <f>'Декември 2025'!D27</f>
        <v/>
      </c>
      <c r="E27" s="24">
        <f>'Януари 2026'!D27</f>
        <v/>
      </c>
      <c r="F27" s="24">
        <f>D27+E27</f>
        <v/>
      </c>
      <c r="G27" s="6">
        <f>'Декември 2025'!E27</f>
        <v/>
      </c>
      <c r="H27" s="6">
        <f>'Януари 2026'!E27</f>
        <v/>
      </c>
      <c r="I27" s="6">
        <f>G27+H27</f>
        <v/>
      </c>
      <c r="J27" s="36">
        <f>'Декември 2025'!H27</f>
        <v/>
      </c>
      <c r="K27" s="36">
        <f>'Декември 2025'!I27</f>
        <v/>
      </c>
      <c r="L27" s="36">
        <f>'Декември 2025'!J27</f>
        <v/>
      </c>
      <c r="M27" s="6">
        <f>F27*J27</f>
        <v/>
      </c>
      <c r="N27" s="6">
        <f>F27*K27</f>
        <v/>
      </c>
      <c r="O27" s="6">
        <f>F27*L27</f>
        <v/>
      </c>
      <c r="P27" s="16">
        <f>N27-O27</f>
        <v/>
      </c>
      <c r="Q27" s="7">
        <f>IF(I27&gt;0, (I27-N27)/I27, 0)</f>
        <v/>
      </c>
      <c r="R27" s="7">
        <f>IF(I27&gt;0, (I27-O27)/I27, 0)</f>
        <v/>
      </c>
    </row>
    <row r="28" ht="19" customHeight="1">
      <c r="A28" s="41" t="inlineStr">
        <is>
          <t>12467</t>
        </is>
      </c>
      <c r="B28" s="41" t="inlineStr">
        <is>
          <t>CHIPITA</t>
        </is>
      </c>
      <c r="C28" s="42" t="inlineStr">
        <is>
          <t>7ДЕЙС КРОАСАН ВАН&amp;ВИШНА 110Г 18CA</t>
        </is>
      </c>
      <c r="D28" s="24">
        <f>'Декември 2025'!D28</f>
        <v/>
      </c>
      <c r="E28" s="24">
        <f>'Януари 2026'!D28</f>
        <v/>
      </c>
      <c r="F28" s="24">
        <f>D28+E28</f>
        <v/>
      </c>
      <c r="G28" s="6">
        <f>'Декември 2025'!E28</f>
        <v/>
      </c>
      <c r="H28" s="6">
        <f>'Януари 2026'!E28</f>
        <v/>
      </c>
      <c r="I28" s="6">
        <f>G28+H28</f>
        <v/>
      </c>
      <c r="J28" s="36">
        <f>'Декември 2025'!H28</f>
        <v/>
      </c>
      <c r="K28" s="36">
        <f>'Декември 2025'!I28</f>
        <v/>
      </c>
      <c r="L28" s="36">
        <f>'Декември 2025'!J28</f>
        <v/>
      </c>
      <c r="M28" s="6">
        <f>F28*J28</f>
        <v/>
      </c>
      <c r="N28" s="6">
        <f>F28*K28</f>
        <v/>
      </c>
      <c r="O28" s="6">
        <f>F28*L28</f>
        <v/>
      </c>
      <c r="P28" s="16">
        <f>N28-O28</f>
        <v/>
      </c>
      <c r="Q28" s="7">
        <f>IF(I28&gt;0, (I28-N28)/I28, 0)</f>
        <v/>
      </c>
      <c r="R28" s="7">
        <f>IF(I28&gt;0, (I28-O28)/I28, 0)</f>
        <v/>
      </c>
    </row>
    <row r="29" ht="19" customHeight="1">
      <c r="A29" s="41" t="inlineStr">
        <is>
          <t>17381</t>
        </is>
      </c>
      <c r="B29" s="41" t="inlineStr">
        <is>
          <t>MDLZ</t>
        </is>
      </c>
      <c r="C29" s="42" t="inlineStr">
        <is>
          <t>Барни Млечен Крем 30гр.</t>
        </is>
      </c>
      <c r="D29" s="24">
        <f>'Декември 2025'!D29</f>
        <v/>
      </c>
      <c r="E29" s="24">
        <f>'Януари 2026'!D29</f>
        <v/>
      </c>
      <c r="F29" s="24">
        <f>D29+E29</f>
        <v/>
      </c>
      <c r="G29" s="6">
        <f>'Декември 2025'!E29</f>
        <v/>
      </c>
      <c r="H29" s="6">
        <f>'Януари 2026'!E29</f>
        <v/>
      </c>
      <c r="I29" s="6">
        <f>G29+H29</f>
        <v/>
      </c>
      <c r="J29" s="36">
        <f>'Декември 2025'!H29</f>
        <v/>
      </c>
      <c r="K29" s="36">
        <f>'Декември 2025'!I29</f>
        <v/>
      </c>
      <c r="L29" s="36">
        <f>'Декември 2025'!J29</f>
        <v/>
      </c>
      <c r="M29" s="6">
        <f>F29*J29</f>
        <v/>
      </c>
      <c r="N29" s="6">
        <f>F29*K29</f>
        <v/>
      </c>
      <c r="O29" s="6">
        <f>F29*L29</f>
        <v/>
      </c>
      <c r="P29" s="16">
        <f>N29-O29</f>
        <v/>
      </c>
      <c r="Q29" s="7">
        <f>IF(I29&gt;0, (I29-N29)/I29, 0)</f>
        <v/>
      </c>
      <c r="R29" s="7">
        <f>IF(I29&gt;0, (I29-O29)/I29, 0)</f>
        <v/>
      </c>
    </row>
    <row r="30" ht="19" customHeight="1">
      <c r="A30" s="41" t="inlineStr">
        <is>
          <t>632679</t>
        </is>
      </c>
      <c r="B30" s="41" t="inlineStr">
        <is>
          <t>CHIPITA</t>
        </is>
      </c>
      <c r="C30" s="42" t="inlineStr">
        <is>
          <t>7Д БЕЙК РОЛC БЕКОН 80ГХ15</t>
        </is>
      </c>
      <c r="D30" s="24">
        <f>'Декември 2025'!D30</f>
        <v/>
      </c>
      <c r="E30" s="24">
        <f>'Януари 2026'!D30</f>
        <v/>
      </c>
      <c r="F30" s="24">
        <f>D30+E30</f>
        <v/>
      </c>
      <c r="G30" s="6">
        <f>'Декември 2025'!E30</f>
        <v/>
      </c>
      <c r="H30" s="6">
        <f>'Януари 2026'!E30</f>
        <v/>
      </c>
      <c r="I30" s="6">
        <f>G30+H30</f>
        <v/>
      </c>
      <c r="J30" s="36">
        <f>'Декември 2025'!H30</f>
        <v/>
      </c>
      <c r="K30" s="36">
        <f>'Декември 2025'!I30</f>
        <v/>
      </c>
      <c r="L30" s="36">
        <f>'Декември 2025'!J30</f>
        <v/>
      </c>
      <c r="M30" s="6">
        <f>F30*J30</f>
        <v/>
      </c>
      <c r="N30" s="6">
        <f>F30*K30</f>
        <v/>
      </c>
      <c r="O30" s="6">
        <f>F30*L30</f>
        <v/>
      </c>
      <c r="P30" s="16">
        <f>N30-O30</f>
        <v/>
      </c>
      <c r="Q30" s="7">
        <f>IF(I30&gt;0, (I30-N30)/I30, 0)</f>
        <v/>
      </c>
      <c r="R30" s="7">
        <f>IF(I30&gt;0, (I30-O30)/I30, 0)</f>
        <v/>
      </c>
    </row>
    <row r="31" ht="19" customHeight="1">
      <c r="A31" s="41" t="inlineStr">
        <is>
          <t>942</t>
        </is>
      </c>
      <c r="B31" s="41" t="inlineStr">
        <is>
          <t>MDLZ</t>
        </is>
      </c>
      <c r="C31" s="42" t="inlineStr">
        <is>
          <t>Барни Млечен  Крем 150гр.</t>
        </is>
      </c>
      <c r="D31" s="24">
        <f>'Декември 2025'!D31</f>
        <v/>
      </c>
      <c r="E31" s="24">
        <f>'Януари 2026'!D31</f>
        <v/>
      </c>
      <c r="F31" s="24">
        <f>D31+E31</f>
        <v/>
      </c>
      <c r="G31" s="6">
        <f>'Декември 2025'!E31</f>
        <v/>
      </c>
      <c r="H31" s="6">
        <f>'Януари 2026'!E31</f>
        <v/>
      </c>
      <c r="I31" s="6">
        <f>G31+H31</f>
        <v/>
      </c>
      <c r="J31" s="36">
        <f>'Декември 2025'!H31</f>
        <v/>
      </c>
      <c r="K31" s="36">
        <f>'Декември 2025'!I31</f>
        <v/>
      </c>
      <c r="L31" s="36">
        <f>'Декември 2025'!J31</f>
        <v/>
      </c>
      <c r="M31" s="6">
        <f>F31*J31</f>
        <v/>
      </c>
      <c r="N31" s="6">
        <f>F31*K31</f>
        <v/>
      </c>
      <c r="O31" s="6">
        <f>F31*L31</f>
        <v/>
      </c>
      <c r="P31" s="16">
        <f>N31-O31</f>
        <v/>
      </c>
      <c r="Q31" s="7">
        <f>IF(I31&gt;0, (I31-N31)/I31, 0)</f>
        <v/>
      </c>
      <c r="R31" s="7">
        <f>IF(I31&gt;0, (I31-O31)/I31, 0)</f>
        <v/>
      </c>
    </row>
    <row r="32" ht="19" customHeight="1">
      <c r="A32" s="41" t="inlineStr">
        <is>
          <t>12460</t>
        </is>
      </c>
      <c r="B32" s="41" t="inlineStr">
        <is>
          <t>CHIPITA</t>
        </is>
      </c>
      <c r="C32" s="42" t="inlineStr">
        <is>
          <t>7ДЕЙС КРОАСАН КАКАО&amp;ВАН 110Г 18CA</t>
        </is>
      </c>
      <c r="D32" s="24">
        <f>'Декември 2025'!D32</f>
        <v/>
      </c>
      <c r="E32" s="24">
        <f>'Януари 2026'!D32</f>
        <v/>
      </c>
      <c r="F32" s="24">
        <f>D32+E32</f>
        <v/>
      </c>
      <c r="G32" s="6">
        <f>'Декември 2025'!E32</f>
        <v/>
      </c>
      <c r="H32" s="6">
        <f>'Януари 2026'!E32</f>
        <v/>
      </c>
      <c r="I32" s="6">
        <f>G32+H32</f>
        <v/>
      </c>
      <c r="J32" s="36">
        <f>'Декември 2025'!H32</f>
        <v/>
      </c>
      <c r="K32" s="36">
        <f>'Декември 2025'!I32</f>
        <v/>
      </c>
      <c r="L32" s="36">
        <f>'Декември 2025'!J32</f>
        <v/>
      </c>
      <c r="M32" s="6">
        <f>F32*J32</f>
        <v/>
      </c>
      <c r="N32" s="6">
        <f>F32*K32</f>
        <v/>
      </c>
      <c r="O32" s="6">
        <f>F32*L32</f>
        <v/>
      </c>
      <c r="P32" s="16">
        <f>N32-O32</f>
        <v/>
      </c>
      <c r="Q32" s="7">
        <f>IF(I32&gt;0, (I32-N32)/I32, 0)</f>
        <v/>
      </c>
      <c r="R32" s="7">
        <f>IF(I32&gt;0, (I32-O32)/I32, 0)</f>
        <v/>
      </c>
    </row>
    <row r="33" ht="19" customHeight="1">
      <c r="A33" s="41" t="inlineStr">
        <is>
          <t>10179</t>
        </is>
      </c>
      <c r="B33" s="41" t="inlineStr">
        <is>
          <t>MDLZ</t>
        </is>
      </c>
      <c r="C33" s="42" t="inlineStr">
        <is>
          <t>Милка Балончета млечен 90г.</t>
        </is>
      </c>
      <c r="D33" s="24">
        <f>'Декември 2025'!D33</f>
        <v/>
      </c>
      <c r="E33" s="24">
        <f>'Януари 2026'!D33</f>
        <v/>
      </c>
      <c r="F33" s="24">
        <f>D33+E33</f>
        <v/>
      </c>
      <c r="G33" s="6">
        <f>'Декември 2025'!E33</f>
        <v/>
      </c>
      <c r="H33" s="6">
        <f>'Януари 2026'!E33</f>
        <v/>
      </c>
      <c r="I33" s="6">
        <f>G33+H33</f>
        <v/>
      </c>
      <c r="J33" s="36">
        <f>'Декември 2025'!H33</f>
        <v/>
      </c>
      <c r="K33" s="36">
        <f>'Декември 2025'!I33</f>
        <v/>
      </c>
      <c r="L33" s="36">
        <f>'Декември 2025'!J33</f>
        <v/>
      </c>
      <c r="M33" s="6">
        <f>F33*J33</f>
        <v/>
      </c>
      <c r="N33" s="6">
        <f>F33*K33</f>
        <v/>
      </c>
      <c r="O33" s="6">
        <f>F33*L33</f>
        <v/>
      </c>
      <c r="P33" s="16">
        <f>N33-O33</f>
        <v/>
      </c>
      <c r="Q33" s="7">
        <f>IF(I33&gt;0, (I33-N33)/I33, 0)</f>
        <v/>
      </c>
      <c r="R33" s="7">
        <f>IF(I33&gt;0, (I33-O33)/I33, 0)</f>
        <v/>
      </c>
    </row>
    <row r="34" ht="19" customHeight="1">
      <c r="A34" s="41" t="inlineStr">
        <is>
          <t>7033</t>
        </is>
      </c>
      <c r="B34" s="41" t="inlineStr">
        <is>
          <t>MDLZ</t>
        </is>
      </c>
      <c r="C34" s="42" t="inlineStr">
        <is>
          <t>Сушард Аида 234 гр.</t>
        </is>
      </c>
      <c r="D34" s="24">
        <f>'Декември 2025'!D34</f>
        <v/>
      </c>
      <c r="E34" s="24">
        <f>'Януари 2026'!D34</f>
        <v/>
      </c>
      <c r="F34" s="24">
        <f>D34+E34</f>
        <v/>
      </c>
      <c r="G34" s="6">
        <f>'Декември 2025'!E34</f>
        <v/>
      </c>
      <c r="H34" s="6">
        <f>'Януари 2026'!E34</f>
        <v/>
      </c>
      <c r="I34" s="6">
        <f>G34+H34</f>
        <v/>
      </c>
      <c r="J34" s="36">
        <f>'Декември 2025'!H34</f>
        <v/>
      </c>
      <c r="K34" s="36">
        <f>'Декември 2025'!I34</f>
        <v/>
      </c>
      <c r="L34" s="36">
        <f>'Декември 2025'!J34</f>
        <v/>
      </c>
      <c r="M34" s="6">
        <f>F34*J34</f>
        <v/>
      </c>
      <c r="N34" s="6">
        <f>F34*K34</f>
        <v/>
      </c>
      <c r="O34" s="6">
        <f>F34*L34</f>
        <v/>
      </c>
      <c r="P34" s="16">
        <f>N34-O34</f>
        <v/>
      </c>
      <c r="Q34" s="7">
        <f>IF(I34&gt;0, (I34-N34)/I34, 0)</f>
        <v/>
      </c>
      <c r="R34" s="7">
        <f>IF(I34&gt;0, (I34-O34)/I34, 0)</f>
        <v/>
      </c>
    </row>
    <row r="35" ht="19" customHeight="1">
      <c r="A35" s="41" t="inlineStr">
        <is>
          <t>5643</t>
        </is>
      </c>
      <c r="B35" s="41" t="inlineStr">
        <is>
          <t>MDLZ</t>
        </is>
      </c>
      <c r="C35" s="42" t="inlineStr">
        <is>
          <t>Б-ти Милка Кукис с пълнеж 156гр.</t>
        </is>
      </c>
      <c r="D35" s="24">
        <f>'Декември 2025'!D35</f>
        <v/>
      </c>
      <c r="E35" s="24">
        <f>'Януари 2026'!D35</f>
        <v/>
      </c>
      <c r="F35" s="24">
        <f>D35+E35</f>
        <v/>
      </c>
      <c r="G35" s="6">
        <f>'Декември 2025'!E35</f>
        <v/>
      </c>
      <c r="H35" s="6">
        <f>'Януари 2026'!E35</f>
        <v/>
      </c>
      <c r="I35" s="6">
        <f>G35+H35</f>
        <v/>
      </c>
      <c r="J35" s="36">
        <f>'Декември 2025'!H35</f>
        <v/>
      </c>
      <c r="K35" s="36">
        <f>'Декември 2025'!I35</f>
        <v/>
      </c>
      <c r="L35" s="36">
        <f>'Декември 2025'!J35</f>
        <v/>
      </c>
      <c r="M35" s="6">
        <f>F35*J35</f>
        <v/>
      </c>
      <c r="N35" s="6">
        <f>F35*K35</f>
        <v/>
      </c>
      <c r="O35" s="6">
        <f>F35*L35</f>
        <v/>
      </c>
      <c r="P35" s="16">
        <f>N35-O35</f>
        <v/>
      </c>
      <c r="Q35" s="7">
        <f>IF(I35&gt;0, (I35-N35)/I35, 0)</f>
        <v/>
      </c>
      <c r="R35" s="7">
        <f>IF(I35&gt;0, (I35-O35)/I35, 0)</f>
        <v/>
      </c>
    </row>
    <row r="36" ht="19" customHeight="1">
      <c r="A36" s="41" t="inlineStr">
        <is>
          <t>11927</t>
        </is>
      </c>
      <c r="B36" s="41" t="inlineStr">
        <is>
          <t>CHIPITA</t>
        </is>
      </c>
      <c r="C36" s="42" t="inlineStr">
        <is>
          <t>7ДЕЙС КРОАСАН ЛЕШНИК 92ГРХ20КШ</t>
        </is>
      </c>
      <c r="D36" s="24">
        <f>'Декември 2025'!D36</f>
        <v/>
      </c>
      <c r="E36" s="24">
        <f>'Януари 2026'!D36</f>
        <v/>
      </c>
      <c r="F36" s="24">
        <f>D36+E36</f>
        <v/>
      </c>
      <c r="G36" s="6">
        <f>'Декември 2025'!E36</f>
        <v/>
      </c>
      <c r="H36" s="6">
        <f>'Януари 2026'!E36</f>
        <v/>
      </c>
      <c r="I36" s="6">
        <f>G36+H36</f>
        <v/>
      </c>
      <c r="J36" s="36">
        <f>'Декември 2025'!H36</f>
        <v/>
      </c>
      <c r="K36" s="36">
        <f>'Декември 2025'!I36</f>
        <v/>
      </c>
      <c r="L36" s="36">
        <f>'Декември 2025'!J36</f>
        <v/>
      </c>
      <c r="M36" s="6">
        <f>F36*J36</f>
        <v/>
      </c>
      <c r="N36" s="6">
        <f>F36*K36</f>
        <v/>
      </c>
      <c r="O36" s="6">
        <f>F36*L36</f>
        <v/>
      </c>
      <c r="P36" s="16">
        <f>N36-O36</f>
        <v/>
      </c>
      <c r="Q36" s="7">
        <f>IF(I36&gt;0, (I36-N36)/I36, 0)</f>
        <v/>
      </c>
      <c r="R36" s="7">
        <f>IF(I36&gt;0, (I36-O36)/I36, 0)</f>
        <v/>
      </c>
    </row>
    <row r="37" ht="19" customHeight="1">
      <c r="A37" s="41" t="inlineStr">
        <is>
          <t>16601</t>
        </is>
      </c>
      <c r="B37" s="41" t="inlineStr">
        <is>
          <t>MDLZ</t>
        </is>
      </c>
      <c r="C37" s="42" t="inlineStr">
        <is>
          <t>Б-ти Орео 66гр.</t>
        </is>
      </c>
      <c r="D37" s="24">
        <f>'Декември 2025'!D37</f>
        <v/>
      </c>
      <c r="E37" s="24">
        <f>'Януари 2026'!D37</f>
        <v/>
      </c>
      <c r="F37" s="24">
        <f>D37+E37</f>
        <v/>
      </c>
      <c r="G37" s="6">
        <f>'Декември 2025'!E37</f>
        <v/>
      </c>
      <c r="H37" s="6">
        <f>'Януари 2026'!E37</f>
        <v/>
      </c>
      <c r="I37" s="6">
        <f>G37+H37</f>
        <v/>
      </c>
      <c r="J37" s="36">
        <f>'Декември 2025'!H37</f>
        <v/>
      </c>
      <c r="K37" s="36">
        <f>'Декември 2025'!I37</f>
        <v/>
      </c>
      <c r="L37" s="36">
        <f>'Декември 2025'!J37</f>
        <v/>
      </c>
      <c r="M37" s="6">
        <f>F37*J37</f>
        <v/>
      </c>
      <c r="N37" s="6">
        <f>F37*K37</f>
        <v/>
      </c>
      <c r="O37" s="6">
        <f>F37*L37</f>
        <v/>
      </c>
      <c r="P37" s="16">
        <f>N37-O37</f>
        <v/>
      </c>
      <c r="Q37" s="7">
        <f>IF(I37&gt;0, (I37-N37)/I37, 0)</f>
        <v/>
      </c>
      <c r="R37" s="7">
        <f>IF(I37&gt;0, (I37-O37)/I37, 0)</f>
        <v/>
      </c>
    </row>
    <row r="38" ht="19" customHeight="1">
      <c r="A38" s="41" t="inlineStr">
        <is>
          <t>6709</t>
        </is>
      </c>
      <c r="B38" s="41" t="inlineStr">
        <is>
          <t>CHIPITA</t>
        </is>
      </c>
      <c r="C38" s="42" t="inlineStr">
        <is>
          <t>7ДЕЙС КРОАСАН ДВОЕН КРЕМ ВАНИЛИЯ И ЯГОДА 92ГРХ20КШ</t>
        </is>
      </c>
      <c r="D38" s="24">
        <f>'Декември 2025'!D38</f>
        <v/>
      </c>
      <c r="E38" s="24">
        <f>'Януари 2026'!D38</f>
        <v/>
      </c>
      <c r="F38" s="24">
        <f>D38+E38</f>
        <v/>
      </c>
      <c r="G38" s="6">
        <f>'Декември 2025'!E38</f>
        <v/>
      </c>
      <c r="H38" s="6">
        <f>'Януари 2026'!E38</f>
        <v/>
      </c>
      <c r="I38" s="6">
        <f>G38+H38</f>
        <v/>
      </c>
      <c r="J38" s="36">
        <f>'Декември 2025'!H38</f>
        <v/>
      </c>
      <c r="K38" s="36">
        <f>'Декември 2025'!I38</f>
        <v/>
      </c>
      <c r="L38" s="36">
        <f>'Декември 2025'!J38</f>
        <v/>
      </c>
      <c r="M38" s="6">
        <f>F38*J38</f>
        <v/>
      </c>
      <c r="N38" s="6">
        <f>F38*K38</f>
        <v/>
      </c>
      <c r="O38" s="6">
        <f>F38*L38</f>
        <v/>
      </c>
      <c r="P38" s="16">
        <f>N38-O38</f>
        <v/>
      </c>
      <c r="Q38" s="7">
        <f>IF(I38&gt;0, (I38-N38)/I38, 0)</f>
        <v/>
      </c>
      <c r="R38" s="7">
        <f>IF(I38&gt;0, (I38-O38)/I38, 0)</f>
        <v/>
      </c>
    </row>
    <row r="39" ht="19" customHeight="1">
      <c r="A39" s="41" t="inlineStr">
        <is>
          <t>5565</t>
        </is>
      </c>
      <c r="B39" s="41" t="inlineStr">
        <is>
          <t>MDLZ</t>
        </is>
      </c>
      <c r="C39" s="42" t="inlineStr">
        <is>
          <t>Република Кокос 30гр.</t>
        </is>
      </c>
      <c r="D39" s="24">
        <f>'Декември 2025'!D39</f>
        <v/>
      </c>
      <c r="E39" s="24">
        <f>'Януари 2026'!D39</f>
        <v/>
      </c>
      <c r="F39" s="24">
        <f>D39+E39</f>
        <v/>
      </c>
      <c r="G39" s="6">
        <f>'Декември 2025'!E39</f>
        <v/>
      </c>
      <c r="H39" s="6">
        <f>'Януари 2026'!E39</f>
        <v/>
      </c>
      <c r="I39" s="6">
        <f>G39+H39</f>
        <v/>
      </c>
      <c r="J39" s="36">
        <f>'Декември 2025'!H39</f>
        <v/>
      </c>
      <c r="K39" s="36">
        <f>'Декември 2025'!I39</f>
        <v/>
      </c>
      <c r="L39" s="36">
        <f>'Декември 2025'!J39</f>
        <v/>
      </c>
      <c r="M39" s="6">
        <f>F39*J39</f>
        <v/>
      </c>
      <c r="N39" s="6">
        <f>F39*K39</f>
        <v/>
      </c>
      <c r="O39" s="6">
        <f>F39*L39</f>
        <v/>
      </c>
      <c r="P39" s="16">
        <f>N39-O39</f>
        <v/>
      </c>
      <c r="Q39" s="7">
        <f>IF(I39&gt;0, (I39-N39)/I39, 0)</f>
        <v/>
      </c>
      <c r="R39" s="7">
        <f>IF(I39&gt;0, (I39-O39)/I39, 0)</f>
        <v/>
      </c>
    </row>
    <row r="40" ht="19" customHeight="1">
      <c r="A40" s="41" t="inlineStr">
        <is>
          <t>17448</t>
        </is>
      </c>
      <c r="B40" s="41" t="inlineStr">
        <is>
          <t>MDLZ</t>
        </is>
      </c>
      <c r="C40" s="42" t="inlineStr">
        <is>
          <t>Бисквити Орео обвито с бял шоколад 41гр</t>
        </is>
      </c>
      <c r="D40" s="24">
        <f>'Декември 2025'!D40</f>
        <v/>
      </c>
      <c r="E40" s="24">
        <f>'Януари 2026'!D40</f>
        <v/>
      </c>
      <c r="F40" s="24">
        <f>D40+E40</f>
        <v/>
      </c>
      <c r="G40" s="6">
        <f>'Декември 2025'!E40</f>
        <v/>
      </c>
      <c r="H40" s="6">
        <f>'Януари 2026'!E40</f>
        <v/>
      </c>
      <c r="I40" s="6">
        <f>G40+H40</f>
        <v/>
      </c>
      <c r="J40" s="36">
        <f>'Декември 2025'!H40</f>
        <v/>
      </c>
      <c r="K40" s="36">
        <f>'Декември 2025'!I40</f>
        <v/>
      </c>
      <c r="L40" s="36">
        <f>'Декември 2025'!J40</f>
        <v/>
      </c>
      <c r="M40" s="6">
        <f>F40*J40</f>
        <v/>
      </c>
      <c r="N40" s="6">
        <f>F40*K40</f>
        <v/>
      </c>
      <c r="O40" s="6">
        <f>F40*L40</f>
        <v/>
      </c>
      <c r="P40" s="16">
        <f>N40-O40</f>
        <v/>
      </c>
      <c r="Q40" s="7">
        <f>IF(I40&gt;0, (I40-N40)/I40, 0)</f>
        <v/>
      </c>
      <c r="R40" s="7">
        <f>IF(I40&gt;0, (I40-O40)/I40, 0)</f>
        <v/>
      </c>
    </row>
    <row r="41" ht="19" customHeight="1">
      <c r="A41" s="41" t="inlineStr">
        <is>
          <t>2157</t>
        </is>
      </c>
      <c r="B41" s="41" t="inlineStr">
        <is>
          <t>MDLZ</t>
        </is>
      </c>
      <c r="C41" s="42" t="inlineStr">
        <is>
          <t>Милка шоко бисквита 150г</t>
        </is>
      </c>
      <c r="D41" s="24">
        <f>'Декември 2025'!D41</f>
        <v/>
      </c>
      <c r="E41" s="24">
        <f>'Януари 2026'!D41</f>
        <v/>
      </c>
      <c r="F41" s="24">
        <f>D41+E41</f>
        <v/>
      </c>
      <c r="G41" s="6">
        <f>'Декември 2025'!E41</f>
        <v/>
      </c>
      <c r="H41" s="6">
        <f>'Януари 2026'!E41</f>
        <v/>
      </c>
      <c r="I41" s="6">
        <f>G41+H41</f>
        <v/>
      </c>
      <c r="J41" s="36">
        <f>'Декември 2025'!H41</f>
        <v/>
      </c>
      <c r="K41" s="36">
        <f>'Декември 2025'!I41</f>
        <v/>
      </c>
      <c r="L41" s="36">
        <f>'Декември 2025'!J41</f>
        <v/>
      </c>
      <c r="M41" s="6">
        <f>F41*J41</f>
        <v/>
      </c>
      <c r="N41" s="6">
        <f>F41*K41</f>
        <v/>
      </c>
      <c r="O41" s="6">
        <f>F41*L41</f>
        <v/>
      </c>
      <c r="P41" s="16">
        <f>N41-O41</f>
        <v/>
      </c>
      <c r="Q41" s="7">
        <f>IF(I41&gt;0, (I41-N41)/I41, 0)</f>
        <v/>
      </c>
      <c r="R41" s="7">
        <f>IF(I41&gt;0, (I41-O41)/I41, 0)</f>
        <v/>
      </c>
    </row>
    <row r="42" ht="19" customHeight="1">
      <c r="A42" s="41" t="inlineStr">
        <is>
          <t>11954</t>
        </is>
      </c>
      <c r="B42" s="41" t="inlineStr">
        <is>
          <t>MDLZ</t>
        </is>
      </c>
      <c r="C42" s="42" t="inlineStr">
        <is>
          <t>Б-ти Милка Шоко кейк 175гр.</t>
        </is>
      </c>
      <c r="D42" s="24">
        <f>'Декември 2025'!D42</f>
        <v/>
      </c>
      <c r="E42" s="24">
        <f>'Януари 2026'!D42</f>
        <v/>
      </c>
      <c r="F42" s="24">
        <f>D42+E42</f>
        <v/>
      </c>
      <c r="G42" s="6">
        <f>'Декември 2025'!E42</f>
        <v/>
      </c>
      <c r="H42" s="6">
        <f>'Януари 2026'!E42</f>
        <v/>
      </c>
      <c r="I42" s="6">
        <f>G42+H42</f>
        <v/>
      </c>
      <c r="J42" s="36">
        <f>'Декември 2025'!H42</f>
        <v/>
      </c>
      <c r="K42" s="36">
        <f>'Декември 2025'!I42</f>
        <v/>
      </c>
      <c r="L42" s="36">
        <f>'Декември 2025'!J42</f>
        <v/>
      </c>
      <c r="M42" s="6">
        <f>F42*J42</f>
        <v/>
      </c>
      <c r="N42" s="6">
        <f>F42*K42</f>
        <v/>
      </c>
      <c r="O42" s="6">
        <f>F42*L42</f>
        <v/>
      </c>
      <c r="P42" s="16">
        <f>N42-O42</f>
        <v/>
      </c>
      <c r="Q42" s="7">
        <f>IF(I42&gt;0, (I42-N42)/I42, 0)</f>
        <v/>
      </c>
      <c r="R42" s="7">
        <f>IF(I42&gt;0, (I42-O42)/I42, 0)</f>
        <v/>
      </c>
    </row>
    <row r="43" ht="19" customHeight="1">
      <c r="A43" s="41" t="inlineStr">
        <is>
          <t>7032</t>
        </is>
      </c>
      <c r="B43" s="41" t="inlineStr">
        <is>
          <t>MDLZ</t>
        </is>
      </c>
      <c r="C43" s="42" t="inlineStr">
        <is>
          <t>Сушард Фигаро 276гр.</t>
        </is>
      </c>
      <c r="D43" s="24">
        <f>'Декември 2025'!D43</f>
        <v/>
      </c>
      <c r="E43" s="24">
        <f>'Януари 2026'!D43</f>
        <v/>
      </c>
      <c r="F43" s="24">
        <f>D43+E43</f>
        <v/>
      </c>
      <c r="G43" s="6">
        <f>'Декември 2025'!E43</f>
        <v/>
      </c>
      <c r="H43" s="6">
        <f>'Януари 2026'!E43</f>
        <v/>
      </c>
      <c r="I43" s="6">
        <f>G43+H43</f>
        <v/>
      </c>
      <c r="J43" s="36">
        <f>'Декември 2025'!H43</f>
        <v/>
      </c>
      <c r="K43" s="36">
        <f>'Декември 2025'!I43</f>
        <v/>
      </c>
      <c r="L43" s="36">
        <f>'Декември 2025'!J43</f>
        <v/>
      </c>
      <c r="M43" s="6">
        <f>F43*J43</f>
        <v/>
      </c>
      <c r="N43" s="6">
        <f>F43*K43</f>
        <v/>
      </c>
      <c r="O43" s="6">
        <f>F43*L43</f>
        <v/>
      </c>
      <c r="P43" s="16">
        <f>N43-O43</f>
        <v/>
      </c>
      <c r="Q43" s="7">
        <f>IF(I43&gt;0, (I43-N43)/I43, 0)</f>
        <v/>
      </c>
      <c r="R43" s="7">
        <f>IF(I43&gt;0, (I43-O43)/I43, 0)</f>
        <v/>
      </c>
    </row>
    <row r="44" ht="19" customHeight="1">
      <c r="A44" s="41" t="inlineStr">
        <is>
          <t>15507</t>
        </is>
      </c>
      <c r="B44" s="41" t="inlineStr">
        <is>
          <t>MDLZ</t>
        </is>
      </c>
      <c r="C44" s="42" t="inlineStr">
        <is>
          <t>Милка 46 г крем с лешников вкус и бисквитка</t>
        </is>
      </c>
      <c r="D44" s="24">
        <f>'Декември 2025'!D44</f>
        <v/>
      </c>
      <c r="E44" s="24">
        <f>'Януари 2026'!D44</f>
        <v/>
      </c>
      <c r="F44" s="24">
        <f>D44+E44</f>
        <v/>
      </c>
      <c r="G44" s="6">
        <f>'Декември 2025'!E44</f>
        <v/>
      </c>
      <c r="H44" s="6">
        <f>'Януари 2026'!E44</f>
        <v/>
      </c>
      <c r="I44" s="6">
        <f>G44+H44</f>
        <v/>
      </c>
      <c r="J44" s="36">
        <f>'Декември 2025'!H44</f>
        <v/>
      </c>
      <c r="K44" s="36">
        <f>'Декември 2025'!I44</f>
        <v/>
      </c>
      <c r="L44" s="36">
        <f>'Декември 2025'!J44</f>
        <v/>
      </c>
      <c r="M44" s="6">
        <f>F44*J44</f>
        <v/>
      </c>
      <c r="N44" s="6">
        <f>F44*K44</f>
        <v/>
      </c>
      <c r="O44" s="6">
        <f>F44*L44</f>
        <v/>
      </c>
      <c r="P44" s="16">
        <f>N44-O44</f>
        <v/>
      </c>
      <c r="Q44" s="7">
        <f>IF(I44&gt;0, (I44-N44)/I44, 0)</f>
        <v/>
      </c>
      <c r="R44" s="7">
        <f>IF(I44&gt;0, (I44-O44)/I44, 0)</f>
        <v/>
      </c>
    </row>
    <row r="45" ht="19" customHeight="1">
      <c r="A45" s="41" t="inlineStr">
        <is>
          <t>18039</t>
        </is>
      </c>
      <c r="B45" s="41" t="inlineStr">
        <is>
          <t>MDLZ</t>
        </is>
      </c>
      <c r="C45" s="42" t="inlineStr">
        <is>
          <t>Б-ти Милка Малина 147гр.</t>
        </is>
      </c>
      <c r="D45" s="24">
        <f>'Декември 2025'!D45</f>
        <v/>
      </c>
      <c r="E45" s="24">
        <f>'Януари 2026'!D45</f>
        <v/>
      </c>
      <c r="F45" s="24">
        <f>D45+E45</f>
        <v/>
      </c>
      <c r="G45" s="6">
        <f>'Декември 2025'!E45</f>
        <v/>
      </c>
      <c r="H45" s="6">
        <f>'Януари 2026'!E45</f>
        <v/>
      </c>
      <c r="I45" s="6">
        <f>G45+H45</f>
        <v/>
      </c>
      <c r="J45" s="36">
        <f>'Декември 2025'!H45</f>
        <v/>
      </c>
      <c r="K45" s="36">
        <f>'Декември 2025'!I45</f>
        <v/>
      </c>
      <c r="L45" s="36">
        <f>'Декември 2025'!J45</f>
        <v/>
      </c>
      <c r="M45" s="6">
        <f>F45*J45</f>
        <v/>
      </c>
      <c r="N45" s="6">
        <f>F45*K45</f>
        <v/>
      </c>
      <c r="O45" s="6">
        <f>F45*L45</f>
        <v/>
      </c>
      <c r="P45" s="16">
        <f>N45-O45</f>
        <v/>
      </c>
      <c r="Q45" s="7">
        <f>IF(I45&gt;0, (I45-N45)/I45, 0)</f>
        <v/>
      </c>
      <c r="R45" s="7">
        <f>IF(I45&gt;0, (I45-O45)/I45, 0)</f>
        <v/>
      </c>
    </row>
    <row r="46" ht="19" customHeight="1">
      <c r="A46" s="41" t="inlineStr">
        <is>
          <t>630285</t>
        </is>
      </c>
      <c r="B46" s="41" t="inlineStr">
        <is>
          <t>MDLZ</t>
        </is>
      </c>
      <c r="C46" s="42" t="inlineStr">
        <is>
          <t>Милка млян лешник 90 гр. НОВ</t>
        </is>
      </c>
      <c r="D46" s="24">
        <f>'Декември 2025'!D46</f>
        <v/>
      </c>
      <c r="E46" s="24">
        <f>'Януари 2026'!D46</f>
        <v/>
      </c>
      <c r="F46" s="24">
        <f>D46+E46</f>
        <v/>
      </c>
      <c r="G46" s="6">
        <f>'Декември 2025'!E46</f>
        <v/>
      </c>
      <c r="H46" s="6">
        <f>'Януари 2026'!E46</f>
        <v/>
      </c>
      <c r="I46" s="6">
        <f>G46+H46</f>
        <v/>
      </c>
      <c r="J46" s="36">
        <f>'Декември 2025'!H46</f>
        <v/>
      </c>
      <c r="K46" s="36">
        <f>'Декември 2025'!I46</f>
        <v/>
      </c>
      <c r="L46" s="36">
        <f>'Декември 2025'!J46</f>
        <v/>
      </c>
      <c r="M46" s="6">
        <f>F46*J46</f>
        <v/>
      </c>
      <c r="N46" s="6">
        <f>F46*K46</f>
        <v/>
      </c>
      <c r="O46" s="6">
        <f>F46*L46</f>
        <v/>
      </c>
      <c r="P46" s="16">
        <f>N46-O46</f>
        <v/>
      </c>
      <c r="Q46" s="7">
        <f>IF(I46&gt;0, (I46-N46)/I46, 0)</f>
        <v/>
      </c>
      <c r="R46" s="7">
        <f>IF(I46&gt;0, (I46-O46)/I46, 0)</f>
        <v/>
      </c>
    </row>
    <row r="47" ht="19" customHeight="1">
      <c r="A47" s="41" t="inlineStr">
        <is>
          <t>332</t>
        </is>
      </c>
      <c r="B47" s="41" t="inlineStr">
        <is>
          <t>MDLZ</t>
        </is>
      </c>
      <c r="C47" s="42" t="inlineStr">
        <is>
          <t>Сушард Аида 117 гр.</t>
        </is>
      </c>
      <c r="D47" s="24">
        <f>'Декември 2025'!D47</f>
        <v/>
      </c>
      <c r="E47" s="24">
        <f>'Януари 2026'!D47</f>
        <v/>
      </c>
      <c r="F47" s="24">
        <f>D47+E47</f>
        <v/>
      </c>
      <c r="G47" s="6">
        <f>'Декември 2025'!E47</f>
        <v/>
      </c>
      <c r="H47" s="6">
        <f>'Януари 2026'!E47</f>
        <v/>
      </c>
      <c r="I47" s="6">
        <f>G47+H47</f>
        <v/>
      </c>
      <c r="J47" s="36">
        <f>'Декември 2025'!H47</f>
        <v/>
      </c>
      <c r="K47" s="36">
        <f>'Декември 2025'!I47</f>
        <v/>
      </c>
      <c r="L47" s="36">
        <f>'Декември 2025'!J47</f>
        <v/>
      </c>
      <c r="M47" s="6">
        <f>F47*J47</f>
        <v/>
      </c>
      <c r="N47" s="6">
        <f>F47*K47</f>
        <v/>
      </c>
      <c r="O47" s="6">
        <f>F47*L47</f>
        <v/>
      </c>
      <c r="P47" s="16">
        <f>N47-O47</f>
        <v/>
      </c>
      <c r="Q47" s="7">
        <f>IF(I47&gt;0, (I47-N47)/I47, 0)</f>
        <v/>
      </c>
      <c r="R47" s="7">
        <f>IF(I47&gt;0, (I47-O47)/I47, 0)</f>
        <v/>
      </c>
    </row>
    <row r="48" ht="19" customHeight="1">
      <c r="A48" s="41" t="inlineStr">
        <is>
          <t>13279</t>
        </is>
      </c>
      <c r="B48" s="41" t="inlineStr">
        <is>
          <t>MDLZ</t>
        </is>
      </c>
      <c r="C48" s="42" t="inlineStr">
        <is>
          <t>Б-ти Милка Лила Stix 112гр.</t>
        </is>
      </c>
      <c r="D48" s="24">
        <f>'Декември 2025'!D48</f>
        <v/>
      </c>
      <c r="E48" s="24">
        <f>'Януари 2026'!D48</f>
        <v/>
      </c>
      <c r="F48" s="24">
        <f>D48+E48</f>
        <v/>
      </c>
      <c r="G48" s="6">
        <f>'Декември 2025'!E48</f>
        <v/>
      </c>
      <c r="H48" s="6">
        <f>'Януари 2026'!E48</f>
        <v/>
      </c>
      <c r="I48" s="6">
        <f>G48+H48</f>
        <v/>
      </c>
      <c r="J48" s="36">
        <f>'Декември 2025'!H48</f>
        <v/>
      </c>
      <c r="K48" s="36">
        <f>'Декември 2025'!I48</f>
        <v/>
      </c>
      <c r="L48" s="36">
        <f>'Декември 2025'!J48</f>
        <v/>
      </c>
      <c r="M48" s="6">
        <f>F48*J48</f>
        <v/>
      </c>
      <c r="N48" s="6">
        <f>F48*K48</f>
        <v/>
      </c>
      <c r="O48" s="6">
        <f>F48*L48</f>
        <v/>
      </c>
      <c r="P48" s="16">
        <f>N48-O48</f>
        <v/>
      </c>
      <c r="Q48" s="7">
        <f>IF(I48&gt;0, (I48-N48)/I48, 0)</f>
        <v/>
      </c>
      <c r="R48" s="7">
        <f>IF(I48&gt;0, (I48-O48)/I48, 0)</f>
        <v/>
      </c>
    </row>
    <row r="49" ht="19" customHeight="1">
      <c r="A49" s="41" t="inlineStr">
        <is>
          <t>6704</t>
        </is>
      </c>
      <c r="B49" s="41" t="inlineStr">
        <is>
          <t>CHIPITA</t>
        </is>
      </c>
      <c r="C49" s="42" t="inlineStr">
        <is>
          <t>7ДЕЙС КРОАСАН ДВОЕН КРЕМ ВАНИЛИЯ И ВИШНА 92ГРХ20КШ</t>
        </is>
      </c>
      <c r="D49" s="24">
        <f>'Декември 2025'!D49</f>
        <v/>
      </c>
      <c r="E49" s="24">
        <f>'Януари 2026'!D49</f>
        <v/>
      </c>
      <c r="F49" s="24">
        <f>D49+E49</f>
        <v/>
      </c>
      <c r="G49" s="6">
        <f>'Декември 2025'!E49</f>
        <v/>
      </c>
      <c r="H49" s="6">
        <f>'Януари 2026'!E49</f>
        <v/>
      </c>
      <c r="I49" s="6">
        <f>G49+H49</f>
        <v/>
      </c>
      <c r="J49" s="36">
        <f>'Декември 2025'!H49</f>
        <v/>
      </c>
      <c r="K49" s="36">
        <f>'Декември 2025'!I49</f>
        <v/>
      </c>
      <c r="L49" s="36">
        <f>'Декември 2025'!J49</f>
        <v/>
      </c>
      <c r="M49" s="6">
        <f>F49*J49</f>
        <v/>
      </c>
      <c r="N49" s="6">
        <f>F49*K49</f>
        <v/>
      </c>
      <c r="O49" s="6">
        <f>F49*L49</f>
        <v/>
      </c>
      <c r="P49" s="16">
        <f>N49-O49</f>
        <v/>
      </c>
      <c r="Q49" s="7">
        <f>IF(I49&gt;0, (I49-N49)/I49, 0)</f>
        <v/>
      </c>
      <c r="R49" s="7">
        <f>IF(I49&gt;0, (I49-O49)/I49, 0)</f>
        <v/>
      </c>
    </row>
    <row r="50" ht="19" customHeight="1">
      <c r="A50" s="41" t="inlineStr">
        <is>
          <t>13218</t>
        </is>
      </c>
      <c r="B50" s="41" t="inlineStr">
        <is>
          <t>MDLZ</t>
        </is>
      </c>
      <c r="C50" s="42" t="inlineStr">
        <is>
          <t>Своге екстра какао 65%  какао 80гр.</t>
        </is>
      </c>
      <c r="D50" s="24">
        <f>'Декември 2025'!D50</f>
        <v/>
      </c>
      <c r="E50" s="24">
        <f>'Януари 2026'!D50</f>
        <v/>
      </c>
      <c r="F50" s="24">
        <f>D50+E50</f>
        <v/>
      </c>
      <c r="G50" s="6">
        <f>'Декември 2025'!E50</f>
        <v/>
      </c>
      <c r="H50" s="6">
        <f>'Януари 2026'!E50</f>
        <v/>
      </c>
      <c r="I50" s="6">
        <f>G50+H50</f>
        <v/>
      </c>
      <c r="J50" s="36">
        <f>'Декември 2025'!H50</f>
        <v/>
      </c>
      <c r="K50" s="36">
        <f>'Декември 2025'!I50</f>
        <v/>
      </c>
      <c r="L50" s="36">
        <f>'Декември 2025'!J50</f>
        <v/>
      </c>
      <c r="M50" s="6">
        <f>F50*J50</f>
        <v/>
      </c>
      <c r="N50" s="6">
        <f>F50*K50</f>
        <v/>
      </c>
      <c r="O50" s="6">
        <f>F50*L50</f>
        <v/>
      </c>
      <c r="P50" s="16">
        <f>N50-O50</f>
        <v/>
      </c>
      <c r="Q50" s="7">
        <f>IF(I50&gt;0, (I50-N50)/I50, 0)</f>
        <v/>
      </c>
      <c r="R50" s="7">
        <f>IF(I50&gt;0, (I50-O50)/I50, 0)</f>
        <v/>
      </c>
    </row>
    <row r="51" ht="19" customHeight="1">
      <c r="A51" s="41" t="inlineStr">
        <is>
          <t>892</t>
        </is>
      </c>
      <c r="B51" s="41" t="inlineStr">
        <is>
          <t>MDLZ</t>
        </is>
      </c>
      <c r="C51" s="42" t="inlineStr">
        <is>
          <t>Милка Лотус Бискоф 90г</t>
        </is>
      </c>
      <c r="D51" s="24">
        <f>'Декември 2025'!D51</f>
        <v/>
      </c>
      <c r="E51" s="24">
        <f>'Януари 2026'!D51</f>
        <v/>
      </c>
      <c r="F51" s="24">
        <f>D51+E51</f>
        <v/>
      </c>
      <c r="G51" s="6">
        <f>'Декември 2025'!E51</f>
        <v/>
      </c>
      <c r="H51" s="6">
        <f>'Януари 2026'!E51</f>
        <v/>
      </c>
      <c r="I51" s="6">
        <f>G51+H51</f>
        <v/>
      </c>
      <c r="J51" s="36">
        <f>'Декември 2025'!H51</f>
        <v/>
      </c>
      <c r="K51" s="36">
        <f>'Декември 2025'!I51</f>
        <v/>
      </c>
      <c r="L51" s="36">
        <f>'Декември 2025'!J51</f>
        <v/>
      </c>
      <c r="M51" s="6">
        <f>F51*J51</f>
        <v/>
      </c>
      <c r="N51" s="6">
        <f>F51*K51</f>
        <v/>
      </c>
      <c r="O51" s="6">
        <f>F51*L51</f>
        <v/>
      </c>
      <c r="P51" s="16">
        <f>N51-O51</f>
        <v/>
      </c>
      <c r="Q51" s="7">
        <f>IF(I51&gt;0, (I51-N51)/I51, 0)</f>
        <v/>
      </c>
      <c r="R51" s="7">
        <f>IF(I51&gt;0, (I51-O51)/I51, 0)</f>
        <v/>
      </c>
    </row>
    <row r="52" ht="19" customHeight="1">
      <c r="A52" s="41" t="inlineStr">
        <is>
          <t>11928</t>
        </is>
      </c>
      <c r="B52" s="41" t="inlineStr">
        <is>
          <t>CHIPITA</t>
        </is>
      </c>
      <c r="C52" s="42" t="inlineStr">
        <is>
          <t>7ДЕЙС КРОАСАН ДВОЕН КРЕМ КАКАО И ВАНИЛИЯ 92ГРХ20КШ</t>
        </is>
      </c>
      <c r="D52" s="24">
        <f>'Декември 2025'!D52</f>
        <v/>
      </c>
      <c r="E52" s="24">
        <f>'Януари 2026'!D52</f>
        <v/>
      </c>
      <c r="F52" s="24">
        <f>D52+E52</f>
        <v/>
      </c>
      <c r="G52" s="6">
        <f>'Декември 2025'!E52</f>
        <v/>
      </c>
      <c r="H52" s="6">
        <f>'Януари 2026'!E52</f>
        <v/>
      </c>
      <c r="I52" s="6">
        <f>G52+H52</f>
        <v/>
      </c>
      <c r="J52" s="36">
        <f>'Декември 2025'!H52</f>
        <v/>
      </c>
      <c r="K52" s="36">
        <f>'Декември 2025'!I52</f>
        <v/>
      </c>
      <c r="L52" s="36">
        <f>'Декември 2025'!J52</f>
        <v/>
      </c>
      <c r="M52" s="6">
        <f>F52*J52</f>
        <v/>
      </c>
      <c r="N52" s="6">
        <f>F52*K52</f>
        <v/>
      </c>
      <c r="O52" s="6">
        <f>F52*L52</f>
        <v/>
      </c>
      <c r="P52" s="16">
        <f>N52-O52</f>
        <v/>
      </c>
      <c r="Q52" s="7">
        <f>IF(I52&gt;0, (I52-N52)/I52, 0)</f>
        <v/>
      </c>
      <c r="R52" s="7">
        <f>IF(I52&gt;0, (I52-O52)/I52, 0)</f>
        <v/>
      </c>
    </row>
    <row r="53" ht="19" customHeight="1">
      <c r="A53" s="41" t="inlineStr">
        <is>
          <t>633053</t>
        </is>
      </c>
      <c r="B53" s="41" t="inlineStr">
        <is>
          <t>MDLZ</t>
        </is>
      </c>
      <c r="C53" s="42" t="inlineStr">
        <is>
          <t>Тоблерон млечен 100гр.</t>
        </is>
      </c>
      <c r="D53" s="24">
        <f>'Декември 2025'!D53</f>
        <v/>
      </c>
      <c r="E53" s="24">
        <f>'Януари 2026'!D53</f>
        <v/>
      </c>
      <c r="F53" s="24">
        <f>D53+E53</f>
        <v/>
      </c>
      <c r="G53" s="6">
        <f>'Декември 2025'!E53</f>
        <v/>
      </c>
      <c r="H53" s="6">
        <f>'Януари 2026'!E53</f>
        <v/>
      </c>
      <c r="I53" s="6">
        <f>G53+H53</f>
        <v/>
      </c>
      <c r="J53" s="36">
        <f>'Декември 2025'!H53</f>
        <v/>
      </c>
      <c r="K53" s="36">
        <f>'Декември 2025'!I53</f>
        <v/>
      </c>
      <c r="L53" s="36">
        <f>'Декември 2025'!J53</f>
        <v/>
      </c>
      <c r="M53" s="6">
        <f>F53*J53</f>
        <v/>
      </c>
      <c r="N53" s="6">
        <f>F53*K53</f>
        <v/>
      </c>
      <c r="O53" s="6">
        <f>F53*L53</f>
        <v/>
      </c>
      <c r="P53" s="16">
        <f>N53-O53</f>
        <v/>
      </c>
      <c r="Q53" s="7">
        <f>IF(I53&gt;0, (I53-N53)/I53, 0)</f>
        <v/>
      </c>
      <c r="R53" s="7">
        <f>IF(I53&gt;0, (I53-O53)/I53, 0)</f>
        <v/>
      </c>
    </row>
    <row r="54" ht="19" customHeight="1">
      <c r="A54" s="41" t="inlineStr">
        <is>
          <t>13845</t>
        </is>
      </c>
      <c r="B54" s="41" t="inlineStr">
        <is>
          <t>MDLZ</t>
        </is>
      </c>
      <c r="C54" s="42" t="inlineStr">
        <is>
          <t>Милка Орео 37гр.</t>
        </is>
      </c>
      <c r="D54" s="24">
        <f>'Декември 2025'!D54</f>
        <v/>
      </c>
      <c r="E54" s="24">
        <f>'Януари 2026'!D54</f>
        <v/>
      </c>
      <c r="F54" s="24">
        <f>D54+E54</f>
        <v/>
      </c>
      <c r="G54" s="6">
        <f>'Декември 2025'!E54</f>
        <v/>
      </c>
      <c r="H54" s="6">
        <f>'Януари 2026'!E54</f>
        <v/>
      </c>
      <c r="I54" s="6">
        <f>G54+H54</f>
        <v/>
      </c>
      <c r="J54" s="36">
        <f>'Декември 2025'!H54</f>
        <v/>
      </c>
      <c r="K54" s="36">
        <f>'Декември 2025'!I54</f>
        <v/>
      </c>
      <c r="L54" s="36">
        <f>'Декември 2025'!J54</f>
        <v/>
      </c>
      <c r="M54" s="6">
        <f>F54*J54</f>
        <v/>
      </c>
      <c r="N54" s="6">
        <f>F54*K54</f>
        <v/>
      </c>
      <c r="O54" s="6">
        <f>F54*L54</f>
        <v/>
      </c>
      <c r="P54" s="16">
        <f>N54-O54</f>
        <v/>
      </c>
      <c r="Q54" s="7">
        <f>IF(I54&gt;0, (I54-N54)/I54, 0)</f>
        <v/>
      </c>
      <c r="R54" s="7">
        <f>IF(I54&gt;0, (I54-O54)/I54, 0)</f>
        <v/>
      </c>
    </row>
    <row r="55" ht="19" customHeight="1">
      <c r="A55" s="41" t="inlineStr">
        <is>
          <t>10147</t>
        </is>
      </c>
      <c r="B55" s="41" t="inlineStr">
        <is>
          <t>MDLZ</t>
        </is>
      </c>
      <c r="C55" s="42" t="inlineStr">
        <is>
          <t>Mилка млян лешник 250 гр. НОВ</t>
        </is>
      </c>
      <c r="D55" s="24">
        <f>'Декември 2025'!D55</f>
        <v/>
      </c>
      <c r="E55" s="24">
        <f>'Януари 2026'!D55</f>
        <v/>
      </c>
      <c r="F55" s="24">
        <f>D55+E55</f>
        <v/>
      </c>
      <c r="G55" s="6">
        <f>'Декември 2025'!E55</f>
        <v/>
      </c>
      <c r="H55" s="6">
        <f>'Януари 2026'!E55</f>
        <v/>
      </c>
      <c r="I55" s="6">
        <f>G55+H55</f>
        <v/>
      </c>
      <c r="J55" s="36">
        <f>'Декември 2025'!H55</f>
        <v/>
      </c>
      <c r="K55" s="36">
        <f>'Декември 2025'!I55</f>
        <v/>
      </c>
      <c r="L55" s="36">
        <f>'Декември 2025'!J55</f>
        <v/>
      </c>
      <c r="M55" s="6">
        <f>F55*J55</f>
        <v/>
      </c>
      <c r="N55" s="6">
        <f>F55*K55</f>
        <v/>
      </c>
      <c r="O55" s="6">
        <f>F55*L55</f>
        <v/>
      </c>
      <c r="P55" s="16">
        <f>N55-O55</f>
        <v/>
      </c>
      <c r="Q55" s="7">
        <f>IF(I55&gt;0, (I55-N55)/I55, 0)</f>
        <v/>
      </c>
      <c r="R55" s="7">
        <f>IF(I55&gt;0, (I55-O55)/I55, 0)</f>
        <v/>
      </c>
    </row>
    <row r="56" ht="19" customHeight="1">
      <c r="A56" s="41" t="inlineStr">
        <is>
          <t>16858</t>
        </is>
      </c>
      <c r="B56" s="41" t="inlineStr">
        <is>
          <t>MDLZ</t>
        </is>
      </c>
      <c r="C56" s="42" t="inlineStr">
        <is>
          <t>Б-ти Милка Кукис шоколад 156гр.</t>
        </is>
      </c>
      <c r="D56" s="24">
        <f>'Декември 2025'!D56</f>
        <v/>
      </c>
      <c r="E56" s="24">
        <f>'Януари 2026'!D56</f>
        <v/>
      </c>
      <c r="F56" s="24">
        <f>D56+E56</f>
        <v/>
      </c>
      <c r="G56" s="6">
        <f>'Декември 2025'!E56</f>
        <v/>
      </c>
      <c r="H56" s="6">
        <f>'Януари 2026'!E56</f>
        <v/>
      </c>
      <c r="I56" s="6">
        <f>G56+H56</f>
        <v/>
      </c>
      <c r="J56" s="36">
        <f>'Декември 2025'!H56</f>
        <v/>
      </c>
      <c r="K56" s="36">
        <f>'Декември 2025'!I56</f>
        <v/>
      </c>
      <c r="L56" s="36">
        <f>'Декември 2025'!J56</f>
        <v/>
      </c>
      <c r="M56" s="6">
        <f>F56*J56</f>
        <v/>
      </c>
      <c r="N56" s="6">
        <f>F56*K56</f>
        <v/>
      </c>
      <c r="O56" s="6">
        <f>F56*L56</f>
        <v/>
      </c>
      <c r="P56" s="16">
        <f>N56-O56</f>
        <v/>
      </c>
      <c r="Q56" s="7">
        <f>IF(I56&gt;0, (I56-N56)/I56, 0)</f>
        <v/>
      </c>
      <c r="R56" s="7">
        <f>IF(I56&gt;0, (I56-O56)/I56, 0)</f>
        <v/>
      </c>
    </row>
    <row r="57" ht="19" customHeight="1">
      <c r="A57" s="41" t="inlineStr">
        <is>
          <t>18037</t>
        </is>
      </c>
      <c r="B57" s="41" t="inlineStr">
        <is>
          <t>MDLZ</t>
        </is>
      </c>
      <c r="C57" s="42" t="inlineStr">
        <is>
          <t>Милка екстра какао 90 гр. НОВ</t>
        </is>
      </c>
      <c r="D57" s="24">
        <f>'Декември 2025'!D57</f>
        <v/>
      </c>
      <c r="E57" s="24">
        <f>'Януари 2026'!D57</f>
        <v/>
      </c>
      <c r="F57" s="24">
        <f>D57+E57</f>
        <v/>
      </c>
      <c r="G57" s="6">
        <f>'Декември 2025'!E57</f>
        <v/>
      </c>
      <c r="H57" s="6">
        <f>'Януари 2026'!E57</f>
        <v/>
      </c>
      <c r="I57" s="6">
        <f>G57+H57</f>
        <v/>
      </c>
      <c r="J57" s="36">
        <f>'Декември 2025'!H57</f>
        <v/>
      </c>
      <c r="K57" s="36">
        <f>'Декември 2025'!I57</f>
        <v/>
      </c>
      <c r="L57" s="36">
        <f>'Декември 2025'!J57</f>
        <v/>
      </c>
      <c r="M57" s="6">
        <f>F57*J57</f>
        <v/>
      </c>
      <c r="N57" s="6">
        <f>F57*K57</f>
        <v/>
      </c>
      <c r="O57" s="6">
        <f>F57*L57</f>
        <v/>
      </c>
      <c r="P57" s="16">
        <f>N57-O57</f>
        <v/>
      </c>
      <c r="Q57" s="7">
        <f>IF(I57&gt;0, (I57-N57)/I57, 0)</f>
        <v/>
      </c>
      <c r="R57" s="7">
        <f>IF(I57&gt;0, (I57-O57)/I57, 0)</f>
        <v/>
      </c>
    </row>
    <row r="58" ht="19" customHeight="1">
      <c r="A58" s="41" t="inlineStr">
        <is>
          <t>633070</t>
        </is>
      </c>
      <c r="B58" s="41" t="inlineStr">
        <is>
          <t>MDLZ</t>
        </is>
      </c>
      <c r="C58" s="42" t="inlineStr">
        <is>
          <t>Милка Ягода  100гр.</t>
        </is>
      </c>
      <c r="D58" s="24">
        <f>'Декември 2025'!D58</f>
        <v/>
      </c>
      <c r="E58" s="24">
        <f>'Януари 2026'!D58</f>
        <v/>
      </c>
      <c r="F58" s="24">
        <f>D58+E58</f>
        <v/>
      </c>
      <c r="G58" s="6">
        <f>'Декември 2025'!E58</f>
        <v/>
      </c>
      <c r="H58" s="6">
        <f>'Януари 2026'!E58</f>
        <v/>
      </c>
      <c r="I58" s="6">
        <f>G58+H58</f>
        <v/>
      </c>
      <c r="J58" s="36">
        <f>'Декември 2025'!H58</f>
        <v/>
      </c>
      <c r="K58" s="36">
        <f>'Декември 2025'!I58</f>
        <v/>
      </c>
      <c r="L58" s="36">
        <f>'Декември 2025'!J58</f>
        <v/>
      </c>
      <c r="M58" s="6">
        <f>F58*J58</f>
        <v/>
      </c>
      <c r="N58" s="6">
        <f>F58*K58</f>
        <v/>
      </c>
      <c r="O58" s="6">
        <f>F58*L58</f>
        <v/>
      </c>
      <c r="P58" s="16">
        <f>N58-O58</f>
        <v/>
      </c>
      <c r="Q58" s="7">
        <f>IF(I58&gt;0, (I58-N58)/I58, 0)</f>
        <v/>
      </c>
      <c r="R58" s="7">
        <f>IF(I58&gt;0, (I58-O58)/I58, 0)</f>
        <v/>
      </c>
    </row>
    <row r="59" ht="19" customHeight="1">
      <c r="A59" s="41" t="inlineStr">
        <is>
          <t>2974</t>
        </is>
      </c>
      <c r="B59" s="41" t="inlineStr">
        <is>
          <t>MDLZ</t>
        </is>
      </c>
      <c r="C59" s="42" t="inlineStr">
        <is>
          <t>Белвита  Лешник и Мед 50гр.</t>
        </is>
      </c>
      <c r="D59" s="24">
        <f>'Декември 2025'!D59</f>
        <v/>
      </c>
      <c r="E59" s="24">
        <f>'Януари 2026'!D59</f>
        <v/>
      </c>
      <c r="F59" s="24">
        <f>D59+E59</f>
        <v/>
      </c>
      <c r="G59" s="6">
        <f>'Декември 2025'!E59</f>
        <v/>
      </c>
      <c r="H59" s="6">
        <f>'Януари 2026'!E59</f>
        <v/>
      </c>
      <c r="I59" s="6">
        <f>G59+H59</f>
        <v/>
      </c>
      <c r="J59" s="36">
        <f>'Декември 2025'!H59</f>
        <v/>
      </c>
      <c r="K59" s="36">
        <f>'Декември 2025'!I59</f>
        <v/>
      </c>
      <c r="L59" s="36">
        <f>'Декември 2025'!J59</f>
        <v/>
      </c>
      <c r="M59" s="6">
        <f>F59*J59</f>
        <v/>
      </c>
      <c r="N59" s="6">
        <f>F59*K59</f>
        <v/>
      </c>
      <c r="O59" s="6">
        <f>F59*L59</f>
        <v/>
      </c>
      <c r="P59" s="16">
        <f>N59-O59</f>
        <v/>
      </c>
      <c r="Q59" s="7">
        <f>IF(I59&gt;0, (I59-N59)/I59, 0)</f>
        <v/>
      </c>
      <c r="R59" s="7">
        <f>IF(I59&gt;0, (I59-O59)/I59, 0)</f>
        <v/>
      </c>
    </row>
    <row r="60" ht="19" customHeight="1">
      <c r="A60" s="41" t="inlineStr">
        <is>
          <t>17314</t>
        </is>
      </c>
      <c r="B60" s="41" t="inlineStr">
        <is>
          <t>MDLZ</t>
        </is>
      </c>
      <c r="C60" s="42" t="inlineStr">
        <is>
          <t>Б-ти Милка Шокоминис 150гр.</t>
        </is>
      </c>
      <c r="D60" s="24">
        <f>'Декември 2025'!D60</f>
        <v/>
      </c>
      <c r="E60" s="24">
        <f>'Януари 2026'!D60</f>
        <v/>
      </c>
      <c r="F60" s="24">
        <f>D60+E60</f>
        <v/>
      </c>
      <c r="G60" s="6">
        <f>'Декември 2025'!E60</f>
        <v/>
      </c>
      <c r="H60" s="6">
        <f>'Януари 2026'!E60</f>
        <v/>
      </c>
      <c r="I60" s="6">
        <f>G60+H60</f>
        <v/>
      </c>
      <c r="J60" s="36">
        <f>'Декември 2025'!H60</f>
        <v/>
      </c>
      <c r="K60" s="36">
        <f>'Декември 2025'!I60</f>
        <v/>
      </c>
      <c r="L60" s="36">
        <f>'Декември 2025'!J60</f>
        <v/>
      </c>
      <c r="M60" s="6">
        <f>F60*J60</f>
        <v/>
      </c>
      <c r="N60" s="6">
        <f>F60*K60</f>
        <v/>
      </c>
      <c r="O60" s="6">
        <f>F60*L60</f>
        <v/>
      </c>
      <c r="P60" s="16">
        <f>N60-O60</f>
        <v/>
      </c>
      <c r="Q60" s="7">
        <f>IF(I60&gt;0, (I60-N60)/I60, 0)</f>
        <v/>
      </c>
      <c r="R60" s="7">
        <f>IF(I60&gt;0, (I60-O60)/I60, 0)</f>
        <v/>
      </c>
    </row>
    <row r="61" ht="19" customHeight="1">
      <c r="A61" s="41" t="inlineStr">
        <is>
          <t>2930</t>
        </is>
      </c>
      <c r="B61" s="41" t="inlineStr">
        <is>
          <t>MDLZ</t>
        </is>
      </c>
      <c r="C61" s="42" t="inlineStr">
        <is>
          <t>Белвита  Шоколад 50гр.</t>
        </is>
      </c>
      <c r="D61" s="24">
        <f>'Декември 2025'!D61</f>
        <v/>
      </c>
      <c r="E61" s="24">
        <f>'Януари 2026'!D61</f>
        <v/>
      </c>
      <c r="F61" s="24">
        <f>D61+E61</f>
        <v/>
      </c>
      <c r="G61" s="6">
        <f>'Декември 2025'!E61</f>
        <v/>
      </c>
      <c r="H61" s="6">
        <f>'Януари 2026'!E61</f>
        <v/>
      </c>
      <c r="I61" s="6">
        <f>G61+H61</f>
        <v/>
      </c>
      <c r="J61" s="36">
        <f>'Декември 2025'!H61</f>
        <v/>
      </c>
      <c r="K61" s="36">
        <f>'Декември 2025'!I61</f>
        <v/>
      </c>
      <c r="L61" s="36">
        <f>'Декември 2025'!J61</f>
        <v/>
      </c>
      <c r="M61" s="6">
        <f>F61*J61</f>
        <v/>
      </c>
      <c r="N61" s="6">
        <f>F61*K61</f>
        <v/>
      </c>
      <c r="O61" s="6">
        <f>F61*L61</f>
        <v/>
      </c>
      <c r="P61" s="16">
        <f>N61-O61</f>
        <v/>
      </c>
      <c r="Q61" s="7">
        <f>IF(I61&gt;0, (I61-N61)/I61, 0)</f>
        <v/>
      </c>
      <c r="R61" s="7">
        <f>IF(I61&gt;0, (I61-O61)/I61, 0)</f>
        <v/>
      </c>
    </row>
    <row r="62" ht="19" customHeight="1">
      <c r="A62" s="41" t="inlineStr">
        <is>
          <t>5148</t>
        </is>
      </c>
      <c r="B62" s="41" t="inlineStr">
        <is>
          <t>MDLZ</t>
        </is>
      </c>
      <c r="C62" s="42" t="inlineStr">
        <is>
          <t>Белвита Софт Пълнеж Шоко 50гр.</t>
        </is>
      </c>
      <c r="D62" s="24">
        <f>'Декември 2025'!D62</f>
        <v/>
      </c>
      <c r="E62" s="24">
        <f>'Януари 2026'!D62</f>
        <v/>
      </c>
      <c r="F62" s="24">
        <f>D62+E62</f>
        <v/>
      </c>
      <c r="G62" s="6">
        <f>'Декември 2025'!E62</f>
        <v/>
      </c>
      <c r="H62" s="6">
        <f>'Януари 2026'!E62</f>
        <v/>
      </c>
      <c r="I62" s="6">
        <f>G62+H62</f>
        <v/>
      </c>
      <c r="J62" s="36">
        <f>'Декември 2025'!H62</f>
        <v/>
      </c>
      <c r="K62" s="36">
        <f>'Декември 2025'!I62</f>
        <v/>
      </c>
      <c r="L62" s="36">
        <f>'Декември 2025'!J62</f>
        <v/>
      </c>
      <c r="M62" s="6">
        <f>F62*J62</f>
        <v/>
      </c>
      <c r="N62" s="6">
        <f>F62*K62</f>
        <v/>
      </c>
      <c r="O62" s="6">
        <f>F62*L62</f>
        <v/>
      </c>
      <c r="P62" s="16">
        <f>N62-O62</f>
        <v/>
      </c>
      <c r="Q62" s="7">
        <f>IF(I62&gt;0, (I62-N62)/I62, 0)</f>
        <v/>
      </c>
      <c r="R62" s="7">
        <f>IF(I62&gt;0, (I62-O62)/I62, 0)</f>
        <v/>
      </c>
    </row>
    <row r="63" ht="19" customHeight="1">
      <c r="A63" s="41" t="inlineStr">
        <is>
          <t>2681</t>
        </is>
      </c>
      <c r="B63" s="41" t="inlineStr">
        <is>
          <t>MDLZ</t>
        </is>
      </c>
      <c r="C63" s="42" t="inlineStr">
        <is>
          <t>Б-ти Милка Сандвич 260гр.</t>
        </is>
      </c>
      <c r="D63" s="24">
        <f>'Декември 2025'!D63</f>
        <v/>
      </c>
      <c r="E63" s="24">
        <f>'Януари 2026'!D63</f>
        <v/>
      </c>
      <c r="F63" s="24">
        <f>D63+E63</f>
        <v/>
      </c>
      <c r="G63" s="6">
        <f>'Декември 2025'!E63</f>
        <v/>
      </c>
      <c r="H63" s="6">
        <f>'Януари 2026'!E63</f>
        <v/>
      </c>
      <c r="I63" s="6">
        <f>G63+H63</f>
        <v/>
      </c>
      <c r="J63" s="36">
        <f>'Декември 2025'!H63</f>
        <v/>
      </c>
      <c r="K63" s="36">
        <f>'Декември 2025'!I63</f>
        <v/>
      </c>
      <c r="L63" s="36">
        <f>'Декември 2025'!J63</f>
        <v/>
      </c>
      <c r="M63" s="6">
        <f>F63*J63</f>
        <v/>
      </c>
      <c r="N63" s="6">
        <f>F63*K63</f>
        <v/>
      </c>
      <c r="O63" s="6">
        <f>F63*L63</f>
        <v/>
      </c>
      <c r="P63" s="16">
        <f>N63-O63</f>
        <v/>
      </c>
      <c r="Q63" s="7">
        <f>IF(I63&gt;0, (I63-N63)/I63, 0)</f>
        <v/>
      </c>
      <c r="R63" s="7">
        <f>IF(I63&gt;0, (I63-O63)/I63, 0)</f>
        <v/>
      </c>
    </row>
    <row r="64" ht="19" customHeight="1">
      <c r="A64" s="41" t="inlineStr">
        <is>
          <t>17444</t>
        </is>
      </c>
      <c r="B64" s="41" t="inlineStr">
        <is>
          <t>MDLZ</t>
        </is>
      </c>
      <c r="C64" s="42" t="inlineStr">
        <is>
          <t>Милка Мини старс бял шоколад 150г</t>
        </is>
      </c>
      <c r="D64" s="24">
        <f>'Декември 2025'!D64</f>
        <v/>
      </c>
      <c r="E64" s="24">
        <f>'Януари 2026'!D64</f>
        <v/>
      </c>
      <c r="F64" s="24">
        <f>D64+E64</f>
        <v/>
      </c>
      <c r="G64" s="6">
        <f>'Декември 2025'!E64</f>
        <v/>
      </c>
      <c r="H64" s="6">
        <f>'Януари 2026'!E64</f>
        <v/>
      </c>
      <c r="I64" s="6">
        <f>G64+H64</f>
        <v/>
      </c>
      <c r="J64" s="36">
        <f>'Декември 2025'!H64</f>
        <v/>
      </c>
      <c r="K64" s="36">
        <f>'Декември 2025'!I64</f>
        <v/>
      </c>
      <c r="L64" s="36">
        <f>'Декември 2025'!J64</f>
        <v/>
      </c>
      <c r="M64" s="6">
        <f>F64*J64</f>
        <v/>
      </c>
      <c r="N64" s="6">
        <f>F64*K64</f>
        <v/>
      </c>
      <c r="O64" s="6">
        <f>F64*L64</f>
        <v/>
      </c>
      <c r="P64" s="16">
        <f>N64-O64</f>
        <v/>
      </c>
      <c r="Q64" s="7">
        <f>IF(I64&gt;0, (I64-N64)/I64, 0)</f>
        <v/>
      </c>
      <c r="R64" s="7">
        <f>IF(I64&gt;0, (I64-O64)/I64, 0)</f>
        <v/>
      </c>
    </row>
    <row r="65" ht="19" customHeight="1">
      <c r="A65" s="41" t="inlineStr">
        <is>
          <t>4836</t>
        </is>
      </c>
      <c r="B65" s="41" t="inlineStr">
        <is>
          <t>MDLZ</t>
        </is>
      </c>
      <c r="C65" s="42" t="inlineStr">
        <is>
          <t>Б-ти Милка Кукис Орео 156гр.</t>
        </is>
      </c>
      <c r="D65" s="24">
        <f>'Декември 2025'!D65</f>
        <v/>
      </c>
      <c r="E65" s="24">
        <f>'Януари 2026'!D65</f>
        <v/>
      </c>
      <c r="F65" s="24">
        <f>D65+E65</f>
        <v/>
      </c>
      <c r="G65" s="6">
        <f>'Декември 2025'!E65</f>
        <v/>
      </c>
      <c r="H65" s="6">
        <f>'Януари 2026'!E65</f>
        <v/>
      </c>
      <c r="I65" s="6">
        <f>G65+H65</f>
        <v/>
      </c>
      <c r="J65" s="36">
        <f>'Декември 2025'!H65</f>
        <v/>
      </c>
      <c r="K65" s="36">
        <f>'Декември 2025'!I65</f>
        <v/>
      </c>
      <c r="L65" s="36">
        <f>'Декември 2025'!J65</f>
        <v/>
      </c>
      <c r="M65" s="6">
        <f>F65*J65</f>
        <v/>
      </c>
      <c r="N65" s="6">
        <f>F65*K65</f>
        <v/>
      </c>
      <c r="O65" s="6">
        <f>F65*L65</f>
        <v/>
      </c>
      <c r="P65" s="16">
        <f>N65-O65</f>
        <v/>
      </c>
      <c r="Q65" s="7">
        <f>IF(I65&gt;0, (I65-N65)/I65, 0)</f>
        <v/>
      </c>
      <c r="R65" s="7">
        <f>IF(I65&gt;0, (I65-O65)/I65, 0)</f>
        <v/>
      </c>
    </row>
    <row r="66" ht="19" customHeight="1">
      <c r="A66" s="41" t="inlineStr">
        <is>
          <t>13314</t>
        </is>
      </c>
      <c r="B66" s="41" t="inlineStr">
        <is>
          <t>MDLZ</t>
        </is>
      </c>
      <c r="C66" s="42" t="inlineStr">
        <is>
          <t>Б-ти Милка Пълнозърнести 126гр.</t>
        </is>
      </c>
      <c r="D66" s="24">
        <f>'Декември 2025'!D66</f>
        <v/>
      </c>
      <c r="E66" s="24">
        <f>'Януари 2026'!D66</f>
        <v/>
      </c>
      <c r="F66" s="24">
        <f>D66+E66</f>
        <v/>
      </c>
      <c r="G66" s="6">
        <f>'Декември 2025'!E66</f>
        <v/>
      </c>
      <c r="H66" s="6">
        <f>'Януари 2026'!E66</f>
        <v/>
      </c>
      <c r="I66" s="6">
        <f>G66+H66</f>
        <v/>
      </c>
      <c r="J66" s="36">
        <f>'Декември 2025'!H66</f>
        <v/>
      </c>
      <c r="K66" s="36">
        <f>'Декември 2025'!I66</f>
        <v/>
      </c>
      <c r="L66" s="36">
        <f>'Декември 2025'!J66</f>
        <v/>
      </c>
      <c r="M66" s="6">
        <f>F66*J66</f>
        <v/>
      </c>
      <c r="N66" s="6">
        <f>F66*K66</f>
        <v/>
      </c>
      <c r="O66" s="6">
        <f>F66*L66</f>
        <v/>
      </c>
      <c r="P66" s="16">
        <f>N66-O66</f>
        <v/>
      </c>
      <c r="Q66" s="7">
        <f>IF(I66&gt;0, (I66-N66)/I66, 0)</f>
        <v/>
      </c>
      <c r="R66" s="7">
        <f>IF(I66&gt;0, (I66-O66)/I66, 0)</f>
        <v/>
      </c>
    </row>
    <row r="67" ht="19" customHeight="1">
      <c r="A67" s="41" t="inlineStr">
        <is>
          <t>12097</t>
        </is>
      </c>
      <c r="B67" s="41" t="inlineStr">
        <is>
          <t>MDLZ</t>
        </is>
      </c>
      <c r="C67" s="42" t="inlineStr">
        <is>
          <t>Милка Цял лешник 250гр.</t>
        </is>
      </c>
      <c r="D67" s="24">
        <f>'Декември 2025'!D67</f>
        <v/>
      </c>
      <c r="E67" s="24">
        <f>'Януари 2026'!D67</f>
        <v/>
      </c>
      <c r="F67" s="24">
        <f>D67+E67</f>
        <v/>
      </c>
      <c r="G67" s="6">
        <f>'Декември 2025'!E67</f>
        <v/>
      </c>
      <c r="H67" s="6">
        <f>'Януари 2026'!E67</f>
        <v/>
      </c>
      <c r="I67" s="6">
        <f>G67+H67</f>
        <v/>
      </c>
      <c r="J67" s="36">
        <f>'Декември 2025'!H67</f>
        <v/>
      </c>
      <c r="K67" s="36">
        <f>'Декември 2025'!I67</f>
        <v/>
      </c>
      <c r="L67" s="36">
        <f>'Декември 2025'!J67</f>
        <v/>
      </c>
      <c r="M67" s="6">
        <f>F67*J67</f>
        <v/>
      </c>
      <c r="N67" s="6">
        <f>F67*K67</f>
        <v/>
      </c>
      <c r="O67" s="6">
        <f>F67*L67</f>
        <v/>
      </c>
      <c r="P67" s="16">
        <f>N67-O67</f>
        <v/>
      </c>
      <c r="Q67" s="7">
        <f>IF(I67&gt;0, (I67-N67)/I67, 0)</f>
        <v/>
      </c>
      <c r="R67" s="7">
        <f>IF(I67&gt;0, (I67-O67)/I67, 0)</f>
        <v/>
      </c>
    </row>
    <row r="68" ht="19" customHeight="1">
      <c r="A68" s="41" t="inlineStr">
        <is>
          <t>16600</t>
        </is>
      </c>
      <c r="B68" s="41" t="inlineStr">
        <is>
          <t>MDLZ</t>
        </is>
      </c>
      <c r="C68" s="42" t="inlineStr">
        <is>
          <t>Б-ти Орео 176гр.</t>
        </is>
      </c>
      <c r="D68" s="24">
        <f>'Декември 2025'!D68</f>
        <v/>
      </c>
      <c r="E68" s="24">
        <f>'Януари 2026'!D68</f>
        <v/>
      </c>
      <c r="F68" s="24">
        <f>D68+E68</f>
        <v/>
      </c>
      <c r="G68" s="6">
        <f>'Декември 2025'!E68</f>
        <v/>
      </c>
      <c r="H68" s="6">
        <f>'Януари 2026'!E68</f>
        <v/>
      </c>
      <c r="I68" s="6">
        <f>G68+H68</f>
        <v/>
      </c>
      <c r="J68" s="36">
        <f>'Декември 2025'!H68</f>
        <v/>
      </c>
      <c r="K68" s="36">
        <f>'Декември 2025'!I68</f>
        <v/>
      </c>
      <c r="L68" s="36">
        <f>'Декември 2025'!J68</f>
        <v/>
      </c>
      <c r="M68" s="6">
        <f>F68*J68</f>
        <v/>
      </c>
      <c r="N68" s="6">
        <f>F68*K68</f>
        <v/>
      </c>
      <c r="O68" s="6">
        <f>F68*L68</f>
        <v/>
      </c>
      <c r="P68" s="16">
        <f>N68-O68</f>
        <v/>
      </c>
      <c r="Q68" s="7">
        <f>IF(I68&gt;0, (I68-N68)/I68, 0)</f>
        <v/>
      </c>
      <c r="R68" s="7">
        <f>IF(I68&gt;0, (I68-O68)/I68, 0)</f>
        <v/>
      </c>
    </row>
    <row r="69" ht="19" customHeight="1">
      <c r="A69" s="41" t="inlineStr">
        <is>
          <t>632529</t>
        </is>
      </c>
      <c r="B69" s="41" t="inlineStr">
        <is>
          <t>MDLZ</t>
        </is>
      </c>
      <c r="C69" s="42" t="inlineStr">
        <is>
          <t>Mилка бял 90 гр. НОВ</t>
        </is>
      </c>
      <c r="D69" s="24">
        <f>'Декември 2025'!D69</f>
        <v/>
      </c>
      <c r="E69" s="24">
        <f>'Януари 2026'!D69</f>
        <v/>
      </c>
      <c r="F69" s="24">
        <f>D69+E69</f>
        <v/>
      </c>
      <c r="G69" s="6">
        <f>'Декември 2025'!E69</f>
        <v/>
      </c>
      <c r="H69" s="6">
        <f>'Януари 2026'!E69</f>
        <v/>
      </c>
      <c r="I69" s="6">
        <f>G69+H69</f>
        <v/>
      </c>
      <c r="J69" s="36">
        <f>'Декември 2025'!H69</f>
        <v/>
      </c>
      <c r="K69" s="36">
        <f>'Декември 2025'!I69</f>
        <v/>
      </c>
      <c r="L69" s="36">
        <f>'Декември 2025'!J69</f>
        <v/>
      </c>
      <c r="M69" s="6">
        <f>F69*J69</f>
        <v/>
      </c>
      <c r="N69" s="6">
        <f>F69*K69</f>
        <v/>
      </c>
      <c r="O69" s="6">
        <f>F69*L69</f>
        <v/>
      </c>
      <c r="P69" s="16">
        <f>N69-O69</f>
        <v/>
      </c>
      <c r="Q69" s="7">
        <f>IF(I69&gt;0, (I69-N69)/I69, 0)</f>
        <v/>
      </c>
      <c r="R69" s="7">
        <f>IF(I69&gt;0, (I69-O69)/I69, 0)</f>
        <v/>
      </c>
    </row>
    <row r="70" ht="19" customHeight="1">
      <c r="A70" s="41" t="inlineStr">
        <is>
          <t>17446</t>
        </is>
      </c>
      <c r="B70" s="41" t="inlineStr">
        <is>
          <t>MDLZ</t>
        </is>
      </c>
      <c r="C70" s="42" t="inlineStr">
        <is>
          <t>Милка Мини старс шоколад 37,5г</t>
        </is>
      </c>
      <c r="D70" s="24">
        <f>'Декември 2025'!D70</f>
        <v/>
      </c>
      <c r="E70" s="24">
        <f>'Януари 2026'!D70</f>
        <v/>
      </c>
      <c r="F70" s="24">
        <f>D70+E70</f>
        <v/>
      </c>
      <c r="G70" s="6">
        <f>'Декември 2025'!E70</f>
        <v/>
      </c>
      <c r="H70" s="6">
        <f>'Януари 2026'!E70</f>
        <v/>
      </c>
      <c r="I70" s="6">
        <f>G70+H70</f>
        <v/>
      </c>
      <c r="J70" s="36">
        <f>'Декември 2025'!H70</f>
        <v/>
      </c>
      <c r="K70" s="36">
        <f>'Декември 2025'!I70</f>
        <v/>
      </c>
      <c r="L70" s="36">
        <f>'Декември 2025'!J70</f>
        <v/>
      </c>
      <c r="M70" s="6">
        <f>F70*J70</f>
        <v/>
      </c>
      <c r="N70" s="6">
        <f>F70*K70</f>
        <v/>
      </c>
      <c r="O70" s="6">
        <f>F70*L70</f>
        <v/>
      </c>
      <c r="P70" s="16">
        <f>N70-O70</f>
        <v/>
      </c>
      <c r="Q70" s="7">
        <f>IF(I70&gt;0, (I70-N70)/I70, 0)</f>
        <v/>
      </c>
      <c r="R70" s="7">
        <f>IF(I70&gt;0, (I70-O70)/I70, 0)</f>
        <v/>
      </c>
    </row>
    <row r="71" ht="19" customHeight="1">
      <c r="A71" s="41" t="inlineStr">
        <is>
          <t>633071</t>
        </is>
      </c>
      <c r="B71" s="41" t="inlineStr">
        <is>
          <t>MDLZ</t>
        </is>
      </c>
      <c r="C71" s="42" t="inlineStr">
        <is>
          <t>Милка Milkinis 100гр.</t>
        </is>
      </c>
      <c r="D71" s="24">
        <f>'Декември 2025'!D71</f>
        <v/>
      </c>
      <c r="E71" s="24">
        <f>'Януари 2026'!D71</f>
        <v/>
      </c>
      <c r="F71" s="24">
        <f>D71+E71</f>
        <v/>
      </c>
      <c r="G71" s="6">
        <f>'Декември 2025'!E71</f>
        <v/>
      </c>
      <c r="H71" s="6">
        <f>'Януари 2026'!E71</f>
        <v/>
      </c>
      <c r="I71" s="6">
        <f>G71+H71</f>
        <v/>
      </c>
      <c r="J71" s="36">
        <f>'Декември 2025'!H71</f>
        <v/>
      </c>
      <c r="K71" s="36">
        <f>'Декември 2025'!I71</f>
        <v/>
      </c>
      <c r="L71" s="36">
        <f>'Декември 2025'!J71</f>
        <v/>
      </c>
      <c r="M71" s="6">
        <f>F71*J71</f>
        <v/>
      </c>
      <c r="N71" s="6">
        <f>F71*K71</f>
        <v/>
      </c>
      <c r="O71" s="6">
        <f>F71*L71</f>
        <v/>
      </c>
      <c r="P71" s="16">
        <f>N71-O71</f>
        <v/>
      </c>
      <c r="Q71" s="7">
        <f>IF(I71&gt;0, (I71-N71)/I71, 0)</f>
        <v/>
      </c>
      <c r="R71" s="7">
        <f>IF(I71&gt;0, (I71-O71)/I71, 0)</f>
        <v/>
      </c>
    </row>
    <row r="72" ht="19" customHeight="1">
      <c r="A72" s="41" t="inlineStr">
        <is>
          <t>632525</t>
        </is>
      </c>
      <c r="B72" s="41" t="inlineStr">
        <is>
          <t>MDLZ</t>
        </is>
      </c>
      <c r="C72" s="42" t="inlineStr">
        <is>
          <t>Милка лешници 90 гр. НОВ</t>
        </is>
      </c>
      <c r="D72" s="24">
        <f>'Декември 2025'!D72</f>
        <v/>
      </c>
      <c r="E72" s="24">
        <f>'Януари 2026'!D72</f>
        <v/>
      </c>
      <c r="F72" s="24">
        <f>D72+E72</f>
        <v/>
      </c>
      <c r="G72" s="6">
        <f>'Декември 2025'!E72</f>
        <v/>
      </c>
      <c r="H72" s="6">
        <f>'Януари 2026'!E72</f>
        <v/>
      </c>
      <c r="I72" s="6">
        <f>G72+H72</f>
        <v/>
      </c>
      <c r="J72" s="36">
        <f>'Декември 2025'!H72</f>
        <v/>
      </c>
      <c r="K72" s="36">
        <f>'Декември 2025'!I72</f>
        <v/>
      </c>
      <c r="L72" s="36">
        <f>'Декември 2025'!J72</f>
        <v/>
      </c>
      <c r="M72" s="6">
        <f>F72*J72</f>
        <v/>
      </c>
      <c r="N72" s="6">
        <f>F72*K72</f>
        <v/>
      </c>
      <c r="O72" s="6">
        <f>F72*L72</f>
        <v/>
      </c>
      <c r="P72" s="16">
        <f>N72-O72</f>
        <v/>
      </c>
      <c r="Q72" s="7">
        <f>IF(I72&gt;0, (I72-N72)/I72, 0)</f>
        <v/>
      </c>
      <c r="R72" s="7">
        <f>IF(I72&gt;0, (I72-O72)/I72, 0)</f>
        <v/>
      </c>
    </row>
    <row r="73" ht="19" customHeight="1">
      <c r="A73" s="41" t="inlineStr">
        <is>
          <t>630297</t>
        </is>
      </c>
      <c r="B73" s="41" t="inlineStr">
        <is>
          <t>MDLZ</t>
        </is>
      </c>
      <c r="C73" s="42" t="inlineStr">
        <is>
          <t>Морени 36гр.</t>
        </is>
      </c>
      <c r="D73" s="24">
        <f>'Декември 2025'!D73</f>
        <v/>
      </c>
      <c r="E73" s="24">
        <f>'Януари 2026'!D73</f>
        <v/>
      </c>
      <c r="F73" s="24">
        <f>D73+E73</f>
        <v/>
      </c>
      <c r="G73" s="6">
        <f>'Декември 2025'!E73</f>
        <v/>
      </c>
      <c r="H73" s="6">
        <f>'Януари 2026'!E73</f>
        <v/>
      </c>
      <c r="I73" s="6">
        <f>G73+H73</f>
        <v/>
      </c>
      <c r="J73" s="36">
        <f>'Декември 2025'!H73</f>
        <v/>
      </c>
      <c r="K73" s="36">
        <f>'Декември 2025'!I73</f>
        <v/>
      </c>
      <c r="L73" s="36">
        <f>'Декември 2025'!J73</f>
        <v/>
      </c>
      <c r="M73" s="6">
        <f>F73*J73</f>
        <v/>
      </c>
      <c r="N73" s="6">
        <f>F73*K73</f>
        <v/>
      </c>
      <c r="O73" s="6">
        <f>F73*L73</f>
        <v/>
      </c>
      <c r="P73" s="16">
        <f>N73-O73</f>
        <v/>
      </c>
      <c r="Q73" s="7">
        <f>IF(I73&gt;0, (I73-N73)/I73, 0)</f>
        <v/>
      </c>
      <c r="R73" s="7">
        <f>IF(I73&gt;0, (I73-O73)/I73, 0)</f>
        <v/>
      </c>
    </row>
    <row r="74" ht="19" customHeight="1">
      <c r="A74" s="41" t="inlineStr">
        <is>
          <t>10535</t>
        </is>
      </c>
      <c r="B74" s="41" t="inlineStr">
        <is>
          <t>MDLZ</t>
        </is>
      </c>
      <c r="C74" s="42" t="inlineStr">
        <is>
          <t>Б-ти Милка Шоко крава 40гр.</t>
        </is>
      </c>
      <c r="D74" s="24">
        <f>'Декември 2025'!D74</f>
        <v/>
      </c>
      <c r="E74" s="24">
        <f>'Януари 2026'!D74</f>
        <v/>
      </c>
      <c r="F74" s="24">
        <f>D74+E74</f>
        <v/>
      </c>
      <c r="G74" s="6">
        <f>'Декември 2025'!E74</f>
        <v/>
      </c>
      <c r="H74" s="6">
        <f>'Януари 2026'!E74</f>
        <v/>
      </c>
      <c r="I74" s="6">
        <f>G74+H74</f>
        <v/>
      </c>
      <c r="J74" s="36">
        <f>'Декември 2025'!H74</f>
        <v/>
      </c>
      <c r="K74" s="36">
        <f>'Декември 2025'!I74</f>
        <v/>
      </c>
      <c r="L74" s="36">
        <f>'Декември 2025'!J74</f>
        <v/>
      </c>
      <c r="M74" s="6">
        <f>F74*J74</f>
        <v/>
      </c>
      <c r="N74" s="6">
        <f>F74*K74</f>
        <v/>
      </c>
      <c r="O74" s="6">
        <f>F74*L74</f>
        <v/>
      </c>
      <c r="P74" s="16">
        <f>N74-O74</f>
        <v/>
      </c>
      <c r="Q74" s="7">
        <f>IF(I74&gt;0, (I74-N74)/I74, 0)</f>
        <v/>
      </c>
      <c r="R74" s="7">
        <f>IF(I74&gt;0, (I74-O74)/I74, 0)</f>
        <v/>
      </c>
    </row>
    <row r="75" ht="19" customHeight="1">
      <c r="A75" s="41" t="inlineStr">
        <is>
          <t>2526</t>
        </is>
      </c>
      <c r="B75" s="41" t="inlineStr">
        <is>
          <t>MDLZ</t>
        </is>
      </c>
      <c r="C75" s="42" t="inlineStr">
        <is>
          <t>Милка Орео сандвич 92гр.</t>
        </is>
      </c>
      <c r="D75" s="24">
        <f>'Декември 2025'!D75</f>
        <v/>
      </c>
      <c r="E75" s="24">
        <f>'Януари 2026'!D75</f>
        <v/>
      </c>
      <c r="F75" s="24">
        <f>D75+E75</f>
        <v/>
      </c>
      <c r="G75" s="6">
        <f>'Декември 2025'!E75</f>
        <v/>
      </c>
      <c r="H75" s="6">
        <f>'Януари 2026'!E75</f>
        <v/>
      </c>
      <c r="I75" s="6">
        <f>G75+H75</f>
        <v/>
      </c>
      <c r="J75" s="36">
        <f>'Декември 2025'!H75</f>
        <v/>
      </c>
      <c r="K75" s="36">
        <f>'Декември 2025'!I75</f>
        <v/>
      </c>
      <c r="L75" s="36">
        <f>'Декември 2025'!J75</f>
        <v/>
      </c>
      <c r="M75" s="6">
        <f>F75*J75</f>
        <v/>
      </c>
      <c r="N75" s="6">
        <f>F75*K75</f>
        <v/>
      </c>
      <c r="O75" s="6">
        <f>F75*L75</f>
        <v/>
      </c>
      <c r="P75" s="16">
        <f>N75-O75</f>
        <v/>
      </c>
      <c r="Q75" s="7">
        <f>IF(I75&gt;0, (I75-N75)/I75, 0)</f>
        <v/>
      </c>
      <c r="R75" s="7">
        <f>IF(I75&gt;0, (I75-O75)/I75, 0)</f>
        <v/>
      </c>
    </row>
    <row r="76" ht="19" customHeight="1">
      <c r="A76" s="41" t="inlineStr">
        <is>
          <t>3071</t>
        </is>
      </c>
      <c r="B76" s="41" t="inlineStr">
        <is>
          <t>MDLZ</t>
        </is>
      </c>
      <c r="C76" s="42" t="inlineStr">
        <is>
          <t>Милка Ягодов чийзкейк  300гр.</t>
        </is>
      </c>
      <c r="D76" s="24">
        <f>'Декември 2025'!D76</f>
        <v/>
      </c>
      <c r="E76" s="24">
        <f>'Януари 2026'!D76</f>
        <v/>
      </c>
      <c r="F76" s="24">
        <f>D76+E76</f>
        <v/>
      </c>
      <c r="G76" s="6">
        <f>'Декември 2025'!E76</f>
        <v/>
      </c>
      <c r="H76" s="6">
        <f>'Януари 2026'!E76</f>
        <v/>
      </c>
      <c r="I76" s="6">
        <f>G76+H76</f>
        <v/>
      </c>
      <c r="J76" s="36">
        <f>'Декември 2025'!H76</f>
        <v/>
      </c>
      <c r="K76" s="36">
        <f>'Декември 2025'!I76</f>
        <v/>
      </c>
      <c r="L76" s="36">
        <f>'Декември 2025'!J76</f>
        <v/>
      </c>
      <c r="M76" s="6">
        <f>F76*J76</f>
        <v/>
      </c>
      <c r="N76" s="6">
        <f>F76*K76</f>
        <v/>
      </c>
      <c r="O76" s="6">
        <f>F76*L76</f>
        <v/>
      </c>
      <c r="P76" s="16">
        <f>N76-O76</f>
        <v/>
      </c>
      <c r="Q76" s="7">
        <f>IF(I76&gt;0, (I76-N76)/I76, 0)</f>
        <v/>
      </c>
      <c r="R76" s="7">
        <f>IF(I76&gt;0, (I76-O76)/I76, 0)</f>
        <v/>
      </c>
    </row>
    <row r="77" ht="19" customHeight="1">
      <c r="A77" s="41" t="inlineStr">
        <is>
          <t>6534</t>
        </is>
      </c>
      <c r="B77" s="41" t="inlineStr">
        <is>
          <t>MDLZ</t>
        </is>
      </c>
      <c r="C77" s="42" t="inlineStr">
        <is>
          <t>Милка Триоладе 280гр.</t>
        </is>
      </c>
      <c r="D77" s="24">
        <f>'Декември 2025'!D77</f>
        <v/>
      </c>
      <c r="E77" s="24">
        <f>'Януари 2026'!D77</f>
        <v/>
      </c>
      <c r="F77" s="24">
        <f>D77+E77</f>
        <v/>
      </c>
      <c r="G77" s="6">
        <f>'Декември 2025'!E77</f>
        <v/>
      </c>
      <c r="H77" s="6">
        <f>'Януари 2026'!E77</f>
        <v/>
      </c>
      <c r="I77" s="6">
        <f>G77+H77</f>
        <v/>
      </c>
      <c r="J77" s="36">
        <f>'Декември 2025'!H77</f>
        <v/>
      </c>
      <c r="K77" s="36">
        <f>'Декември 2025'!I77</f>
        <v/>
      </c>
      <c r="L77" s="36">
        <f>'Декември 2025'!J77</f>
        <v/>
      </c>
      <c r="M77" s="6">
        <f>F77*J77</f>
        <v/>
      </c>
      <c r="N77" s="6">
        <f>F77*K77</f>
        <v/>
      </c>
      <c r="O77" s="6">
        <f>F77*L77</f>
        <v/>
      </c>
      <c r="P77" s="16">
        <f>N77-O77</f>
        <v/>
      </c>
      <c r="Q77" s="7">
        <f>IF(I77&gt;0, (I77-N77)/I77, 0)</f>
        <v/>
      </c>
      <c r="R77" s="7">
        <f>IF(I77&gt;0, (I77-O77)/I77, 0)</f>
        <v/>
      </c>
    </row>
    <row r="78" ht="19" customHeight="1">
      <c r="A78" s="41" t="inlineStr">
        <is>
          <t>9802</t>
        </is>
      </c>
      <c r="B78" s="41" t="inlineStr">
        <is>
          <t>MDLZ</t>
        </is>
      </c>
      <c r="C78" s="42" t="inlineStr">
        <is>
          <t>Милка Млечна 250гр.</t>
        </is>
      </c>
      <c r="D78" s="24">
        <f>'Декември 2025'!D78</f>
        <v/>
      </c>
      <c r="E78" s="24">
        <f>'Януари 2026'!D78</f>
        <v/>
      </c>
      <c r="F78" s="24">
        <f>D78+E78</f>
        <v/>
      </c>
      <c r="G78" s="6">
        <f>'Декември 2025'!E78</f>
        <v/>
      </c>
      <c r="H78" s="6">
        <f>'Януари 2026'!E78</f>
        <v/>
      </c>
      <c r="I78" s="6">
        <f>G78+H78</f>
        <v/>
      </c>
      <c r="J78" s="36">
        <f>'Декември 2025'!H78</f>
        <v/>
      </c>
      <c r="K78" s="36">
        <f>'Декември 2025'!I78</f>
        <v/>
      </c>
      <c r="L78" s="36">
        <f>'Декември 2025'!J78</f>
        <v/>
      </c>
      <c r="M78" s="6">
        <f>F78*J78</f>
        <v/>
      </c>
      <c r="N78" s="6">
        <f>F78*K78</f>
        <v/>
      </c>
      <c r="O78" s="6">
        <f>F78*L78</f>
        <v/>
      </c>
      <c r="P78" s="16">
        <f>N78-O78</f>
        <v/>
      </c>
      <c r="Q78" s="7">
        <f>IF(I78&gt;0, (I78-N78)/I78, 0)</f>
        <v/>
      </c>
      <c r="R78" s="7">
        <f>IF(I78&gt;0, (I78-O78)/I78, 0)</f>
        <v/>
      </c>
    </row>
    <row r="79" ht="19" customHeight="1">
      <c r="A79" s="41" t="inlineStr">
        <is>
          <t>16325</t>
        </is>
      </c>
      <c r="B79" s="41" t="inlineStr">
        <is>
          <t>MDLZ</t>
        </is>
      </c>
      <c r="C79" s="42" t="inlineStr">
        <is>
          <t>Б-ти Милка Шококукис 135гр.</t>
        </is>
      </c>
      <c r="D79" s="24">
        <f>'Декември 2025'!D79</f>
        <v/>
      </c>
      <c r="E79" s="24">
        <f>'Януари 2026'!D79</f>
        <v/>
      </c>
      <c r="F79" s="24">
        <f>D79+E79</f>
        <v/>
      </c>
      <c r="G79" s="6">
        <f>'Декември 2025'!E79</f>
        <v/>
      </c>
      <c r="H79" s="6">
        <f>'Януари 2026'!E79</f>
        <v/>
      </c>
      <c r="I79" s="6">
        <f>G79+H79</f>
        <v/>
      </c>
      <c r="J79" s="36">
        <f>'Декември 2025'!H79</f>
        <v/>
      </c>
      <c r="K79" s="36">
        <f>'Декември 2025'!I79</f>
        <v/>
      </c>
      <c r="L79" s="36">
        <f>'Декември 2025'!J79</f>
        <v/>
      </c>
      <c r="M79" s="6">
        <f>F79*J79</f>
        <v/>
      </c>
      <c r="N79" s="6">
        <f>F79*K79</f>
        <v/>
      </c>
      <c r="O79" s="6">
        <f>F79*L79</f>
        <v/>
      </c>
      <c r="P79" s="16">
        <f>N79-O79</f>
        <v/>
      </c>
      <c r="Q79" s="7">
        <f>IF(I79&gt;0, (I79-N79)/I79, 0)</f>
        <v/>
      </c>
      <c r="R79" s="7">
        <f>IF(I79&gt;0, (I79-O79)/I79, 0)</f>
        <v/>
      </c>
    </row>
    <row r="80" ht="19" customHeight="1">
      <c r="A80" s="41" t="inlineStr">
        <is>
          <t>9663</t>
        </is>
      </c>
      <c r="B80" s="41" t="inlineStr">
        <is>
          <t>MDLZ</t>
        </is>
      </c>
      <c r="C80" s="42" t="inlineStr">
        <is>
          <t>Своге  млечен 80гр.</t>
        </is>
      </c>
      <c r="D80" s="24">
        <f>'Декември 2025'!D80</f>
        <v/>
      </c>
      <c r="E80" s="24">
        <f>'Януари 2026'!D80</f>
        <v/>
      </c>
      <c r="F80" s="24">
        <f>D80+E80</f>
        <v/>
      </c>
      <c r="G80" s="6">
        <f>'Декември 2025'!E80</f>
        <v/>
      </c>
      <c r="H80" s="6">
        <f>'Януари 2026'!E80</f>
        <v/>
      </c>
      <c r="I80" s="6">
        <f>G80+H80</f>
        <v/>
      </c>
      <c r="J80" s="36">
        <f>'Декември 2025'!H80</f>
        <v/>
      </c>
      <c r="K80" s="36">
        <f>'Декември 2025'!I80</f>
        <v/>
      </c>
      <c r="L80" s="36">
        <f>'Декември 2025'!J80</f>
        <v/>
      </c>
      <c r="M80" s="6">
        <f>F80*J80</f>
        <v/>
      </c>
      <c r="N80" s="6">
        <f>F80*K80</f>
        <v/>
      </c>
      <c r="O80" s="6">
        <f>F80*L80</f>
        <v/>
      </c>
      <c r="P80" s="16">
        <f>N80-O80</f>
        <v/>
      </c>
      <c r="Q80" s="7">
        <f>IF(I80&gt;0, (I80-N80)/I80, 0)</f>
        <v/>
      </c>
      <c r="R80" s="7">
        <f>IF(I80&gt;0, (I80-O80)/I80, 0)</f>
        <v/>
      </c>
    </row>
    <row r="81" ht="19" customHeight="1">
      <c r="A81" s="41" t="inlineStr">
        <is>
          <t>1533</t>
        </is>
      </c>
      <c r="B81" s="41" t="inlineStr">
        <is>
          <t>MDLZ</t>
        </is>
      </c>
      <c r="C81" s="42" t="inlineStr">
        <is>
          <t>Милка Малина 100гр.</t>
        </is>
      </c>
      <c r="D81" s="24">
        <f>'Декември 2025'!D81</f>
        <v/>
      </c>
      <c r="E81" s="24">
        <f>'Януари 2026'!D81</f>
        <v/>
      </c>
      <c r="F81" s="24">
        <f>D81+E81</f>
        <v/>
      </c>
      <c r="G81" s="6">
        <f>'Декември 2025'!E81</f>
        <v/>
      </c>
      <c r="H81" s="6">
        <f>'Януари 2026'!E81</f>
        <v/>
      </c>
      <c r="I81" s="6">
        <f>G81+H81</f>
        <v/>
      </c>
      <c r="J81" s="36">
        <f>'Декември 2025'!H81</f>
        <v/>
      </c>
      <c r="K81" s="36">
        <f>'Декември 2025'!I81</f>
        <v/>
      </c>
      <c r="L81" s="36">
        <f>'Декември 2025'!J81</f>
        <v/>
      </c>
      <c r="M81" s="6">
        <f>F81*J81</f>
        <v/>
      </c>
      <c r="N81" s="6">
        <f>F81*K81</f>
        <v/>
      </c>
      <c r="O81" s="6">
        <f>F81*L81</f>
        <v/>
      </c>
      <c r="P81" s="16">
        <f>N81-O81</f>
        <v/>
      </c>
      <c r="Q81" s="7">
        <f>IF(I81&gt;0, (I81-N81)/I81, 0)</f>
        <v/>
      </c>
      <c r="R81" s="7">
        <f>IF(I81&gt;0, (I81-O81)/I81, 0)</f>
        <v/>
      </c>
    </row>
    <row r="82" ht="19" customHeight="1">
      <c r="A82" s="41" t="inlineStr">
        <is>
          <t>10027</t>
        </is>
      </c>
      <c r="B82" s="41" t="inlineStr">
        <is>
          <t>MDLZ</t>
        </is>
      </c>
      <c r="C82" s="42" t="inlineStr">
        <is>
          <t>Сушард Фигаро 138гр.</t>
        </is>
      </c>
      <c r="D82" s="24">
        <f>'Декември 2025'!D82</f>
        <v/>
      </c>
      <c r="E82" s="24">
        <f>'Януари 2026'!D82</f>
        <v/>
      </c>
      <c r="F82" s="24">
        <f>D82+E82</f>
        <v/>
      </c>
      <c r="G82" s="6">
        <f>'Декември 2025'!E82</f>
        <v/>
      </c>
      <c r="H82" s="6">
        <f>'Януари 2026'!E82</f>
        <v/>
      </c>
      <c r="I82" s="6">
        <f>G82+H82</f>
        <v/>
      </c>
      <c r="J82" s="36">
        <f>'Декември 2025'!H82</f>
        <v/>
      </c>
      <c r="K82" s="36">
        <f>'Декември 2025'!I82</f>
        <v/>
      </c>
      <c r="L82" s="36">
        <f>'Декември 2025'!J82</f>
        <v/>
      </c>
      <c r="M82" s="6">
        <f>F82*J82</f>
        <v/>
      </c>
      <c r="N82" s="6">
        <f>F82*K82</f>
        <v/>
      </c>
      <c r="O82" s="6">
        <f>F82*L82</f>
        <v/>
      </c>
      <c r="P82" s="16">
        <f>N82-O82</f>
        <v/>
      </c>
      <c r="Q82" s="7">
        <f>IF(I82&gt;0, (I82-N82)/I82, 0)</f>
        <v/>
      </c>
      <c r="R82" s="7">
        <f>IF(I82&gt;0, (I82-O82)/I82, 0)</f>
        <v/>
      </c>
    </row>
    <row r="83" ht="19" customHeight="1">
      <c r="A83" s="41" t="inlineStr">
        <is>
          <t>11955</t>
        </is>
      </c>
      <c r="B83" s="41" t="inlineStr">
        <is>
          <t>MDLZ</t>
        </is>
      </c>
      <c r="C83" s="42" t="inlineStr">
        <is>
          <t>Б-ти Милка Шоко кейк 35гр.</t>
        </is>
      </c>
      <c r="D83" s="24">
        <f>'Декември 2025'!D83</f>
        <v/>
      </c>
      <c r="E83" s="24">
        <f>'Януари 2026'!D83</f>
        <v/>
      </c>
      <c r="F83" s="24">
        <f>D83+E83</f>
        <v/>
      </c>
      <c r="G83" s="6">
        <f>'Декември 2025'!E83</f>
        <v/>
      </c>
      <c r="H83" s="6">
        <f>'Януари 2026'!E83</f>
        <v/>
      </c>
      <c r="I83" s="6">
        <f>G83+H83</f>
        <v/>
      </c>
      <c r="J83" s="36">
        <f>'Декември 2025'!H83</f>
        <v/>
      </c>
      <c r="K83" s="36">
        <f>'Декември 2025'!I83</f>
        <v/>
      </c>
      <c r="L83" s="36">
        <f>'Декември 2025'!J83</f>
        <v/>
      </c>
      <c r="M83" s="6">
        <f>F83*J83</f>
        <v/>
      </c>
      <c r="N83" s="6">
        <f>F83*K83</f>
        <v/>
      </c>
      <c r="O83" s="6">
        <f>F83*L83</f>
        <v/>
      </c>
      <c r="P83" s="16">
        <f>N83-O83</f>
        <v/>
      </c>
      <c r="Q83" s="7">
        <f>IF(I83&gt;0, (I83-N83)/I83, 0)</f>
        <v/>
      </c>
      <c r="R83" s="7">
        <f>IF(I83&gt;0, (I83-O83)/I83, 0)</f>
        <v/>
      </c>
    </row>
    <row r="84" ht="19" customHeight="1">
      <c r="A84" s="41" t="inlineStr">
        <is>
          <t>13315</t>
        </is>
      </c>
      <c r="B84" s="41" t="inlineStr">
        <is>
          <t>MDLZ</t>
        </is>
      </c>
      <c r="C84" s="42" t="inlineStr">
        <is>
          <t>Б-ти Милка Шоко крава 120гр.</t>
        </is>
      </c>
      <c r="D84" s="24">
        <f>'Декември 2025'!D84</f>
        <v/>
      </c>
      <c r="E84" s="24">
        <f>'Януари 2026'!D84</f>
        <v/>
      </c>
      <c r="F84" s="24">
        <f>D84+E84</f>
        <v/>
      </c>
      <c r="G84" s="6">
        <f>'Декември 2025'!E84</f>
        <v/>
      </c>
      <c r="H84" s="6">
        <f>'Януари 2026'!E84</f>
        <v/>
      </c>
      <c r="I84" s="6">
        <f>G84+H84</f>
        <v/>
      </c>
      <c r="J84" s="36">
        <f>'Декември 2025'!H84</f>
        <v/>
      </c>
      <c r="K84" s="36">
        <f>'Декември 2025'!I84</f>
        <v/>
      </c>
      <c r="L84" s="36">
        <f>'Декември 2025'!J84</f>
        <v/>
      </c>
      <c r="M84" s="6">
        <f>F84*J84</f>
        <v/>
      </c>
      <c r="N84" s="6">
        <f>F84*K84</f>
        <v/>
      </c>
      <c r="O84" s="6">
        <f>F84*L84</f>
        <v/>
      </c>
      <c r="P84" s="16">
        <f>N84-O84</f>
        <v/>
      </c>
      <c r="Q84" s="7">
        <f>IF(I84&gt;0, (I84-N84)/I84, 0)</f>
        <v/>
      </c>
      <c r="R84" s="7">
        <f>IF(I84&gt;0, (I84-O84)/I84, 0)</f>
        <v/>
      </c>
    </row>
    <row r="85" ht="19" customHeight="1">
      <c r="A85" s="41" t="inlineStr">
        <is>
          <t>18038</t>
        </is>
      </c>
      <c r="B85" s="41" t="inlineStr">
        <is>
          <t>MDLZ</t>
        </is>
      </c>
      <c r="C85" s="42" t="inlineStr">
        <is>
          <t>Б-ти Милка Портокал 147гр.</t>
        </is>
      </c>
      <c r="D85" s="24">
        <f>'Декември 2025'!D85</f>
        <v/>
      </c>
      <c r="E85" s="24">
        <f>'Януари 2026'!D85</f>
        <v/>
      </c>
      <c r="F85" s="24">
        <f>D85+E85</f>
        <v/>
      </c>
      <c r="G85" s="6">
        <f>'Декември 2025'!E85</f>
        <v/>
      </c>
      <c r="H85" s="6">
        <f>'Януари 2026'!E85</f>
        <v/>
      </c>
      <c r="I85" s="6">
        <f>G85+H85</f>
        <v/>
      </c>
      <c r="J85" s="36">
        <f>'Декември 2025'!H85</f>
        <v/>
      </c>
      <c r="K85" s="36">
        <f>'Декември 2025'!I85</f>
        <v/>
      </c>
      <c r="L85" s="36">
        <f>'Декември 2025'!J85</f>
        <v/>
      </c>
      <c r="M85" s="6">
        <f>F85*J85</f>
        <v/>
      </c>
      <c r="N85" s="6">
        <f>F85*K85</f>
        <v/>
      </c>
      <c r="O85" s="6">
        <f>F85*L85</f>
        <v/>
      </c>
      <c r="P85" s="16">
        <f>N85-O85</f>
        <v/>
      </c>
      <c r="Q85" s="7">
        <f>IF(I85&gt;0, (I85-N85)/I85, 0)</f>
        <v/>
      </c>
      <c r="R85" s="7">
        <f>IF(I85&gt;0, (I85-O85)/I85, 0)</f>
        <v/>
      </c>
    </row>
    <row r="86" ht="19" customHeight="1">
      <c r="A86" s="41" t="inlineStr">
        <is>
          <t>1278</t>
        </is>
      </c>
      <c r="B86" s="41" t="inlineStr">
        <is>
          <t>MDLZ</t>
        </is>
      </c>
      <c r="C86" s="42" t="inlineStr">
        <is>
          <t>Б-ти Орео двоен крем 157гр.</t>
        </is>
      </c>
      <c r="D86" s="24">
        <f>'Декември 2025'!D86</f>
        <v/>
      </c>
      <c r="E86" s="24">
        <f>'Януари 2026'!D86</f>
        <v/>
      </c>
      <c r="F86" s="24">
        <f>D86+E86</f>
        <v/>
      </c>
      <c r="G86" s="6">
        <f>'Декември 2025'!E86</f>
        <v/>
      </c>
      <c r="H86" s="6">
        <f>'Януари 2026'!E86</f>
        <v/>
      </c>
      <c r="I86" s="6">
        <f>G86+H86</f>
        <v/>
      </c>
      <c r="J86" s="36">
        <f>'Декември 2025'!H86</f>
        <v/>
      </c>
      <c r="K86" s="36">
        <f>'Декември 2025'!I86</f>
        <v/>
      </c>
      <c r="L86" s="36">
        <f>'Декември 2025'!J86</f>
        <v/>
      </c>
      <c r="M86" s="6">
        <f>F86*J86</f>
        <v/>
      </c>
      <c r="N86" s="6">
        <f>F86*K86</f>
        <v/>
      </c>
      <c r="O86" s="6">
        <f>F86*L86</f>
        <v/>
      </c>
      <c r="P86" s="16">
        <f>N86-O86</f>
        <v/>
      </c>
      <c r="Q86" s="7">
        <f>IF(I86&gt;0, (I86-N86)/I86, 0)</f>
        <v/>
      </c>
      <c r="R86" s="7">
        <f>IF(I86&gt;0, (I86-O86)/I86, 0)</f>
        <v/>
      </c>
    </row>
    <row r="87" ht="19" customHeight="1">
      <c r="A87" s="41" t="inlineStr">
        <is>
          <t>12292</t>
        </is>
      </c>
      <c r="B87" s="41" t="inlineStr">
        <is>
          <t>MDLZ</t>
        </is>
      </c>
      <c r="C87" s="42" t="inlineStr">
        <is>
          <t>Милка Балончета бял 95гр.</t>
        </is>
      </c>
      <c r="D87" s="24">
        <f>'Декември 2025'!D87</f>
        <v/>
      </c>
      <c r="E87" s="24">
        <f>'Януари 2026'!D87</f>
        <v/>
      </c>
      <c r="F87" s="24">
        <f>D87+E87</f>
        <v/>
      </c>
      <c r="G87" s="6">
        <f>'Декември 2025'!E87</f>
        <v/>
      </c>
      <c r="H87" s="6">
        <f>'Януари 2026'!E87</f>
        <v/>
      </c>
      <c r="I87" s="6">
        <f>G87+H87</f>
        <v/>
      </c>
      <c r="J87" s="36">
        <f>'Декември 2025'!H87</f>
        <v/>
      </c>
      <c r="K87" s="36">
        <f>'Декември 2025'!I87</f>
        <v/>
      </c>
      <c r="L87" s="36">
        <f>'Декември 2025'!J87</f>
        <v/>
      </c>
      <c r="M87" s="6">
        <f>F87*J87</f>
        <v/>
      </c>
      <c r="N87" s="6">
        <f>F87*K87</f>
        <v/>
      </c>
      <c r="O87" s="6">
        <f>F87*L87</f>
        <v/>
      </c>
      <c r="P87" s="16">
        <f>N87-O87</f>
        <v/>
      </c>
      <c r="Q87" s="7">
        <f>IF(I87&gt;0, (I87-N87)/I87, 0)</f>
        <v/>
      </c>
      <c r="R87" s="7">
        <f>IF(I87&gt;0, (I87-O87)/I87, 0)</f>
        <v/>
      </c>
    </row>
    <row r="88" ht="19" customHeight="1">
      <c r="A88" s="41" t="inlineStr">
        <is>
          <t>865</t>
        </is>
      </c>
      <c r="B88" s="41" t="inlineStr">
        <is>
          <t>MDLZ</t>
        </is>
      </c>
      <c r="C88" s="42" t="inlineStr">
        <is>
          <t>Милка кексче Крава 140гр.</t>
        </is>
      </c>
      <c r="D88" s="24">
        <f>'Декември 2025'!D88</f>
        <v/>
      </c>
      <c r="E88" s="24">
        <f>'Януари 2026'!D88</f>
        <v/>
      </c>
      <c r="F88" s="24">
        <f>D88+E88</f>
        <v/>
      </c>
      <c r="G88" s="6">
        <f>'Декември 2025'!E88</f>
        <v/>
      </c>
      <c r="H88" s="6">
        <f>'Януари 2026'!E88</f>
        <v/>
      </c>
      <c r="I88" s="6">
        <f>G88+H88</f>
        <v/>
      </c>
      <c r="J88" s="36">
        <f>'Декември 2025'!H88</f>
        <v/>
      </c>
      <c r="K88" s="36">
        <f>'Декември 2025'!I88</f>
        <v/>
      </c>
      <c r="L88" s="36">
        <f>'Декември 2025'!J88</f>
        <v/>
      </c>
      <c r="M88" s="6">
        <f>F88*J88</f>
        <v/>
      </c>
      <c r="N88" s="6">
        <f>F88*K88</f>
        <v/>
      </c>
      <c r="O88" s="6">
        <f>F88*L88</f>
        <v/>
      </c>
      <c r="P88" s="16">
        <f>N88-O88</f>
        <v/>
      </c>
      <c r="Q88" s="7">
        <f>IF(I88&gt;0, (I88-N88)/I88, 0)</f>
        <v/>
      </c>
      <c r="R88" s="7">
        <f>IF(I88&gt;0, (I88-O88)/I88, 0)</f>
        <v/>
      </c>
    </row>
    <row r="89" ht="19" customHeight="1">
      <c r="A89" s="41" t="inlineStr">
        <is>
          <t>9243</t>
        </is>
      </c>
      <c r="B89" s="41" t="inlineStr">
        <is>
          <t>MDLZ</t>
        </is>
      </c>
      <c r="C89" s="42" t="inlineStr">
        <is>
          <t>Милка Крем бисквита 100гр.</t>
        </is>
      </c>
      <c r="D89" s="24">
        <f>'Декември 2025'!D89</f>
        <v/>
      </c>
      <c r="E89" s="24">
        <f>'Януари 2026'!D89</f>
        <v/>
      </c>
      <c r="F89" s="24">
        <f>D89+E89</f>
        <v/>
      </c>
      <c r="G89" s="6">
        <f>'Декември 2025'!E89</f>
        <v/>
      </c>
      <c r="H89" s="6">
        <f>'Януари 2026'!E89</f>
        <v/>
      </c>
      <c r="I89" s="6">
        <f>G89+H89</f>
        <v/>
      </c>
      <c r="J89" s="36">
        <f>'Декември 2025'!H89</f>
        <v/>
      </c>
      <c r="K89" s="36">
        <f>'Декември 2025'!I89</f>
        <v/>
      </c>
      <c r="L89" s="36">
        <f>'Декември 2025'!J89</f>
        <v/>
      </c>
      <c r="M89" s="6">
        <f>F89*J89</f>
        <v/>
      </c>
      <c r="N89" s="6">
        <f>F89*K89</f>
        <v/>
      </c>
      <c r="O89" s="6">
        <f>F89*L89</f>
        <v/>
      </c>
      <c r="P89" s="16">
        <f>N89-O89</f>
        <v/>
      </c>
      <c r="Q89" s="7">
        <f>IF(I89&gt;0, (I89-N89)/I89, 0)</f>
        <v/>
      </c>
      <c r="R89" s="7">
        <f>IF(I89&gt;0, (I89-O89)/I89, 0)</f>
        <v/>
      </c>
    </row>
    <row r="90" ht="19" customHeight="1">
      <c r="A90" s="41" t="inlineStr">
        <is>
          <t>17383</t>
        </is>
      </c>
      <c r="B90" s="41" t="inlineStr">
        <is>
          <t>MDLZ</t>
        </is>
      </c>
      <c r="C90" s="42" t="inlineStr">
        <is>
          <t>Б-ти Милка Шоколад 128гр.</t>
        </is>
      </c>
      <c r="D90" s="24">
        <f>'Декември 2025'!D90</f>
        <v/>
      </c>
      <c r="E90" s="24">
        <f>'Януари 2026'!D90</f>
        <v/>
      </c>
      <c r="F90" s="24">
        <f>D90+E90</f>
        <v/>
      </c>
      <c r="G90" s="6">
        <f>'Декември 2025'!E90</f>
        <v/>
      </c>
      <c r="H90" s="6">
        <f>'Януари 2026'!E90</f>
        <v/>
      </c>
      <c r="I90" s="6">
        <f>G90+H90</f>
        <v/>
      </c>
      <c r="J90" s="36">
        <f>'Декември 2025'!H90</f>
        <v/>
      </c>
      <c r="K90" s="36">
        <f>'Декември 2025'!I90</f>
        <v/>
      </c>
      <c r="L90" s="36">
        <f>'Декември 2025'!J90</f>
        <v/>
      </c>
      <c r="M90" s="6">
        <f>F90*J90</f>
        <v/>
      </c>
      <c r="N90" s="6">
        <f>F90*K90</f>
        <v/>
      </c>
      <c r="O90" s="6">
        <f>F90*L90</f>
        <v/>
      </c>
      <c r="P90" s="16">
        <f>N90-O90</f>
        <v/>
      </c>
      <c r="Q90" s="7">
        <f>IF(I90&gt;0, (I90-N90)/I90, 0)</f>
        <v/>
      </c>
      <c r="R90" s="7">
        <f>IF(I90&gt;0, (I90-O90)/I90, 0)</f>
        <v/>
      </c>
    </row>
    <row r="91" ht="19" customHeight="1">
      <c r="A91" s="41" t="inlineStr">
        <is>
          <t>3066</t>
        </is>
      </c>
      <c r="B91" s="41" t="inlineStr">
        <is>
          <t>MDLZ</t>
        </is>
      </c>
      <c r="C91" s="42" t="inlineStr">
        <is>
          <t>Милка Орео брауни 100гр.</t>
        </is>
      </c>
      <c r="D91" s="24">
        <f>'Декември 2025'!D91</f>
        <v/>
      </c>
      <c r="E91" s="24">
        <f>'Януари 2026'!D91</f>
        <v/>
      </c>
      <c r="F91" s="24">
        <f>D91+E91</f>
        <v/>
      </c>
      <c r="G91" s="6">
        <f>'Декември 2025'!E91</f>
        <v/>
      </c>
      <c r="H91" s="6">
        <f>'Януари 2026'!E91</f>
        <v/>
      </c>
      <c r="I91" s="6">
        <f>G91+H91</f>
        <v/>
      </c>
      <c r="J91" s="36">
        <f>'Декември 2025'!H91</f>
        <v/>
      </c>
      <c r="K91" s="36">
        <f>'Декември 2025'!I91</f>
        <v/>
      </c>
      <c r="L91" s="36">
        <f>'Декември 2025'!J91</f>
        <v/>
      </c>
      <c r="M91" s="6">
        <f>F91*J91</f>
        <v/>
      </c>
      <c r="N91" s="6">
        <f>F91*K91</f>
        <v/>
      </c>
      <c r="O91" s="6">
        <f>F91*L91</f>
        <v/>
      </c>
      <c r="P91" s="16">
        <f>N91-O91</f>
        <v/>
      </c>
      <c r="Q91" s="7">
        <f>IF(I91&gt;0, (I91-N91)/I91, 0)</f>
        <v/>
      </c>
      <c r="R91" s="7">
        <f>IF(I91&gt;0, (I91-O91)/I91, 0)</f>
        <v/>
      </c>
    </row>
    <row r="92" ht="19" customHeight="1">
      <c r="A92" s="41" t="inlineStr">
        <is>
          <t>1534</t>
        </is>
      </c>
      <c r="B92" s="41" t="inlineStr">
        <is>
          <t>MDLZ</t>
        </is>
      </c>
      <c r="C92" s="42" t="inlineStr">
        <is>
          <t>Милка Карамел 100гр.</t>
        </is>
      </c>
      <c r="D92" s="24">
        <f>'Декември 2025'!D92</f>
        <v/>
      </c>
      <c r="E92" s="24">
        <f>'Януари 2026'!D92</f>
        <v/>
      </c>
      <c r="F92" s="24">
        <f>D92+E92</f>
        <v/>
      </c>
      <c r="G92" s="6">
        <f>'Декември 2025'!E92</f>
        <v/>
      </c>
      <c r="H92" s="6">
        <f>'Януари 2026'!E92</f>
        <v/>
      </c>
      <c r="I92" s="6">
        <f>G92+H92</f>
        <v/>
      </c>
      <c r="J92" s="36">
        <f>'Декември 2025'!H92</f>
        <v/>
      </c>
      <c r="K92" s="36">
        <f>'Декември 2025'!I92</f>
        <v/>
      </c>
      <c r="L92" s="36">
        <f>'Декември 2025'!J92</f>
        <v/>
      </c>
      <c r="M92" s="6">
        <f>F92*J92</f>
        <v/>
      </c>
      <c r="N92" s="6">
        <f>F92*K92</f>
        <v/>
      </c>
      <c r="O92" s="6">
        <f>F92*L92</f>
        <v/>
      </c>
      <c r="P92" s="16">
        <f>N92-O92</f>
        <v/>
      </c>
      <c r="Q92" s="7">
        <f>IF(I92&gt;0, (I92-N92)/I92, 0)</f>
        <v/>
      </c>
      <c r="R92" s="7">
        <f>IF(I92&gt;0, (I92-O92)/I92, 0)</f>
        <v/>
      </c>
    </row>
    <row r="93" ht="19" customHeight="1">
      <c r="A93" s="41" t="inlineStr">
        <is>
          <t>7145</t>
        </is>
      </c>
      <c r="B93" s="41" t="inlineStr">
        <is>
          <t>MDLZ</t>
        </is>
      </c>
      <c r="C93" s="42" t="inlineStr">
        <is>
          <t>Сезони Ягода 140г</t>
        </is>
      </c>
      <c r="D93" s="24">
        <f>'Декември 2025'!D93</f>
        <v/>
      </c>
      <c r="E93" s="24">
        <f>'Януари 2026'!D93</f>
        <v/>
      </c>
      <c r="F93" s="24">
        <f>D93+E93</f>
        <v/>
      </c>
      <c r="G93" s="6">
        <f>'Декември 2025'!E93</f>
        <v/>
      </c>
      <c r="H93" s="6">
        <f>'Януари 2026'!E93</f>
        <v/>
      </c>
      <c r="I93" s="6">
        <f>G93+H93</f>
        <v/>
      </c>
      <c r="J93" s="36">
        <f>'Декември 2025'!H93</f>
        <v/>
      </c>
      <c r="K93" s="36">
        <f>'Декември 2025'!I93</f>
        <v/>
      </c>
      <c r="L93" s="36">
        <f>'Декември 2025'!J93</f>
        <v/>
      </c>
      <c r="M93" s="6">
        <f>F93*J93</f>
        <v/>
      </c>
      <c r="N93" s="6">
        <f>F93*K93</f>
        <v/>
      </c>
      <c r="O93" s="6">
        <f>F93*L93</f>
        <v/>
      </c>
      <c r="P93" s="16">
        <f>N93-O93</f>
        <v/>
      </c>
      <c r="Q93" s="7">
        <f>IF(I93&gt;0, (I93-N93)/I93, 0)</f>
        <v/>
      </c>
      <c r="R93" s="7">
        <f>IF(I93&gt;0, (I93-O93)/I93, 0)</f>
        <v/>
      </c>
    </row>
    <row r="94" ht="19" customHeight="1">
      <c r="A94" s="41" t="inlineStr">
        <is>
          <t>7072</t>
        </is>
      </c>
      <c r="B94" s="41" t="inlineStr">
        <is>
          <t>MDLZ</t>
        </is>
      </c>
      <c r="C94" s="42" t="inlineStr">
        <is>
          <t>Милка Орео 100гр.</t>
        </is>
      </c>
      <c r="D94" s="24">
        <f>'Декември 2025'!D94</f>
        <v/>
      </c>
      <c r="E94" s="24">
        <f>'Януари 2026'!D94</f>
        <v/>
      </c>
      <c r="F94" s="24">
        <f>D94+E94</f>
        <v/>
      </c>
      <c r="G94" s="6">
        <f>'Декември 2025'!E94</f>
        <v/>
      </c>
      <c r="H94" s="6">
        <f>'Януари 2026'!E94</f>
        <v/>
      </c>
      <c r="I94" s="6">
        <f>G94+H94</f>
        <v/>
      </c>
      <c r="J94" s="36">
        <f>'Декември 2025'!H94</f>
        <v/>
      </c>
      <c r="K94" s="36">
        <f>'Декември 2025'!I94</f>
        <v/>
      </c>
      <c r="L94" s="36">
        <f>'Декември 2025'!J94</f>
        <v/>
      </c>
      <c r="M94" s="6">
        <f>F94*J94</f>
        <v/>
      </c>
      <c r="N94" s="6">
        <f>F94*K94</f>
        <v/>
      </c>
      <c r="O94" s="6">
        <f>F94*L94</f>
        <v/>
      </c>
      <c r="P94" s="16">
        <f>N94-O94</f>
        <v/>
      </c>
      <c r="Q94" s="7">
        <f>IF(I94&gt;0, (I94-N94)/I94, 0)</f>
        <v/>
      </c>
      <c r="R94" s="7">
        <f>IF(I94&gt;0, (I94-O94)/I94, 0)</f>
        <v/>
      </c>
    </row>
    <row r="95" ht="19" customHeight="1">
      <c r="A95" s="41" t="inlineStr">
        <is>
          <t>630287</t>
        </is>
      </c>
      <c r="B95" s="41" t="inlineStr">
        <is>
          <t>MDLZ</t>
        </is>
      </c>
      <c r="C95" s="42" t="inlineStr">
        <is>
          <t>Милка лешници и стафиди 90 гр. НОВ</t>
        </is>
      </c>
      <c r="D95" s="24">
        <f>'Декември 2025'!D95</f>
        <v/>
      </c>
      <c r="E95" s="24">
        <f>'Януари 2026'!D95</f>
        <v/>
      </c>
      <c r="F95" s="24">
        <f>D95+E95</f>
        <v/>
      </c>
      <c r="G95" s="6">
        <f>'Декември 2025'!E95</f>
        <v/>
      </c>
      <c r="H95" s="6">
        <f>'Януари 2026'!E95</f>
        <v/>
      </c>
      <c r="I95" s="6">
        <f>G95+H95</f>
        <v/>
      </c>
      <c r="J95" s="36">
        <f>'Декември 2025'!H95</f>
        <v/>
      </c>
      <c r="K95" s="36">
        <f>'Декември 2025'!I95</f>
        <v/>
      </c>
      <c r="L95" s="36">
        <f>'Декември 2025'!J95</f>
        <v/>
      </c>
      <c r="M95" s="6">
        <f>F95*J95</f>
        <v/>
      </c>
      <c r="N95" s="6">
        <f>F95*K95</f>
        <v/>
      </c>
      <c r="O95" s="6">
        <f>F95*L95</f>
        <v/>
      </c>
      <c r="P95" s="16">
        <f>N95-O95</f>
        <v/>
      </c>
      <c r="Q95" s="7">
        <f>IF(I95&gt;0, (I95-N95)/I95, 0)</f>
        <v/>
      </c>
      <c r="R95" s="7">
        <f>IF(I95&gt;0, (I95-O95)/I95, 0)</f>
        <v/>
      </c>
    </row>
    <row r="96" ht="19" customHeight="1">
      <c r="A96" s="41" t="inlineStr">
        <is>
          <t>632907</t>
        </is>
      </c>
      <c r="B96" s="41" t="inlineStr">
        <is>
          <t>MDLZ</t>
        </is>
      </c>
      <c r="C96" s="42" t="inlineStr">
        <is>
          <t>Милкинис Стик голям 87.5гр.</t>
        </is>
      </c>
      <c r="D96" s="24">
        <f>'Декември 2025'!D96</f>
        <v/>
      </c>
      <c r="E96" s="24">
        <f>'Януари 2026'!D96</f>
        <v/>
      </c>
      <c r="F96" s="24">
        <f>D96+E96</f>
        <v/>
      </c>
      <c r="G96" s="6">
        <f>'Декември 2025'!E96</f>
        <v/>
      </c>
      <c r="H96" s="6">
        <f>'Януари 2026'!E96</f>
        <v/>
      </c>
      <c r="I96" s="6">
        <f>G96+H96</f>
        <v/>
      </c>
      <c r="J96" s="36">
        <f>'Декември 2025'!H96</f>
        <v/>
      </c>
      <c r="K96" s="36">
        <f>'Декември 2025'!I96</f>
        <v/>
      </c>
      <c r="L96" s="36">
        <f>'Декември 2025'!J96</f>
        <v/>
      </c>
      <c r="M96" s="6">
        <f>F96*J96</f>
        <v/>
      </c>
      <c r="N96" s="6">
        <f>F96*K96</f>
        <v/>
      </c>
      <c r="O96" s="6">
        <f>F96*L96</f>
        <v/>
      </c>
      <c r="P96" s="16">
        <f>N96-O96</f>
        <v/>
      </c>
      <c r="Q96" s="7">
        <f>IF(I96&gt;0, (I96-N96)/I96, 0)</f>
        <v/>
      </c>
      <c r="R96" s="7">
        <f>IF(I96&gt;0, (I96-O96)/I96, 0)</f>
        <v/>
      </c>
    </row>
    <row r="97" ht="19" customHeight="1">
      <c r="A97" s="41" t="inlineStr">
        <is>
          <t>9265</t>
        </is>
      </c>
      <c r="B97" s="41" t="inlineStr">
        <is>
          <t>MDLZ</t>
        </is>
      </c>
      <c r="C97" s="42" t="inlineStr">
        <is>
          <t>Милка Орео бял 100гр.</t>
        </is>
      </c>
      <c r="D97" s="24">
        <f>'Декември 2025'!D97</f>
        <v/>
      </c>
      <c r="E97" s="24">
        <f>'Януари 2026'!D97</f>
        <v/>
      </c>
      <c r="F97" s="24">
        <f>D97+E97</f>
        <v/>
      </c>
      <c r="G97" s="6">
        <f>'Декември 2025'!E97</f>
        <v/>
      </c>
      <c r="H97" s="6">
        <f>'Януари 2026'!E97</f>
        <v/>
      </c>
      <c r="I97" s="6">
        <f>G97+H97</f>
        <v/>
      </c>
      <c r="J97" s="36">
        <f>'Декември 2025'!H97</f>
        <v/>
      </c>
      <c r="K97" s="36">
        <f>'Декември 2025'!I97</f>
        <v/>
      </c>
      <c r="L97" s="36">
        <f>'Декември 2025'!J97</f>
        <v/>
      </c>
      <c r="M97" s="6">
        <f>F97*J97</f>
        <v/>
      </c>
      <c r="N97" s="6">
        <f>F97*K97</f>
        <v/>
      </c>
      <c r="O97" s="6">
        <f>F97*L97</f>
        <v/>
      </c>
      <c r="P97" s="16">
        <f>N97-O97</f>
        <v/>
      </c>
      <c r="Q97" s="7">
        <f>IF(I97&gt;0, (I97-N97)/I97, 0)</f>
        <v/>
      </c>
      <c r="R97" s="7">
        <f>IF(I97&gt;0, (I97-O97)/I97, 0)</f>
        <v/>
      </c>
    </row>
    <row r="98" ht="19" customHeight="1">
      <c r="A98" s="41" t="inlineStr">
        <is>
          <t>630065</t>
        </is>
      </c>
      <c r="B98" s="41" t="inlineStr">
        <is>
          <t>MDLZ</t>
        </is>
      </c>
      <c r="C98" s="42" t="inlineStr">
        <is>
          <t>Тоблерон млечен 35гр.</t>
        </is>
      </c>
      <c r="D98" s="24">
        <f>'Декември 2025'!D98</f>
        <v/>
      </c>
      <c r="E98" s="24">
        <f>'Януари 2026'!D98</f>
        <v/>
      </c>
      <c r="F98" s="24">
        <f>D98+E98</f>
        <v/>
      </c>
      <c r="G98" s="6">
        <f>'Декември 2025'!E98</f>
        <v/>
      </c>
      <c r="H98" s="6">
        <f>'Януари 2026'!E98</f>
        <v/>
      </c>
      <c r="I98" s="6">
        <f>G98+H98</f>
        <v/>
      </c>
      <c r="J98" s="36">
        <f>'Декември 2025'!H98</f>
        <v/>
      </c>
      <c r="K98" s="36">
        <f>'Декември 2025'!I98</f>
        <v/>
      </c>
      <c r="L98" s="36">
        <f>'Декември 2025'!J98</f>
        <v/>
      </c>
      <c r="M98" s="6">
        <f>F98*J98</f>
        <v/>
      </c>
      <c r="N98" s="6">
        <f>F98*K98</f>
        <v/>
      </c>
      <c r="O98" s="6">
        <f>F98*L98</f>
        <v/>
      </c>
      <c r="P98" s="16">
        <f>N98-O98</f>
        <v/>
      </c>
      <c r="Q98" s="7">
        <f>IF(I98&gt;0, (I98-N98)/I98, 0)</f>
        <v/>
      </c>
      <c r="R98" s="7">
        <f>IF(I98&gt;0, (I98-O98)/I98, 0)</f>
        <v/>
      </c>
    </row>
    <row r="99" ht="19" customHeight="1">
      <c r="A99" s="41" t="inlineStr">
        <is>
          <t>9606</t>
        </is>
      </c>
      <c r="B99" s="41" t="inlineStr">
        <is>
          <t>MDLZ</t>
        </is>
      </c>
      <c r="C99" s="42" t="inlineStr">
        <is>
          <t>Милка Шоко бисквита 300гр.</t>
        </is>
      </c>
      <c r="D99" s="24">
        <f>'Декември 2025'!D99</f>
        <v/>
      </c>
      <c r="E99" s="24">
        <f>'Януари 2026'!D99</f>
        <v/>
      </c>
      <c r="F99" s="24">
        <f>D99+E99</f>
        <v/>
      </c>
      <c r="G99" s="6">
        <f>'Декември 2025'!E99</f>
        <v/>
      </c>
      <c r="H99" s="6">
        <f>'Януари 2026'!E99</f>
        <v/>
      </c>
      <c r="I99" s="6">
        <f>G99+H99</f>
        <v/>
      </c>
      <c r="J99" s="36">
        <f>'Декември 2025'!H99</f>
        <v/>
      </c>
      <c r="K99" s="36">
        <f>'Декември 2025'!I99</f>
        <v/>
      </c>
      <c r="L99" s="36">
        <f>'Декември 2025'!J99</f>
        <v/>
      </c>
      <c r="M99" s="6">
        <f>F99*J99</f>
        <v/>
      </c>
      <c r="N99" s="6">
        <f>F99*K99</f>
        <v/>
      </c>
      <c r="O99" s="6">
        <f>F99*L99</f>
        <v/>
      </c>
      <c r="P99" s="16">
        <f>N99-O99</f>
        <v/>
      </c>
      <c r="Q99" s="7">
        <f>IF(I99&gt;0, (I99-N99)/I99, 0)</f>
        <v/>
      </c>
      <c r="R99" s="7">
        <f>IF(I99&gt;0, (I99-O99)/I99, 0)</f>
        <v/>
      </c>
    </row>
    <row r="100" ht="19" customHeight="1">
      <c r="A100" s="41" t="inlineStr">
        <is>
          <t>13364</t>
        </is>
      </c>
      <c r="B100" s="41" t="inlineStr">
        <is>
          <t>MDLZ</t>
        </is>
      </c>
      <c r="C100" s="42" t="inlineStr">
        <is>
          <t>Милка Орео 300гр.</t>
        </is>
      </c>
      <c r="D100" s="24">
        <f>'Декември 2025'!D100</f>
        <v/>
      </c>
      <c r="E100" s="24">
        <f>'Януари 2026'!D100</f>
        <v/>
      </c>
      <c r="F100" s="24">
        <f>D100+E100</f>
        <v/>
      </c>
      <c r="G100" s="6">
        <f>'Декември 2025'!E100</f>
        <v/>
      </c>
      <c r="H100" s="6">
        <f>'Януари 2026'!E100</f>
        <v/>
      </c>
      <c r="I100" s="6">
        <f>G100+H100</f>
        <v/>
      </c>
      <c r="J100" s="36">
        <f>'Декември 2025'!H100</f>
        <v/>
      </c>
      <c r="K100" s="36">
        <f>'Декември 2025'!I100</f>
        <v/>
      </c>
      <c r="L100" s="36">
        <f>'Декември 2025'!J100</f>
        <v/>
      </c>
      <c r="M100" s="6">
        <f>F100*J100</f>
        <v/>
      </c>
      <c r="N100" s="6">
        <f>F100*K100</f>
        <v/>
      </c>
      <c r="O100" s="6">
        <f>F100*L100</f>
        <v/>
      </c>
      <c r="P100" s="16">
        <f>N100-O100</f>
        <v/>
      </c>
      <c r="Q100" s="7">
        <f>IF(I100&gt;0, (I100-N100)/I100, 0)</f>
        <v/>
      </c>
      <c r="R100" s="7">
        <f>IF(I100&gt;0, (I100-O100)/I100, 0)</f>
        <v/>
      </c>
    </row>
    <row r="101" ht="19" customHeight="1">
      <c r="A101" s="41" t="inlineStr">
        <is>
          <t>630289</t>
        </is>
      </c>
      <c r="B101" s="41" t="inlineStr">
        <is>
          <t>MDLZ</t>
        </is>
      </c>
      <c r="C101" s="42" t="inlineStr">
        <is>
          <t>Сезони Ванилия 140г</t>
        </is>
      </c>
      <c r="D101" s="24">
        <f>'Декември 2025'!D101</f>
        <v/>
      </c>
      <c r="E101" s="24">
        <f>'Януари 2026'!D101</f>
        <v/>
      </c>
      <c r="F101" s="24">
        <f>D101+E101</f>
        <v/>
      </c>
      <c r="G101" s="6">
        <f>'Декември 2025'!E101</f>
        <v/>
      </c>
      <c r="H101" s="6">
        <f>'Януари 2026'!E101</f>
        <v/>
      </c>
      <c r="I101" s="6">
        <f>G101+H101</f>
        <v/>
      </c>
      <c r="J101" s="36">
        <f>'Декември 2025'!H101</f>
        <v/>
      </c>
      <c r="K101" s="36">
        <f>'Декември 2025'!I101</f>
        <v/>
      </c>
      <c r="L101" s="36">
        <f>'Декември 2025'!J101</f>
        <v/>
      </c>
      <c r="M101" s="6">
        <f>F101*J101</f>
        <v/>
      </c>
      <c r="N101" s="6">
        <f>F101*K101</f>
        <v/>
      </c>
      <c r="O101" s="6">
        <f>F101*L101</f>
        <v/>
      </c>
      <c r="P101" s="16">
        <f>N101-O101</f>
        <v/>
      </c>
      <c r="Q101" s="7">
        <f>IF(I101&gt;0, (I101-N101)/I101, 0)</f>
        <v/>
      </c>
      <c r="R101" s="7">
        <f>IF(I101&gt;0, (I101-O101)/I101, 0)</f>
        <v/>
      </c>
    </row>
    <row r="102" ht="19" customHeight="1">
      <c r="A102" s="41" t="inlineStr">
        <is>
          <t>16890</t>
        </is>
      </c>
      <c r="B102" s="41" t="inlineStr">
        <is>
          <t>MDLZ</t>
        </is>
      </c>
      <c r="C102" s="42" t="inlineStr">
        <is>
          <t>Б-ти Милка Кукис с лешн. 135 гр</t>
        </is>
      </c>
      <c r="D102" s="24">
        <f>'Декември 2025'!D102</f>
        <v/>
      </c>
      <c r="E102" s="24">
        <f>'Януари 2026'!D102</f>
        <v/>
      </c>
      <c r="F102" s="24">
        <f>D102+E102</f>
        <v/>
      </c>
      <c r="G102" s="6">
        <f>'Декември 2025'!E102</f>
        <v/>
      </c>
      <c r="H102" s="6">
        <f>'Януари 2026'!E102</f>
        <v/>
      </c>
      <c r="I102" s="6">
        <f>G102+H102</f>
        <v/>
      </c>
      <c r="J102" s="36">
        <f>'Декември 2025'!H102</f>
        <v/>
      </c>
      <c r="K102" s="36">
        <f>'Декември 2025'!I102</f>
        <v/>
      </c>
      <c r="L102" s="36">
        <f>'Декември 2025'!J102</f>
        <v/>
      </c>
      <c r="M102" s="6">
        <f>F102*J102</f>
        <v/>
      </c>
      <c r="N102" s="6">
        <f>F102*K102</f>
        <v/>
      </c>
      <c r="O102" s="6">
        <f>F102*L102</f>
        <v/>
      </c>
      <c r="P102" s="16">
        <f>N102-O102</f>
        <v/>
      </c>
      <c r="Q102" s="7">
        <f>IF(I102&gt;0, (I102-N102)/I102, 0)</f>
        <v/>
      </c>
      <c r="R102" s="7">
        <f>IF(I102&gt;0, (I102-O102)/I102, 0)</f>
        <v/>
      </c>
    </row>
    <row r="103" ht="19" customHeight="1">
      <c r="A103" s="41" t="inlineStr">
        <is>
          <t>10001</t>
        </is>
      </c>
      <c r="B103" s="41" t="inlineStr">
        <is>
          <t>MDLZ</t>
        </is>
      </c>
      <c r="C103" s="42" t="inlineStr">
        <is>
          <t>Милка Лешници и стафиди 270гр.</t>
        </is>
      </c>
      <c r="D103" s="24">
        <f>'Декември 2025'!D103</f>
        <v/>
      </c>
      <c r="E103" s="24">
        <f>'Януари 2026'!D103</f>
        <v/>
      </c>
      <c r="F103" s="24">
        <f>D103+E103</f>
        <v/>
      </c>
      <c r="G103" s="6">
        <f>'Декември 2025'!E103</f>
        <v/>
      </c>
      <c r="H103" s="6">
        <f>'Януари 2026'!E103</f>
        <v/>
      </c>
      <c r="I103" s="6">
        <f>G103+H103</f>
        <v/>
      </c>
      <c r="J103" s="36">
        <f>'Декември 2025'!H103</f>
        <v/>
      </c>
      <c r="K103" s="36">
        <f>'Декември 2025'!I103</f>
        <v/>
      </c>
      <c r="L103" s="36">
        <f>'Декември 2025'!J103</f>
        <v/>
      </c>
      <c r="M103" s="6">
        <f>F103*J103</f>
        <v/>
      </c>
      <c r="N103" s="6">
        <f>F103*K103</f>
        <v/>
      </c>
      <c r="O103" s="6">
        <f>F103*L103</f>
        <v/>
      </c>
      <c r="P103" s="16">
        <f>N103-O103</f>
        <v/>
      </c>
      <c r="Q103" s="7">
        <f>IF(I103&gt;0, (I103-N103)/I103, 0)</f>
        <v/>
      </c>
      <c r="R103" s="7">
        <f>IF(I103&gt;0, (I103-O103)/I103, 0)</f>
        <v/>
      </c>
    </row>
    <row r="104" ht="19" customHeight="1">
      <c r="A104" s="41" t="inlineStr">
        <is>
          <t>13721</t>
        </is>
      </c>
      <c r="B104" s="41" t="inlineStr">
        <is>
          <t>MDLZ</t>
        </is>
      </c>
      <c r="C104" s="42" t="inlineStr">
        <is>
          <t>Милка кисело мляко 100г</t>
        </is>
      </c>
      <c r="D104" s="24">
        <f>'Декември 2025'!D104</f>
        <v/>
      </c>
      <c r="E104" s="24">
        <f>'Януари 2026'!D104</f>
        <v/>
      </c>
      <c r="F104" s="24">
        <f>D104+E104</f>
        <v/>
      </c>
      <c r="G104" s="6">
        <f>'Декември 2025'!E104</f>
        <v/>
      </c>
      <c r="H104" s="6">
        <f>'Януари 2026'!E104</f>
        <v/>
      </c>
      <c r="I104" s="6">
        <f>G104+H104</f>
        <v/>
      </c>
      <c r="J104" s="36">
        <f>'Декември 2025'!H104</f>
        <v/>
      </c>
      <c r="K104" s="36">
        <f>'Декември 2025'!I104</f>
        <v/>
      </c>
      <c r="L104" s="36">
        <f>'Декември 2025'!J104</f>
        <v/>
      </c>
      <c r="M104" s="6">
        <f>F104*J104</f>
        <v/>
      </c>
      <c r="N104" s="6">
        <f>F104*K104</f>
        <v/>
      </c>
      <c r="O104" s="6">
        <f>F104*L104</f>
        <v/>
      </c>
      <c r="P104" s="16">
        <f>N104-O104</f>
        <v/>
      </c>
      <c r="Q104" s="7">
        <f>IF(I104&gt;0, (I104-N104)/I104, 0)</f>
        <v/>
      </c>
      <c r="R104" s="7">
        <f>IF(I104&gt;0, (I104-O104)/I104, 0)</f>
        <v/>
      </c>
    </row>
    <row r="105" ht="24" customHeight="1">
      <c r="A105" s="38" t="inlineStr">
        <is>
          <t>ОБЩО / TOTAL</t>
        </is>
      </c>
      <c r="B105" s="38" t="n"/>
      <c r="C105" s="38" t="n"/>
      <c r="D105" s="32">
        <f>SUM(D11:D104)</f>
        <v/>
      </c>
      <c r="E105" s="32">
        <f>SUM(E11:E104)</f>
        <v/>
      </c>
      <c r="F105" s="32">
        <f>SUM(F11:F104)</f>
        <v/>
      </c>
      <c r="G105" s="33">
        <f>SUM(G11:G104)</f>
        <v/>
      </c>
      <c r="H105" s="33">
        <f>SUM(H11:H104)</f>
        <v/>
      </c>
      <c r="I105" s="33">
        <f>SUM(I11:I104)</f>
        <v/>
      </c>
      <c r="J105" s="39" t="inlineStr"/>
      <c r="K105" s="39" t="inlineStr"/>
      <c r="L105" s="39" t="inlineStr"/>
      <c r="M105" s="33">
        <f>SUM(M11:M104)</f>
        <v/>
      </c>
      <c r="N105" s="33">
        <f>SUM(N11:N104)</f>
        <v/>
      </c>
      <c r="O105" s="33">
        <f>SUM(O11:O104)</f>
        <v/>
      </c>
      <c r="P105" s="40">
        <f>SUM(P11:P104)</f>
        <v/>
      </c>
      <c r="Q105" s="34">
        <f>(I105-N105)/I105</f>
        <v/>
      </c>
      <c r="R105" s="34">
        <f>(I105-O105)/I105</f>
        <v/>
      </c>
    </row>
  </sheetData>
  <mergeCells count="3">
    <mergeCell ref="A8:R8"/>
    <mergeCell ref="A1:G1"/>
    <mergeCell ref="A105:C10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5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5" customWidth="1" min="3" max="3"/>
    <col width="17" customWidth="1" min="4" max="4"/>
    <col width="20" customWidth="1" min="5" max="5"/>
    <col width="16" customWidth="1" min="6" max="6"/>
    <col width="17" customWidth="1" min="7" max="7"/>
    <col width="21" customWidth="1" min="8" max="8"/>
    <col width="20" customWidth="1" min="9" max="9"/>
    <col width="22" customWidth="1" min="10" max="10"/>
    <col width="20" customWidth="1" min="11" max="11"/>
    <col width="15" customWidth="1" min="12" max="12"/>
    <col width="16" customWidth="1" min="13" max="13"/>
    <col width="19" customWidth="1" min="14" max="14"/>
    <col width="18" customWidth="1" min="15" max="15"/>
    <col width="20" customWidth="1" min="16" max="16"/>
    <col width="31" customWidth="1" min="17" max="17"/>
  </cols>
  <sheetData>
    <row r="1">
      <c r="A1" s="1" t="inlineStr">
        <is>
          <t>СРАВНИТЕЛЕН АНАЛИЗ ПО ТЪРГОВСКИ ОБЕКТИ (11 МАГАЗИНА) — ДЕКЕМВРИ 2025 vs. ЯНУАРИ 2026 vs. ОБЩО</t>
        </is>
      </c>
    </row>
    <row r="2"/>
    <row r="3" ht="28" customHeight="1">
      <c r="A3" s="22" t="inlineStr">
        <is>
          <t>Магазин / Обект</t>
        </is>
      </c>
      <c r="B3" s="22" t="inlineStr">
        <is>
          <t>К-во Дек (бр)</t>
        </is>
      </c>
      <c r="C3" s="22" t="inlineStr">
        <is>
          <t>К-во Ян (бр)</t>
        </is>
      </c>
      <c r="D3" s="22" t="inlineStr">
        <is>
          <t>ОБЩО К-во (бр)</t>
        </is>
      </c>
      <c r="E3" s="22" t="inlineStr">
        <is>
          <t>Оборот Дек (€)</t>
        </is>
      </c>
      <c r="F3" s="22" t="inlineStr">
        <is>
          <t>Оборот Ян (€)</t>
        </is>
      </c>
      <c r="G3" s="22" t="inlineStr">
        <is>
          <t>ОБЩ Оборот (€)</t>
        </is>
      </c>
      <c r="H3" s="22" t="inlineStr">
        <is>
          <t>Рожен Нето Дек (€)</t>
        </is>
      </c>
      <c r="I3" s="22" t="inlineStr">
        <is>
          <t>Рожен Нето Ян (€)</t>
        </is>
      </c>
      <c r="J3" s="22" t="inlineStr">
        <is>
          <t>ОБЩО Рожен Нето (€)</t>
        </is>
      </c>
      <c r="K3" s="22" t="inlineStr">
        <is>
          <t>Яско Дек (€)</t>
        </is>
      </c>
      <c r="L3" s="22" t="inlineStr">
        <is>
          <t>Яско Ян (€)</t>
        </is>
      </c>
      <c r="M3" s="22" t="inlineStr">
        <is>
          <t>ОБЩО Яско (€)</t>
        </is>
      </c>
      <c r="N3" s="22" t="inlineStr">
        <is>
          <t>Икономия Дек (€)</t>
        </is>
      </c>
      <c r="O3" s="22" t="inlineStr">
        <is>
          <t>Икономия Ян (€)</t>
        </is>
      </c>
      <c r="P3" s="22" t="inlineStr">
        <is>
          <t>ОБЩА ИКОНОМИЯ (€)</t>
        </is>
      </c>
      <c r="Q3" s="22" t="inlineStr">
        <is>
          <t>Марж Яско 2м (%)</t>
        </is>
      </c>
    </row>
    <row r="4" ht="20" customHeight="1">
      <c r="A4" s="42" t="inlineStr">
        <is>
          <t>ХАЛИ ОКРЪЖНА</t>
        </is>
      </c>
      <c r="B4" s="24" t="n">
        <v>2848</v>
      </c>
      <c r="C4" s="24" t="n">
        <v>3605</v>
      </c>
      <c r="D4" s="24">
        <f>B4+C4</f>
        <v/>
      </c>
      <c r="E4" s="6" t="n">
        <v>3660.13406073125</v>
      </c>
      <c r="F4" s="6" t="n">
        <v>4408.62</v>
      </c>
      <c r="G4" s="6">
        <f>E4+F4</f>
        <v/>
      </c>
      <c r="H4" s="6" t="n">
        <v>2689.808404</v>
      </c>
      <c r="I4" s="6" t="n">
        <v>3317.143148</v>
      </c>
      <c r="J4" s="6">
        <f>H4+I4</f>
        <v/>
      </c>
      <c r="K4" s="6" t="n">
        <v>2183</v>
      </c>
      <c r="L4" s="6" t="n">
        <v>2700.49</v>
      </c>
      <c r="M4" s="6">
        <f>K4+L4</f>
        <v/>
      </c>
      <c r="N4" s="8">
        <f>H4-K4</f>
        <v/>
      </c>
      <c r="O4" s="8">
        <f>I4-L4</f>
        <v/>
      </c>
      <c r="P4" s="16">
        <f>J4-M4</f>
        <v/>
      </c>
      <c r="Q4" s="7">
        <f>IF(G4&gt;0, (G4-M4)/G4, 0)</f>
        <v/>
      </c>
    </row>
    <row r="5" ht="20" customHeight="1">
      <c r="A5" s="42" t="inlineStr">
        <is>
          <t>НАДЕЖДА</t>
        </is>
      </c>
      <c r="B5" s="24" t="n">
        <v>1644</v>
      </c>
      <c r="C5" s="24" t="n">
        <v>1638</v>
      </c>
      <c r="D5" s="24">
        <f>B5+C5</f>
        <v/>
      </c>
      <c r="E5" s="6" t="n">
        <v>2192.169053547599</v>
      </c>
      <c r="F5" s="6" t="n">
        <v>2099.66</v>
      </c>
      <c r="G5" s="6">
        <f>E5+F5</f>
        <v/>
      </c>
      <c r="H5" s="6" t="n">
        <v>1619.28528</v>
      </c>
      <c r="I5" s="6" t="n">
        <v>1601.860216</v>
      </c>
      <c r="J5" s="6">
        <f>H5+I5</f>
        <v/>
      </c>
      <c r="K5" s="6" t="n">
        <v>1307.1</v>
      </c>
      <c r="L5" s="6" t="n">
        <v>1297.94</v>
      </c>
      <c r="M5" s="6">
        <f>K5+L5</f>
        <v/>
      </c>
      <c r="N5" s="8">
        <f>H5-K5</f>
        <v/>
      </c>
      <c r="O5" s="8">
        <f>I5-L5</f>
        <v/>
      </c>
      <c r="P5" s="16">
        <f>J5-M5</f>
        <v/>
      </c>
      <c r="Q5" s="7">
        <f>IF(G5&gt;0, (G5-M5)/G5, 0)</f>
        <v/>
      </c>
    </row>
    <row r="6" ht="20" customHeight="1">
      <c r="A6" s="42" t="inlineStr">
        <is>
          <t>ЛОЗЕНЕЦ</t>
        </is>
      </c>
      <c r="B6" s="24" t="n">
        <v>1407</v>
      </c>
      <c r="C6" s="24" t="n">
        <v>1536</v>
      </c>
      <c r="D6" s="24">
        <f>B6+C6</f>
        <v/>
      </c>
      <c r="E6" s="6" t="n">
        <v>2057.182883992985</v>
      </c>
      <c r="F6" s="6" t="n">
        <v>1977.46</v>
      </c>
      <c r="G6" s="6">
        <f>E6+F6</f>
        <v/>
      </c>
      <c r="H6" s="6" t="n">
        <v>1516.67134</v>
      </c>
      <c r="I6" s="6" t="n">
        <v>1472.174044</v>
      </c>
      <c r="J6" s="6">
        <f>H6+I6</f>
        <v/>
      </c>
      <c r="K6" s="6" t="n">
        <v>1208.64</v>
      </c>
      <c r="L6" s="6" t="n">
        <v>1205.64</v>
      </c>
      <c r="M6" s="6">
        <f>K6+L6</f>
        <v/>
      </c>
      <c r="N6" s="8">
        <f>H6-K6</f>
        <v/>
      </c>
      <c r="O6" s="8">
        <f>I6-L6</f>
        <v/>
      </c>
      <c r="P6" s="16">
        <f>J6-M6</f>
        <v/>
      </c>
      <c r="Q6" s="7">
        <f>IF(G6&gt;0, (G6-M6)/G6, 0)</f>
        <v/>
      </c>
    </row>
    <row r="7" ht="20" customHeight="1">
      <c r="A7" s="42" t="inlineStr">
        <is>
          <t>ВЕЛЧО АТАНАСОВ</t>
        </is>
      </c>
      <c r="B7" s="24" t="n">
        <v>1371</v>
      </c>
      <c r="C7" s="24" t="n">
        <v>1645</v>
      </c>
      <c r="D7" s="24">
        <f>B7+C7</f>
        <v/>
      </c>
      <c r="E7" s="6" t="n">
        <v>2037.385662353068</v>
      </c>
      <c r="F7" s="6" t="n">
        <v>2299.36</v>
      </c>
      <c r="G7" s="6">
        <f>E7+F7</f>
        <v/>
      </c>
      <c r="H7" s="6" t="n">
        <v>1473.279564</v>
      </c>
      <c r="I7" s="6" t="n">
        <v>1738.419388</v>
      </c>
      <c r="J7" s="6">
        <f>H7+I7</f>
        <v/>
      </c>
      <c r="K7" s="6" t="n">
        <v>1198.6</v>
      </c>
      <c r="L7" s="6" t="n">
        <v>1404.4</v>
      </c>
      <c r="M7" s="6">
        <f>K7+L7</f>
        <v/>
      </c>
      <c r="N7" s="8">
        <f>H7-K7</f>
        <v/>
      </c>
      <c r="O7" s="8">
        <f>I7-L7</f>
        <v/>
      </c>
      <c r="P7" s="16">
        <f>J7-M7</f>
        <v/>
      </c>
      <c r="Q7" s="7">
        <f>IF(G7&gt;0, (G7-M7)/G7, 0)</f>
        <v/>
      </c>
    </row>
    <row r="8" ht="20" customHeight="1">
      <c r="A8" s="42" t="inlineStr">
        <is>
          <t>АРСЕНАЛСКИ</t>
        </is>
      </c>
      <c r="B8" s="24" t="n">
        <v>1429</v>
      </c>
      <c r="C8" s="24" t="n">
        <v>1844</v>
      </c>
      <c r="D8" s="24">
        <f>B8+C8</f>
        <v/>
      </c>
      <c r="E8" s="6" t="n">
        <v>1786.735043434245</v>
      </c>
      <c r="F8" s="6" t="n">
        <v>2128.3</v>
      </c>
      <c r="G8" s="6">
        <f>E8+F8</f>
        <v/>
      </c>
      <c r="H8" s="6" t="n">
        <v>1239.89128</v>
      </c>
      <c r="I8" s="6" t="n">
        <v>1541.820996</v>
      </c>
      <c r="J8" s="6">
        <f>H8+I8</f>
        <v/>
      </c>
      <c r="K8" s="6" t="n">
        <v>1061.35</v>
      </c>
      <c r="L8" s="6" t="n">
        <v>1299.78</v>
      </c>
      <c r="M8" s="6">
        <f>K8+L8</f>
        <v/>
      </c>
      <c r="N8" s="8">
        <f>H8-K8</f>
        <v/>
      </c>
      <c r="O8" s="8">
        <f>I8-L8</f>
        <v/>
      </c>
      <c r="P8" s="16">
        <f>J8-M8</f>
        <v/>
      </c>
      <c r="Q8" s="7">
        <f>IF(G8&gt;0, (G8-M8)/G8, 0)</f>
        <v/>
      </c>
    </row>
    <row r="9" ht="20" customHeight="1">
      <c r="A9" s="42" t="inlineStr">
        <is>
          <t>ЛЮЛИН7</t>
        </is>
      </c>
      <c r="B9" s="24" t="n">
        <v>1140</v>
      </c>
      <c r="C9" s="24" t="n">
        <v>1381</v>
      </c>
      <c r="D9" s="24">
        <f>B9+C9</f>
        <v/>
      </c>
      <c r="E9" s="6" t="n">
        <v>1651.503453776658</v>
      </c>
      <c r="F9" s="6" t="n">
        <v>1778.95</v>
      </c>
      <c r="G9" s="6">
        <f>E9+F9</f>
        <v/>
      </c>
      <c r="H9" s="6" t="n">
        <v>1191.093264</v>
      </c>
      <c r="I9" s="6" t="n">
        <v>1296.28696</v>
      </c>
      <c r="J9" s="6">
        <f>H9+I9</f>
        <v/>
      </c>
      <c r="K9" s="6" t="n">
        <v>982.08</v>
      </c>
      <c r="L9" s="6" t="n">
        <v>1090.88</v>
      </c>
      <c r="M9" s="6">
        <f>K9+L9</f>
        <v/>
      </c>
      <c r="N9" s="8">
        <f>H9-K9</f>
        <v/>
      </c>
      <c r="O9" s="8">
        <f>I9-L9</f>
        <v/>
      </c>
      <c r="P9" s="16">
        <f>J9-M9</f>
        <v/>
      </c>
      <c r="Q9" s="7">
        <f>IF(G9&gt;0, (G9-M9)/G9, 0)</f>
        <v/>
      </c>
    </row>
    <row r="10" ht="20" customHeight="1">
      <c r="A10" s="42" t="inlineStr">
        <is>
          <t>ОБЕЛЯ2</t>
        </is>
      </c>
      <c r="B10" s="24" t="n">
        <v>1225</v>
      </c>
      <c r="C10" s="24" t="n">
        <v>1372</v>
      </c>
      <c r="D10" s="24">
        <f>B10+C10</f>
        <v/>
      </c>
      <c r="E10" s="6" t="n">
        <v>1582.893196238937</v>
      </c>
      <c r="F10" s="6" t="n">
        <v>1730.76</v>
      </c>
      <c r="G10" s="6">
        <f>E10+F10</f>
        <v/>
      </c>
      <c r="H10" s="6" t="n">
        <v>1161.45834</v>
      </c>
      <c r="I10" s="6" t="n">
        <v>1294.563676</v>
      </c>
      <c r="J10" s="6">
        <f>H10+I10</f>
        <v/>
      </c>
      <c r="K10" s="6" t="n">
        <v>943.38</v>
      </c>
      <c r="L10" s="6" t="n">
        <v>1072.12</v>
      </c>
      <c r="M10" s="6">
        <f>K10+L10</f>
        <v/>
      </c>
      <c r="N10" s="8">
        <f>H10-K10</f>
        <v/>
      </c>
      <c r="O10" s="8">
        <f>I10-L10</f>
        <v/>
      </c>
      <c r="P10" s="16">
        <f>J10-M10</f>
        <v/>
      </c>
      <c r="Q10" s="7">
        <f>IF(G10&gt;0, (G10-M10)/G10, 0)</f>
        <v/>
      </c>
    </row>
    <row r="11" ht="20" customHeight="1">
      <c r="A11" s="42" t="inlineStr">
        <is>
          <t>МАНАСТИРСКИ ЛИВАДИ</t>
        </is>
      </c>
      <c r="B11" s="24" t="n">
        <v>1026</v>
      </c>
      <c r="C11" s="24" t="n">
        <v>1022</v>
      </c>
      <c r="D11" s="24">
        <f>B11+C11</f>
        <v/>
      </c>
      <c r="E11" s="6" t="n">
        <v>1408.220550865873</v>
      </c>
      <c r="F11" s="6" t="n">
        <v>1310.24</v>
      </c>
      <c r="G11" s="6">
        <f>E11+F11</f>
        <v/>
      </c>
      <c r="H11" s="6" t="n">
        <v>1022.317208</v>
      </c>
      <c r="I11" s="6" t="n">
        <v>974.4507719999999</v>
      </c>
      <c r="J11" s="6">
        <f>H11+I11</f>
        <v/>
      </c>
      <c r="K11" s="6" t="n">
        <v>839.02</v>
      </c>
      <c r="L11" s="6" t="n">
        <v>789.83</v>
      </c>
      <c r="M11" s="6">
        <f>K11+L11</f>
        <v/>
      </c>
      <c r="N11" s="8">
        <f>H11-K11</f>
        <v/>
      </c>
      <c r="O11" s="8">
        <f>I11-L11</f>
        <v/>
      </c>
      <c r="P11" s="16">
        <f>J11-M11</f>
        <v/>
      </c>
      <c r="Q11" s="7">
        <f>IF(G11&gt;0, (G11-M11)/G11, 0)</f>
        <v/>
      </c>
    </row>
    <row r="12" ht="20" customHeight="1">
      <c r="A12" s="42" t="inlineStr">
        <is>
          <t>СВОБОДА</t>
        </is>
      </c>
      <c r="B12" s="24" t="n">
        <v>808</v>
      </c>
      <c r="C12" s="24" t="n">
        <v>1024</v>
      </c>
      <c r="D12" s="24">
        <f>B12+C12</f>
        <v/>
      </c>
      <c r="E12" s="6" t="n">
        <v>1300.516916091889</v>
      </c>
      <c r="F12" s="6" t="n">
        <v>1513.07</v>
      </c>
      <c r="G12" s="6">
        <f>E12+F12</f>
        <v/>
      </c>
      <c r="H12" s="6" t="n">
        <v>955.802836</v>
      </c>
      <c r="I12" s="6" t="n">
        <v>1146.150592</v>
      </c>
      <c r="J12" s="6">
        <f>H12+I12</f>
        <v/>
      </c>
      <c r="K12" s="6" t="n">
        <v>755.45</v>
      </c>
      <c r="L12" s="6" t="n">
        <v>925.4</v>
      </c>
      <c r="M12" s="6">
        <f>K12+L12</f>
        <v/>
      </c>
      <c r="N12" s="8">
        <f>H12-K12</f>
        <v/>
      </c>
      <c r="O12" s="8">
        <f>I12-L12</f>
        <v/>
      </c>
      <c r="P12" s="16">
        <f>J12-M12</f>
        <v/>
      </c>
      <c r="Q12" s="7">
        <f>IF(G12&gt;0, (G12-M12)/G12, 0)</f>
        <v/>
      </c>
    </row>
    <row r="13" ht="20" customHeight="1">
      <c r="A13" s="42" t="inlineStr">
        <is>
          <t>БАНКЯ</t>
        </is>
      </c>
      <c r="B13" s="24" t="n">
        <v>728</v>
      </c>
      <c r="C13" s="24" t="n">
        <v>714</v>
      </c>
      <c r="D13" s="24">
        <f>B13+C13</f>
        <v/>
      </c>
      <c r="E13" s="6" t="n">
        <v>978.1218204036138</v>
      </c>
      <c r="F13" s="6" t="n">
        <v>976.45</v>
      </c>
      <c r="G13" s="6">
        <f>E13+F13</f>
        <v/>
      </c>
      <c r="H13" s="6" t="n">
        <v>708.607896</v>
      </c>
      <c r="I13" s="6" t="n">
        <v>723.6407039999999</v>
      </c>
      <c r="J13" s="6">
        <f>H13+I13</f>
        <v/>
      </c>
      <c r="K13" s="6" t="n">
        <v>577.0600000000001</v>
      </c>
      <c r="L13" s="6" t="n">
        <v>588.13</v>
      </c>
      <c r="M13" s="6">
        <f>K13+L13</f>
        <v/>
      </c>
      <c r="N13" s="8">
        <f>H13-K13</f>
        <v/>
      </c>
      <c r="O13" s="8">
        <f>I13-L13</f>
        <v/>
      </c>
      <c r="P13" s="16">
        <f>J13-M13</f>
        <v/>
      </c>
      <c r="Q13" s="7">
        <f>IF(G13&gt;0, (G13-M13)/G13, 0)</f>
        <v/>
      </c>
    </row>
    <row r="14" ht="20" customHeight="1">
      <c r="A14" s="42" t="inlineStr">
        <is>
          <t>РЕДУТА</t>
        </is>
      </c>
      <c r="B14" s="24" t="n">
        <v>449</v>
      </c>
      <c r="C14" s="24" t="n">
        <v>645</v>
      </c>
      <c r="D14" s="24">
        <f>B14+C14</f>
        <v/>
      </c>
      <c r="E14" s="6" t="n">
        <v>760.541560360563</v>
      </c>
      <c r="F14" s="6" t="n">
        <v>933.87</v>
      </c>
      <c r="G14" s="6">
        <f>E14+F14</f>
        <v/>
      </c>
      <c r="H14" s="6" t="n">
        <v>555.4133959999999</v>
      </c>
      <c r="I14" s="6" t="n">
        <v>692.6545839999999</v>
      </c>
      <c r="J14" s="6">
        <f>H14+I14</f>
        <v/>
      </c>
      <c r="K14" s="6" t="n">
        <v>450.5</v>
      </c>
      <c r="L14" s="6" t="n">
        <v>575.8</v>
      </c>
      <c r="M14" s="6">
        <f>K14+L14</f>
        <v/>
      </c>
      <c r="N14" s="8">
        <f>H14-K14</f>
        <v/>
      </c>
      <c r="O14" s="8">
        <f>I14-L14</f>
        <v/>
      </c>
      <c r="P14" s="16">
        <f>J14-M14</f>
        <v/>
      </c>
      <c r="Q14" s="7">
        <f>IF(G14&gt;0, (G14-M14)/G14, 0)</f>
        <v/>
      </c>
    </row>
    <row r="15" ht="24" customHeight="1">
      <c r="A15" s="38" t="inlineStr">
        <is>
          <t>ОБЩО / TOTAL</t>
        </is>
      </c>
      <c r="B15" s="32">
        <f>SUM(B4:B14)</f>
        <v/>
      </c>
      <c r="C15" s="32">
        <f>SUM(C4:C14)</f>
        <v/>
      </c>
      <c r="D15" s="32">
        <f>SUM(D4:D14)</f>
        <v/>
      </c>
      <c r="E15" s="33">
        <f>SUM(E4:E14)</f>
        <v/>
      </c>
      <c r="F15" s="33">
        <f>SUM(F4:F14)</f>
        <v/>
      </c>
      <c r="G15" s="33">
        <f>SUM(G4:G14)</f>
        <v/>
      </c>
      <c r="H15" s="33">
        <f>SUM(H4:H14)</f>
        <v/>
      </c>
      <c r="I15" s="33">
        <f>SUM(I4:I14)</f>
        <v/>
      </c>
      <c r="J15" s="33">
        <f>SUM(J4:J14)</f>
        <v/>
      </c>
      <c r="K15" s="33">
        <f>SUM(K4:K14)</f>
        <v/>
      </c>
      <c r="L15" s="33">
        <f>SUM(L4:L14)</f>
        <v/>
      </c>
      <c r="M15" s="33">
        <f>SUM(M4:M14)</f>
        <v/>
      </c>
      <c r="N15" s="40">
        <f>SUM(N4:N14)</f>
        <v/>
      </c>
      <c r="O15" s="40">
        <f>SUM(O4:O14)</f>
        <v/>
      </c>
      <c r="P15" s="40">
        <f>SUM(P4:P14)</f>
        <v/>
      </c>
      <c r="Q15" s="34">
        <f>(G15-M15)/G15</f>
        <v/>
      </c>
    </row>
  </sheetData>
  <mergeCells count="1"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2026-10-14T09:30:14Z</dcterms:created>
  <dcterms:modified xmlns:dcterms="http://purl.org/dc/terms/" xmlns:xsi="http://www.w3.org/2001/XMLSchema-instance" xsi:type="dcterms:W3CDTF">2026-10-14T09:30:14Z</dcterms:modified>
</cp:coreProperties>
</file>