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сеналски" sheetId="1" r:id="rId4"/>
    <sheet state="visible" name="Банкя" sheetId="2" r:id="rId5"/>
    <sheet state="visible" name="Велчо Атанасов" sheetId="3" r:id="rId6"/>
    <sheet state="visible" name="Лозeнец" sheetId="4" r:id="rId7"/>
    <sheet state="visible" name="Люлин" sheetId="5" r:id="rId8"/>
    <sheet state="visible" name="Манастирски" sheetId="6" r:id="rId9"/>
    <sheet state="visible" name="Надежда" sheetId="7" r:id="rId10"/>
    <sheet state="visible" name="Обеля" sheetId="8" r:id="rId11"/>
    <sheet state="visible" name="Редута" sheetId="9" r:id="rId12"/>
    <sheet state="visible" name="Свобода" sheetId="10" r:id="rId13"/>
    <sheet state="visible" name="Хали Окръжна" sheetId="11" r:id="rId14"/>
    <sheet state="visible" name="data" sheetId="12" r:id="rId15"/>
  </sheets>
  <definedNames>
    <definedName name="DataSM">#REF!</definedName>
  </definedNames>
  <calcPr/>
</workbook>
</file>

<file path=xl/sharedStrings.xml><?xml version="1.0" encoding="utf-8"?>
<sst xmlns="http://schemas.openxmlformats.org/spreadsheetml/2006/main" count="4678" uniqueCount="233">
  <si>
    <t>Обект</t>
  </si>
  <si>
    <t>СМ Арсеналски</t>
  </si>
  <si>
    <t>СМ Велчо Атанасов</t>
  </si>
  <si>
    <t>СМ Лозенец</t>
  </si>
  <si>
    <t>C:C</t>
  </si>
  <si>
    <t>СМ Банкя</t>
  </si>
  <si>
    <t>03,01,2026/11,15ч</t>
  </si>
  <si>
    <t>Брой съвпадения</t>
  </si>
  <si>
    <t>Начално с-до</t>
  </si>
  <si>
    <t>Дата</t>
  </si>
  <si>
    <t>Артикул</t>
  </si>
  <si>
    <t>Стойност</t>
  </si>
  <si>
    <t>Забележка</t>
  </si>
  <si>
    <t>САЛДО</t>
  </si>
  <si>
    <t>СМ Люлин</t>
  </si>
  <si>
    <t>СМ МАНАСТИРСКИ ЛИВАДИ</t>
  </si>
  <si>
    <t>СМ Надежда</t>
  </si>
  <si>
    <t>Начално с-до:</t>
  </si>
  <si>
    <t>САЛДО:</t>
  </si>
  <si>
    <t>СМ Обеля</t>
  </si>
  <si>
    <t>СМ Редута</t>
  </si>
  <si>
    <t>СМ Свобода</t>
  </si>
  <si>
    <t>СМ Хали Окръжна</t>
  </si>
  <si>
    <t>Сума</t>
  </si>
  <si>
    <t>Арс</t>
  </si>
  <si>
    <t>Банкя</t>
  </si>
  <si>
    <t>Вел</t>
  </si>
  <si>
    <t>Лоз</t>
  </si>
  <si>
    <t>Люлин</t>
  </si>
  <si>
    <t>Ман</t>
  </si>
  <si>
    <t>Над</t>
  </si>
  <si>
    <t>Обе</t>
  </si>
  <si>
    <t>Редута</t>
  </si>
  <si>
    <t>Сво</t>
  </si>
  <si>
    <t>Окр</t>
  </si>
  <si>
    <t>ОБЩО</t>
  </si>
  <si>
    <t>MYPOS Бакалия</t>
  </si>
  <si>
    <t>ЗАЕМ</t>
  </si>
  <si>
    <t>Салдо скл + вътр. п-не</t>
  </si>
  <si>
    <t>КАСОВА КНИГА</t>
  </si>
  <si>
    <t>банка 02.01</t>
  </si>
  <si>
    <t>банка 03.01</t>
  </si>
  <si>
    <t>29-31,12</t>
  </si>
  <si>
    <t>евро</t>
  </si>
  <si>
    <t>каса ФИКТИВНА</t>
  </si>
  <si>
    <t>2 колета Милена</t>
  </si>
  <si>
    <t>ДСК Бакалия</t>
  </si>
  <si>
    <t>платени банани</t>
  </si>
  <si>
    <t>Стаси от заплатата</t>
  </si>
  <si>
    <t>Ева от премиите</t>
  </si>
  <si>
    <t>Мимето от премиите</t>
  </si>
  <si>
    <t>Спартак от премиите</t>
  </si>
  <si>
    <t>Марчето от премиите</t>
  </si>
  <si>
    <t>пазар Тихомир</t>
  </si>
  <si>
    <t>Краси от премиите</t>
  </si>
  <si>
    <t>заем</t>
  </si>
  <si>
    <t>Каса ВАУЧЕРИ</t>
  </si>
  <si>
    <t>за 22.12</t>
  </si>
  <si>
    <t>за 29.12</t>
  </si>
  <si>
    <t>колет Милена</t>
  </si>
  <si>
    <t>Нонка от премиите</t>
  </si>
  <si>
    <t>платено тото Тихомир</t>
  </si>
  <si>
    <t>1022,58 от 10.01</t>
  </si>
  <si>
    <t>1255,65 от 10.01</t>
  </si>
  <si>
    <t>пазар Милена</t>
  </si>
  <si>
    <t>ПОС ДСК Бакалия</t>
  </si>
  <si>
    <t>Банка ПИБ Бакалия</t>
  </si>
  <si>
    <t>аптека Тихомир</t>
  </si>
  <si>
    <t>аптека Тихомир 14.01</t>
  </si>
  <si>
    <t>1000 от 17.01</t>
  </si>
  <si>
    <t>пазари Тихомир</t>
  </si>
  <si>
    <t>колет Тихомир</t>
  </si>
  <si>
    <t>Нони от премиите</t>
  </si>
  <si>
    <t>ваучери персонал</t>
  </si>
  <si>
    <t>Ния от заплатата</t>
  </si>
  <si>
    <t>Сашо пилето</t>
  </si>
  <si>
    <t>банка от 19.01</t>
  </si>
  <si>
    <t>Цеци от премиите</t>
  </si>
  <si>
    <t>платено тото</t>
  </si>
  <si>
    <t>ваучери 12,01</t>
  </si>
  <si>
    <t>ваучери 19,01</t>
  </si>
  <si>
    <t>17-23,01</t>
  </si>
  <si>
    <t>1000 от 31.01</t>
  </si>
  <si>
    <t>пл. наем Астарта</t>
  </si>
  <si>
    <t>Лили от премиите</t>
  </si>
  <si>
    <t>809,02лв</t>
  </si>
  <si>
    <t>927,10лв</t>
  </si>
  <si>
    <t>2397,10лв</t>
  </si>
  <si>
    <t>905,85лв</t>
  </si>
  <si>
    <t>691,7лв</t>
  </si>
  <si>
    <t>735,17лв</t>
  </si>
  <si>
    <t>1178,50лв</t>
  </si>
  <si>
    <t>234,80лв</t>
  </si>
  <si>
    <t>банка 02.02</t>
  </si>
  <si>
    <t>галони Милена</t>
  </si>
  <si>
    <t>изчистени в повече</t>
  </si>
  <si>
    <t>С-до склад + вътр п-не</t>
  </si>
  <si>
    <t>пазар Ния</t>
  </si>
  <si>
    <t>пазар Тихомир 13.02</t>
  </si>
  <si>
    <t>Цвети от заплатата</t>
  </si>
  <si>
    <t>банка 16.02</t>
  </si>
  <si>
    <t>за 02.02-08.02</t>
  </si>
  <si>
    <t>за 26.01-01.02</t>
  </si>
  <si>
    <t>платени скици</t>
  </si>
  <si>
    <t>колет Ния</t>
  </si>
  <si>
    <t>грешно разплатени</t>
  </si>
  <si>
    <t>500 от 21.02</t>
  </si>
  <si>
    <t>пазар Тихомир 20.02</t>
  </si>
  <si>
    <t>платено капаро Хуго</t>
  </si>
  <si>
    <t>букет шефката</t>
  </si>
  <si>
    <t>пазар Люлин</t>
  </si>
  <si>
    <t>торта шефката</t>
  </si>
  <si>
    <t>Салдо склад + вътр. п-не</t>
  </si>
  <si>
    <t>за 16-22.02</t>
  </si>
  <si>
    <t>за 09-15.02</t>
  </si>
  <si>
    <t>ПроКредит бакал</t>
  </si>
  <si>
    <t>1000 от 07.03</t>
  </si>
  <si>
    <t>платен наем Астарта</t>
  </si>
  <si>
    <t>1000 от 14.03</t>
  </si>
  <si>
    <t>лекарства шефа</t>
  </si>
  <si>
    <t>от 09-15.02</t>
  </si>
  <si>
    <t>от 02-08.03</t>
  </si>
  <si>
    <t>1000 от 21.03</t>
  </si>
  <si>
    <t>платено работно облекло</t>
  </si>
  <si>
    <t>500 от 28.03</t>
  </si>
  <si>
    <t>аптека шефа</t>
  </si>
  <si>
    <t>Прехв салдо към Велчо</t>
  </si>
  <si>
    <t>салдо от Обеля</t>
  </si>
  <si>
    <t>Салдо склад + вътр</t>
  </si>
  <si>
    <t>09-15.03</t>
  </si>
  <si>
    <t>16-22.03</t>
  </si>
  <si>
    <t>500 от 04.04</t>
  </si>
  <si>
    <t>23-29,03</t>
  </si>
  <si>
    <t>30,03-05,04</t>
  </si>
  <si>
    <t>пазар кошници</t>
  </si>
  <si>
    <t>очила Милена</t>
  </si>
  <si>
    <t>пазар кошница</t>
  </si>
  <si>
    <t>1000 от 11.04</t>
  </si>
  <si>
    <t>букет Стаси</t>
  </si>
  <si>
    <t>1000 от 18.04</t>
  </si>
  <si>
    <t>пазар Тихомир 17.04</t>
  </si>
  <si>
    <t>пл.тото</t>
  </si>
  <si>
    <t>23-29.03</t>
  </si>
  <si>
    <t>30.03-05.04</t>
  </si>
  <si>
    <t>1000 от 25.04</t>
  </si>
  <si>
    <t>платени домати</t>
  </si>
  <si>
    <t>1000 от 02.05</t>
  </si>
  <si>
    <t>коле Ния</t>
  </si>
  <si>
    <t>500 от 06.05</t>
  </si>
  <si>
    <t>към 20.04</t>
  </si>
  <si>
    <t>към 27.04</t>
  </si>
  <si>
    <t>пазар тихомир</t>
  </si>
  <si>
    <t>Аптека</t>
  </si>
  <si>
    <t>Банани</t>
  </si>
  <si>
    <t>Заплата Ния</t>
  </si>
  <si>
    <t>колет Деница</t>
  </si>
  <si>
    <t>Пазар Тихомир</t>
  </si>
  <si>
    <t>Домати</t>
  </si>
  <si>
    <t>1000 от 16.05</t>
  </si>
  <si>
    <t>пазар шефа 16.05</t>
  </si>
  <si>
    <t>пазар шефа от 13.05</t>
  </si>
  <si>
    <t>платено Благо</t>
  </si>
  <si>
    <t>пазар шефа</t>
  </si>
  <si>
    <t>платен зеленчук</t>
  </si>
  <si>
    <t>ваучери персонал качени в пове</t>
  </si>
  <si>
    <t>20-26.04</t>
  </si>
  <si>
    <t>1000 от 23.05</t>
  </si>
  <si>
    <t>Сашо пилето за Май</t>
  </si>
  <si>
    <t>към 25.05</t>
  </si>
  <si>
    <t>към 18.05</t>
  </si>
  <si>
    <t>Стефчо от заплатата</t>
  </si>
  <si>
    <t>500 от 06.06</t>
  </si>
  <si>
    <t>1000 от 07.06</t>
  </si>
  <si>
    <t>пазар ТБ</t>
  </si>
  <si>
    <t>Прехв салдо</t>
  </si>
  <si>
    <t>прехв салдо от Банкя</t>
  </si>
  <si>
    <t>с обратен знак дубл пос 25-31,04</t>
  </si>
  <si>
    <t>18-24,05</t>
  </si>
  <si>
    <t>Вики от премиите</t>
  </si>
  <si>
    <t>аптека шефката</t>
  </si>
  <si>
    <t>галони шефката</t>
  </si>
  <si>
    <t>Ния колет</t>
  </si>
  <si>
    <t>2000 от 13.06</t>
  </si>
  <si>
    <t>платено тото шефа</t>
  </si>
  <si>
    <t>пазар шефа 19.06</t>
  </si>
  <si>
    <t>Стефан от заплатата</t>
  </si>
  <si>
    <t>за 25-31.05</t>
  </si>
  <si>
    <t>за 01-07.06</t>
  </si>
  <si>
    <t>1000 от 20.06</t>
  </si>
  <si>
    <t>500 от 23.06</t>
  </si>
  <si>
    <t>1000 от 27.06</t>
  </si>
  <si>
    <t>платено тот шефа</t>
  </si>
  <si>
    <t>към 22.06</t>
  </si>
  <si>
    <t>1000 от 04.07</t>
  </si>
  <si>
    <t>пазар шефа 03.07</t>
  </si>
  <si>
    <t>пазар шефа 04.07</t>
  </si>
  <si>
    <t>посуда непалци</t>
  </si>
  <si>
    <t>пазар шефа 08.07</t>
  </si>
  <si>
    <t>пазар шефа 09.07</t>
  </si>
  <si>
    <t>карти за гр.транспорт непалци</t>
  </si>
  <si>
    <t>Гери от премиите</t>
  </si>
  <si>
    <t>2000 от 11.07</t>
  </si>
  <si>
    <t>пазар шефа 10.07</t>
  </si>
  <si>
    <t>за 22-28.06</t>
  </si>
  <si>
    <t>за 29.06-05.07</t>
  </si>
  <si>
    <t>снимки непалци</t>
  </si>
  <si>
    <t>1500 от 18.07</t>
  </si>
  <si>
    <t>пазар шефа 20.07</t>
  </si>
  <si>
    <t>колет шефа</t>
  </si>
  <si>
    <t>Стефчо</t>
  </si>
  <si>
    <t>към 13.07</t>
  </si>
  <si>
    <t>платени пердета</t>
  </si>
  <si>
    <t>здравни книжки</t>
  </si>
  <si>
    <t>ключове непалци</t>
  </si>
  <si>
    <t>Платен ПЗ</t>
  </si>
  <si>
    <t>Вода Милена</t>
  </si>
  <si>
    <t>Надежда - Камелия - Чужденци</t>
  </si>
  <si>
    <t>Платени банани</t>
  </si>
  <si>
    <t>Аптека Тихомир</t>
  </si>
  <si>
    <t>Колет Ния</t>
  </si>
  <si>
    <t>Колет Тихомир</t>
  </si>
  <si>
    <t>Пазар Милена</t>
  </si>
  <si>
    <t>Марчето от заплатата</t>
  </si>
  <si>
    <t>Мимето от заплатата</t>
  </si>
  <si>
    <t>гражданска Митко</t>
  </si>
  <si>
    <t>паза шефката</t>
  </si>
  <si>
    <t>1000 от 08.08</t>
  </si>
  <si>
    <t>пазар Стаси</t>
  </si>
  <si>
    <t>към 29.07</t>
  </si>
  <si>
    <t>към 03.08</t>
  </si>
  <si>
    <t>1000 от 14.08</t>
  </si>
  <si>
    <t>Гергана от премиите</t>
  </si>
  <si>
    <t>1000 от 22.08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</si>
</sst>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,mm\,yyyy"/>
    <numFmt numFmtId="165" formatCode="d\.m\.yyyy"/>
    <numFmt numFmtId="166" formatCode="dd.mm.yyyy"/>
    <numFmt numFmtId="167" formatCode="dd\.mm\.yyyy"/>
    <numFmt numFmtId="168" formatCode="dd,mm,yyyy"/>
  </numFmts>
  <fonts count="16">
    <font>
      <sz val="11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b/>
      <sz val="11.0"/>
      <name val="Calibri"/>
    </font>
    <font>
      <sz val="14.0"/>
      <color rgb="FF000000"/>
      <name val="Calibri"/>
    </font>
    <font>
      <sz val="11.0"/>
      <name val="Calibri"/>
    </font>
    <font>
      <sz val="14.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4.0"/>
      <color rgb="FF000000"/>
      <name val="Calibri"/>
    </font>
    <font>
      <b/>
      <u/>
      <sz val="14.0"/>
      <color rgb="FF000000"/>
      <name val="Calibri"/>
    </font>
    <font>
      <b/>
      <u/>
      <sz val="11.0"/>
      <color rgb="FF000000"/>
      <name val="Calibri"/>
    </font>
    <font>
      <b/>
      <u/>
      <sz val="14.0"/>
      <color rgb="FF000000"/>
      <name val="Calibri"/>
    </font>
    <font>
      <color rgb="FF000000"/>
      <name val="Arial"/>
    </font>
    <font>
      <sz val="11.0"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0"/>
    </xf>
    <xf borderId="1" fillId="3" fontId="2" numFmtId="0" xfId="0" applyAlignment="1" applyBorder="1" applyFill="1" applyFont="1">
      <alignment readingOrder="0" shrinkToFit="0" wrapText="0"/>
    </xf>
    <xf borderId="1" fillId="3" fontId="2" numFmtId="0" xfId="0" applyAlignment="1" applyBorder="1" applyFill="1" applyFont="1">
      <alignment shrinkToFit="0" wrapText="0"/>
    </xf>
    <xf borderId="1" fillId="3" fontId="0" numFmtId="0" xfId="0" applyAlignment="1" applyBorder="1" applyFill="1" applyFont="1">
      <alignment readingOrder="0" shrinkToFit="0" wrapText="0"/>
    </xf>
    <xf borderId="1" fillId="3" fontId="1" numFmtId="0" xfId="0" applyAlignment="1" applyBorder="1" applyFill="1" applyFont="1">
      <alignment shrinkToFit="0" wrapText="0"/>
    </xf>
    <xf borderId="1" fillId="3" fontId="0" numFmtId="0" xfId="0" applyAlignment="1" applyBorder="1" applyFill="1" applyFont="1">
      <alignment horizontal="right" shrinkToFit="0" wrapText="0"/>
    </xf>
    <xf borderId="2" fillId="3" fontId="0" numFmtId="0" xfId="0" applyAlignment="1" applyBorder="1" applyFill="1" applyFont="1">
      <alignment shrinkToFit="0" wrapText="0"/>
    </xf>
    <xf borderId="0" fillId="0" fontId="3" numFmtId="0" xfId="0" applyAlignment="1" applyFont="1">
      <alignment shrinkToFit="0" wrapText="0"/>
    </xf>
    <xf borderId="1" fillId="2" fontId="1" numFmtId="0" xfId="0" applyAlignment="1" applyBorder="1" applyFill="1" applyFont="1">
      <alignment shrinkToFit="0" wrapText="0"/>
    </xf>
    <xf borderId="1" fillId="2" fontId="4" numFmtId="0" xfId="0" applyAlignment="1" applyBorder="1" applyFill="1" applyFont="1">
      <alignment horizontal="right" shrinkToFit="0" wrapText="0"/>
    </xf>
    <xf borderId="0" fillId="0" fontId="5" numFmtId="0" xfId="0" applyAlignment="1" applyFont="1">
      <alignment shrinkToFit="0" wrapText="0"/>
    </xf>
    <xf borderId="1" fillId="2" fontId="4" numFmtId="0" xfId="0" applyAlignment="1" applyBorder="1" applyFill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4" xfId="0" applyAlignment="1" applyFont="1" applyNumberFormat="1">
      <alignment shrinkToFit="0" wrapText="0"/>
    </xf>
    <xf borderId="0" fillId="0" fontId="6" numFmtId="0" xfId="0" applyAlignment="1" applyFont="1">
      <alignment shrinkToFit="0" wrapText="0"/>
    </xf>
    <xf borderId="1" fillId="3" fontId="0" numFmtId="0" xfId="0" applyAlignment="1" applyBorder="1" applyFill="1" applyFont="1">
      <alignment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1" fillId="3" fontId="7" numFmtId="14" xfId="0" applyAlignment="1" applyBorder="1" applyFill="1" applyFont="1" applyNumberFormat="1">
      <alignment horizontal="center" shrinkToFit="0" wrapText="0"/>
    </xf>
    <xf borderId="1" fillId="3" fontId="8" numFmtId="0" xfId="0" applyAlignment="1" applyBorder="1" applyFill="1" applyFont="1">
      <alignment horizontal="center" shrinkToFit="0" wrapText="0"/>
    </xf>
    <xf borderId="2" fillId="3" fontId="9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readingOrder="0" shrinkToFit="0" wrapText="0"/>
    </xf>
    <xf borderId="1" fillId="2" fontId="10" numFmtId="14" xfId="0" applyAlignment="1" applyBorder="1" applyFill="1" applyFont="1" applyNumberFormat="1">
      <alignment horizontal="center" shrinkToFit="0" wrapText="0"/>
    </xf>
    <xf borderId="0" fillId="0" fontId="2" numFmtId="4" xfId="0" applyAlignment="1" applyFont="1" applyNumberFormat="1">
      <alignment shrinkToFit="0" wrapText="0"/>
    </xf>
    <xf borderId="1" fillId="2" fontId="11" numFmtId="0" xfId="0" applyAlignment="1" applyBorder="1" applyFill="1" applyFont="1">
      <alignment horizontal="center"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2" numFmtId="4" xfId="0" applyAlignment="1" applyFont="1" applyNumberFormat="1">
      <alignment readingOrder="0" shrinkToFit="0" wrapText="0"/>
    </xf>
    <xf borderId="1" fillId="3" fontId="0" numFmtId="164" xfId="0" applyAlignment="1" applyBorder="1" applyFill="1" applyFont="1" applyNumberFormat="1">
      <alignment shrinkToFit="0" wrapText="0"/>
    </xf>
    <xf borderId="1" fillId="2" fontId="4" numFmtId="165" xfId="0" applyAlignment="1" applyBorder="1" applyFill="1" applyFont="1" applyNumberFormat="1">
      <alignment shrinkToFit="0" wrapText="0"/>
    </xf>
    <xf borderId="1" fillId="2" fontId="4" numFmtId="166" xfId="0" applyAlignment="1" applyBorder="1" applyFill="1" applyFont="1" applyNumberFormat="1">
      <alignment shrinkToFit="0" wrapText="0"/>
    </xf>
    <xf borderId="2" fillId="3" fontId="0" numFmtId="166" xfId="0" applyAlignment="1" applyBorder="1" applyFill="1" applyFont="1" applyNumberFormat="1">
      <alignment shrinkToFit="0" wrapText="0"/>
    </xf>
    <xf borderId="0" fillId="2" fontId="4" numFmtId="165" xfId="0" applyAlignment="1" applyFill="1" applyFont="1" applyNumberFormat="1">
      <alignment shrinkToFit="0" wrapText="0"/>
    </xf>
    <xf borderId="0" fillId="2" fontId="4" numFmtId="0" xfId="0" applyAlignment="1" applyFill="1" applyFont="1">
      <alignment shrinkToFit="0" wrapText="0"/>
    </xf>
    <xf borderId="0" fillId="3" fontId="0" numFmtId="164" xfId="0" applyAlignment="1" applyFill="1" applyFont="1" applyNumberFormat="1">
      <alignment shrinkToFit="0" wrapText="0"/>
    </xf>
    <xf borderId="0" fillId="3" fontId="0" numFmtId="0" xfId="0" applyAlignment="1" applyFill="1" applyFont="1">
      <alignment shrinkToFit="0" wrapText="0"/>
    </xf>
    <xf borderId="1" fillId="3" fontId="0" numFmtId="167" xfId="0" applyAlignment="1" applyBorder="1" applyFill="1" applyFont="1" applyNumberFormat="1">
      <alignment shrinkToFit="0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1" numFmtId="0" xfId="0" applyAlignment="1" applyBorder="1" applyFill="1" applyFont="1">
      <alignment readingOrder="0" shrinkToFit="0" wrapText="0"/>
    </xf>
    <xf borderId="0" fillId="3" fontId="0" numFmtId="167" xfId="0" applyAlignment="1" applyFill="1" applyFont="1" applyNumberFormat="1">
      <alignment shrinkToFit="0" wrapText="0"/>
    </xf>
    <xf borderId="0" fillId="0" fontId="2" numFmtId="0" xfId="0" applyAlignment="1" applyFont="1">
      <alignment horizontal="center" shrinkToFit="0" wrapText="0"/>
    </xf>
    <xf borderId="0" fillId="0" fontId="2" numFmtId="4" xfId="0" applyAlignment="1" applyFont="1" applyNumberFormat="1">
      <alignment horizontal="center" shrinkToFit="0" wrapText="0"/>
    </xf>
    <xf borderId="0" fillId="0" fontId="5" numFmtId="0" xfId="0" applyAlignment="1" applyFont="1">
      <alignment readingOrder="0" shrinkToFit="0" wrapText="0"/>
    </xf>
    <xf borderId="0" fillId="0" fontId="0" numFmtId="0" xfId="0" applyAlignment="1" applyFont="1">
      <alignment shrinkToFit="0" vertical="bottom" wrapText="0"/>
    </xf>
    <xf borderId="0" fillId="0" fontId="5" numFmtId="4" xfId="0" applyAlignment="1" applyFont="1" applyNumberFormat="1">
      <alignment shrinkToFit="0" wrapText="0"/>
    </xf>
    <xf borderId="0" fillId="2" fontId="0" numFmtId="0" xfId="0" applyAlignment="1" applyFill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vertical="bottom" wrapText="0"/>
    </xf>
    <xf borderId="0" fillId="0" fontId="0" numFmtId="168" xfId="0" applyAlignment="1" applyFont="1" applyNumberFormat="1">
      <alignment readingOrder="0" shrinkToFit="0" vertical="bottom" wrapText="0"/>
    </xf>
    <xf borderId="0" fillId="0" fontId="0" numFmtId="4" xfId="0" applyAlignment="1" applyFont="1" applyNumberForma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5" numFmtId="0" xfId="0" applyAlignment="1" applyFont="1">
      <alignment shrinkToFit="0" wrapText="0"/>
    </xf>
    <xf borderId="0" fillId="0" fontId="0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166" xfId="0" applyAlignment="1" applyFont="1" applyNumberFormat="1">
      <alignment horizontal="left" readingOrder="0" shrinkToFit="0" vertical="bottom" wrapText="0"/>
    </xf>
    <xf borderId="0" fillId="0" fontId="0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8.29"/>
    <col customWidth="1" min="2" max="2" width="30.71"/>
    <col customWidth="1" min="3" max="3" width="12.14"/>
    <col customWidth="1" min="4" max="4" width="42.29"/>
    <col customWidth="1" min="5" max="5" width="16.86"/>
    <col customWidth="1" min="6" max="6" width="12.71"/>
    <col customWidth="1" min="7" max="7" width="20.43"/>
    <col customWidth="1" min="8" max="8" width="8.0"/>
    <col customWidth="1" min="9" max="9" width="11.57"/>
    <col customWidth="1" min="10" max="10" width="11.0"/>
    <col customWidth="1" min="11" max="17" width="6.57"/>
    <col customWidth="1" min="18" max="26" width="15.14"/>
  </cols>
  <sheetData>
    <row r="1">
      <c r="A1" s="1" t="s">
        <v>0</v>
      </c>
      <c r="B1" s="9" t="s">
        <v>1</v>
      </c>
      <c r="C1" s="10"/>
      <c r="D1" s="12"/>
      <c r="E1" s="15" t="s">
        <v>4</v>
      </c>
      <c r="F1" s="18">
        <f>SUM(C:C)</f>
        <v>-21745.509</v>
      </c>
      <c r="G1" s="13" t="s">
        <v>6</v>
      </c>
      <c r="H1" s="20"/>
      <c r="I1" s="18"/>
      <c r="J1" s="18"/>
      <c r="K1" s="18"/>
      <c r="L1" s="18"/>
      <c r="M1" s="14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9" t="s">
        <v>7</v>
      </c>
      <c r="B2" s="12">
        <f>COUNTIF(data!D:D,B1)</f>
        <v>92</v>
      </c>
      <c r="C2" s="10"/>
      <c r="D2" s="12"/>
      <c r="E2" s="15" t="s">
        <v>8</v>
      </c>
      <c r="F2" s="26">
        <v>102483.53</v>
      </c>
      <c r="G2" s="20"/>
      <c r="H2" s="20"/>
      <c r="I2" s="18"/>
      <c r="J2" s="18"/>
      <c r="K2" s="18"/>
      <c r="L2" s="18"/>
      <c r="M2" s="14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7" t="s">
        <v>9</v>
      </c>
      <c r="B3" s="29" t="s">
        <v>10</v>
      </c>
      <c r="C3" s="29" t="s">
        <v>11</v>
      </c>
      <c r="D3" s="29" t="s">
        <v>12</v>
      </c>
      <c r="E3" s="15" t="s">
        <v>13</v>
      </c>
      <c r="F3" s="15">
        <f>F1+F2</f>
        <v>80738.021</v>
      </c>
      <c r="G3" s="31"/>
      <c r="H3" s="20"/>
      <c r="I3" s="20"/>
      <c r="J3" s="18"/>
      <c r="K3" s="18"/>
      <c r="L3" s="18"/>
      <c r="M3" s="14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75" customHeight="1">
      <c r="A4" s="34">
        <f t="array" ref="A4">IF(ROWS(A$4:A4)&lt;=$B$2,INDEX(data!C$3:C$106299,SMALL(IF(data!$D$3:$D$106299=$B$1,ROW($A$2:$A$99132)-ROW($A$2)+1),ROWS(A$4:A4))),"")</f>
        <v>44557</v>
      </c>
      <c r="B4" s="12" t="str">
        <f t="array" ref="B4">IF(ROWS(B$4:B4)&lt;=$B$2,INDEX(data!A$3:A$106299,SMALL(IF(data!$D$3:$D$106299=$B$1,ROW($A$2:$A$99132)-ROW($A$2)+1),ROWS(B$4:B4))),"")</f>
        <v>MYPOS Бакалия</v>
      </c>
      <c r="C4" s="12">
        <f t="array" ref="C4">IF(ROWS(C$4:C4)&lt;=$B$2,INDEX(data!B$3:B$106299,SMALL(IF(data!$D$3:$D$106299=$B$1,ROW($A$2:$A$99132)-ROW($A$2)+1),ROWS(C$4:C4))),"")</f>
        <v>-0.01</v>
      </c>
      <c r="D4" s="12" t="str">
        <f t="array" ref="D4">IF(ROWS(D$4:D4)&lt;=$B$2,INDEX(data!E$3:E$106299,SMALL(IF(data!$D$3:$D$106299=$B$1,ROW($A$2:$A$99132)-ROW($A$2)+1),ROWS(D$4:D4))),"")</f>
        <v/>
      </c>
      <c r="E4" s="20"/>
      <c r="F4" s="18"/>
      <c r="G4" s="20"/>
      <c r="H4" s="20"/>
      <c r="I4" s="20"/>
      <c r="J4" s="18"/>
      <c r="K4" s="18"/>
      <c r="L4" s="18"/>
      <c r="M4" s="14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8.75" customHeight="1">
      <c r="A5" s="34">
        <f t="array" ref="A5">IF(ROWS(A$4:A5)&lt;=$B$2,INDEX(data!C$3:C$106299,SMALL(IF(data!$D$3:$D$106299=$B$1,ROW($A$2:$A$99132)-ROW($A$2)+1),ROWS(A$4:A5))),"")</f>
        <v>46025</v>
      </c>
      <c r="B5" s="12" t="str">
        <f t="array" ref="B5">IF(ROWS(B$4:B5)&lt;=$B$2,INDEX(data!A$3:A$106299,SMALL(IF(data!$D$3:$D$106299=$B$1,ROW($A$2:$A$99132)-ROW($A$2)+1),ROWS(B$4:B5))),"")</f>
        <v>ЗАЕМ</v>
      </c>
      <c r="C5" s="12">
        <f t="array" ref="C5">IF(ROWS(C$4:C5)&lt;=$B$2,INDEX(data!B$3:B$106299,SMALL(IF(data!$D$3:$D$106299=$B$1,ROW($A$2:$A$99132)-ROW($A$2)+1),ROWS(C$4:C5))),"")</f>
        <v>10001.16</v>
      </c>
      <c r="D5" s="12" t="str">
        <f t="array" ref="D5">IF(ROWS(D$4:D5)&lt;=$B$2,INDEX(data!E$3:E$106299,SMALL(IF(data!$D$3:$D$106299=$B$1,ROW($A$2:$A$99132)-ROW($A$2)+1),ROWS(D$4:D5))),"")</f>
        <v>Салдо скл + вътр. п-не</v>
      </c>
      <c r="E5" s="20"/>
      <c r="F5" s="18"/>
      <c r="G5" s="20"/>
      <c r="H5" s="20"/>
      <c r="I5" s="20"/>
      <c r="J5" s="18"/>
      <c r="K5" s="18"/>
      <c r="L5" s="18"/>
      <c r="M5" s="14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75" customHeight="1">
      <c r="A6" s="34">
        <f t="array" ref="A6">IF(ROWS(A$4:A6)&lt;=$B$2,INDEX(data!C$3:C$106299,SMALL(IF(data!$D$3:$D$106299=$B$1,ROW($A$2:$A$99132)-ROW($A$2)+1),ROWS(A$4:A6))),"")</f>
        <v>46027</v>
      </c>
      <c r="B6" s="12" t="str">
        <f t="array" ref="B6">IF(ROWS(B$4:B6)&lt;=$B$2,INDEX(data!A$3:A$106299,SMALL(IF(data!$D$3:$D$106299=$B$1,ROW($A$2:$A$99132)-ROW($A$2)+1),ROWS(B$4:B6))),"")</f>
        <v>КАСОВА КНИГА</v>
      </c>
      <c r="C6" s="12">
        <f t="array" ref="C6">IF(ROWS(C$4:C6)&lt;=$B$2,INDEX(data!B$3:B$106299,SMALL(IF(data!$D$3:$D$106299=$B$1,ROW($A$2:$A$99132)-ROW($A$2)+1),ROWS(C$4:C6))),"")</f>
        <v>-766.939</v>
      </c>
      <c r="D6" s="12" t="str">
        <f t="array" ref="D6">IF(ROWS(D$4:D6)&lt;=$B$2,INDEX(data!E$3:E$106299,SMALL(IF(data!$D$3:$D$106299=$B$1,ROW($A$2:$A$99132)-ROW($A$2)+1),ROWS(D$4:D6))),"")</f>
        <v>банка 02.01</v>
      </c>
      <c r="E6" s="20"/>
      <c r="F6" s="18"/>
      <c r="G6" s="20"/>
      <c r="H6" s="20"/>
      <c r="I6" s="20"/>
      <c r="J6" s="18"/>
      <c r="K6" s="18"/>
      <c r="L6" s="18"/>
      <c r="M6" s="14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8.75" customHeight="1">
      <c r="A7" s="34">
        <f t="array" ref="A7">IF(ROWS(A$4:A7)&lt;=$B$2,INDEX(data!C$3:C$106299,SMALL(IF(data!$D$3:$D$106299=$B$1,ROW($A$2:$A$99132)-ROW($A$2)+1),ROWS(A$4:A7))),"")</f>
        <v>46027</v>
      </c>
      <c r="B7" s="12" t="str">
        <f t="array" ref="B7">IF(ROWS(B$4:B7)&lt;=$B$2,INDEX(data!A$3:A$106299,SMALL(IF(data!$D$3:$D$106299=$B$1,ROW($A$2:$A$99132)-ROW($A$2)+1),ROWS(B$4:B7))),"")</f>
        <v>MYPOS Бакалия</v>
      </c>
      <c r="C7" s="12">
        <f t="array" ref="C7">IF(ROWS(C$4:C7)&lt;=$B$2,INDEX(data!B$3:B$106299,SMALL(IF(data!$D$3:$D$106299=$B$1,ROW($A$2:$A$99132)-ROW($A$2)+1),ROWS(C$4:C7))),"")</f>
        <v>-1969.27</v>
      </c>
      <c r="D7" s="12" t="str">
        <f t="array" ref="D7">IF(ROWS(D$4:D7)&lt;=$B$2,INDEX(data!E$3:E$106299,SMALL(IF(data!$D$3:$D$106299=$B$1,ROW($A$2:$A$99132)-ROW($A$2)+1),ROWS(D$4:D7))),"")</f>
        <v/>
      </c>
      <c r="E7" s="20"/>
      <c r="F7" s="18"/>
      <c r="G7" s="20"/>
      <c r="H7" s="20"/>
      <c r="I7" s="20"/>
      <c r="J7" s="18"/>
      <c r="K7" s="18"/>
      <c r="L7" s="18"/>
      <c r="M7" s="14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8.75" customHeight="1">
      <c r="A8" s="34">
        <f t="array" ref="A8">IF(ROWS(A$4:A8)&lt;=$B$2,INDEX(data!C$3:C$106299,SMALL(IF(data!$D$3:$D$106299=$B$1,ROW($A$2:$A$99132)-ROW($A$2)+1),ROWS(A$4:A8))),"")</f>
        <v>46027</v>
      </c>
      <c r="B8" s="12" t="str">
        <f t="array" ref="B8">IF(ROWS(B$4:B8)&lt;=$B$2,INDEX(data!A$3:A$106299,SMALL(IF(data!$D$3:$D$106299=$B$1,ROW($A$2:$A$99132)-ROW($A$2)+1),ROWS(B$4:B8))),"")</f>
        <v>КАСОВА КНИГА</v>
      </c>
      <c r="C8" s="12">
        <f t="array" ref="C8">IF(ROWS(C$4:C8)&lt;=$B$2,INDEX(data!B$3:B$106299,SMALL(IF(data!$D$3:$D$106299=$B$1,ROW($A$2:$A$99132)-ROW($A$2)+1),ROWS(C$4:C8))),"")</f>
        <v>-511.29</v>
      </c>
      <c r="D8" s="12" t="str">
        <f t="array" ref="D8">IF(ROWS(D$4:D8)&lt;=$B$2,INDEX(data!E$3:E$106299,SMALL(IF(data!$D$3:$D$106299=$B$1,ROW($A$2:$A$99132)-ROW($A$2)+1),ROWS(D$4:D8))),"")</f>
        <v/>
      </c>
      <c r="E8" s="20"/>
      <c r="F8" s="18"/>
      <c r="G8" s="20"/>
      <c r="H8" s="20"/>
      <c r="I8" s="20"/>
      <c r="J8" s="18"/>
      <c r="K8" s="18"/>
      <c r="L8" s="18"/>
      <c r="M8" s="14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75" customHeight="1">
      <c r="A9" s="34">
        <f t="array" ref="A9">IF(ROWS(A$4:A9)&lt;=$B$2,INDEX(data!C$3:C$106299,SMALL(IF(data!$D$3:$D$106299=$B$1,ROW($A$2:$A$99132)-ROW($A$2)+1),ROWS(A$4:A9))),"")</f>
        <v>46027</v>
      </c>
      <c r="B9" s="12" t="str">
        <f t="array" ref="B9">IF(ROWS(B$4:B9)&lt;=$B$2,INDEX(data!A$3:A$106299,SMALL(IF(data!$D$3:$D$106299=$B$1,ROW($A$2:$A$99132)-ROW($A$2)+1),ROWS(B$4:B9))),"")</f>
        <v>MYPOS Бакалия</v>
      </c>
      <c r="C9" s="12">
        <f t="array" ref="C9">IF(ROWS(C$4:C9)&lt;=$B$2,INDEX(data!B$3:B$106299,SMALL(IF(data!$D$3:$D$106299=$B$1,ROW($A$2:$A$99132)-ROW($A$2)+1),ROWS(C$4:C9))),"")</f>
        <v>-1917.13</v>
      </c>
      <c r="D9" s="12" t="str">
        <f t="array" ref="D9">IF(ROWS(D$4:D9)&lt;=$B$2,INDEX(data!E$3:E$106299,SMALL(IF(data!$D$3:$D$106299=$B$1,ROW($A$2:$A$99132)-ROW($A$2)+1),ROWS(D$4:D9))),"")</f>
        <v>29-31,12</v>
      </c>
      <c r="E9" s="20"/>
      <c r="F9" s="18"/>
      <c r="G9" s="20"/>
      <c r="H9" s="20"/>
      <c r="I9" s="20"/>
      <c r="J9" s="18"/>
      <c r="K9" s="18"/>
      <c r="L9" s="18"/>
      <c r="M9" s="14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8.75" customHeight="1">
      <c r="A10" s="34">
        <f t="array" ref="A10">IF(ROWS(A$4:A10)&lt;=$B$2,INDEX(data!C$3:C$106299,SMALL(IF(data!$D$3:$D$106299=$B$1,ROW($A$2:$A$99132)-ROW($A$2)+1),ROWS(A$4:A10))),"")</f>
        <v>46027</v>
      </c>
      <c r="B10" s="12" t="str">
        <f t="array" ref="B10">IF(ROWS(B$4:B10)&lt;=$B$2,INDEX(data!A$3:A$106299,SMALL(IF(data!$D$3:$D$106299=$B$1,ROW($A$2:$A$99132)-ROW($A$2)+1),ROWS(B$4:B10))),"")</f>
        <v>КАСОВА КНИГА</v>
      </c>
      <c r="C10" s="12">
        <f t="array" ref="C10">IF(ROWS(C$4:C10)&lt;=$B$2,INDEX(data!B$3:B$106299,SMALL(IF(data!$D$3:$D$106299=$B$1,ROW($A$2:$A$99132)-ROW($A$2)+1),ROWS(C$4:C10))),"")</f>
        <v>5110</v>
      </c>
      <c r="D10" s="12" t="str">
        <f t="array" ref="D10">IF(ROWS(D$4:D10)&lt;=$B$2,INDEX(data!E$3:E$106299,SMALL(IF(data!$D$3:$D$106299=$B$1,ROW($A$2:$A$99132)-ROW($A$2)+1),ROWS(D$4:D10))),"")</f>
        <v>евро</v>
      </c>
      <c r="E10" s="20"/>
      <c r="F10" s="18"/>
      <c r="G10" s="20"/>
      <c r="H10" s="20"/>
      <c r="I10" s="20"/>
      <c r="J10" s="18"/>
      <c r="K10" s="18"/>
      <c r="L10" s="18"/>
      <c r="M10" s="14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75" customHeight="1">
      <c r="A11" s="34">
        <f t="array" ref="A11">IF(ROWS(A$4:A11)&lt;=$B$2,INDEX(data!C$3:C$106299,SMALL(IF(data!$D$3:$D$106299=$B$1,ROW($A$2:$A$99132)-ROW($A$2)+1),ROWS(A$4:A11))),"")</f>
        <v>46029</v>
      </c>
      <c r="B11" s="12" t="str">
        <f t="array" ref="B11">IF(ROWS(B$4:B11)&lt;=$B$2,INDEX(data!A$3:A$106299,SMALL(IF(data!$D$3:$D$106299=$B$1,ROW($A$2:$A$99132)-ROW($A$2)+1),ROWS(B$4:B11))),"")</f>
        <v>КАСОВА КНИГА</v>
      </c>
      <c r="C11" s="12">
        <f t="array" ref="C11">IF(ROWS(C$4:C11)&lt;=$B$2,INDEX(data!B$3:B$106299,SMALL(IF(data!$D$3:$D$106299=$B$1,ROW($A$2:$A$99132)-ROW($A$2)+1),ROWS(C$4:C11))),"")</f>
        <v>-2000</v>
      </c>
      <c r="D11" s="12" t="str">
        <f t="array" ref="D11">IF(ROWS(D$4:D11)&lt;=$B$2,INDEX(data!E$3:E$106299,SMALL(IF(data!$D$3:$D$106299=$B$1,ROW($A$2:$A$99132)-ROW($A$2)+1),ROWS(D$4:D11))),"")</f>
        <v/>
      </c>
      <c r="E11" s="20"/>
      <c r="F11" s="18"/>
      <c r="G11" s="20"/>
      <c r="H11" s="20"/>
      <c r="I11" s="20"/>
      <c r="J11" s="18"/>
      <c r="K11" s="18"/>
      <c r="L11" s="18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75" customHeight="1">
      <c r="A12" s="34">
        <f t="array" ref="A12">IF(ROWS(A$4:A12)&lt;=$B$2,INDEX(data!C$3:C$106299,SMALL(IF(data!$D$3:$D$106299=$B$1,ROW($A$2:$A$99132)-ROW($A$2)+1),ROWS(A$4:A12))),"")</f>
        <v>46035</v>
      </c>
      <c r="B12" s="12" t="str">
        <f t="array" ref="B12">IF(ROWS(B$4:B12)&lt;=$B$2,INDEX(data!A$3:A$106299,SMALL(IF(data!$D$3:$D$106299=$B$1,ROW($A$2:$A$99132)-ROW($A$2)+1),ROWS(B$4:B12))),"")</f>
        <v>MYPOS Бакалия</v>
      </c>
      <c r="C12" s="12">
        <f t="array" ref="C12">IF(ROWS(C$4:C12)&lt;=$B$2,INDEX(data!B$3:B$106299,SMALL(IF(data!$D$3:$D$106299=$B$1,ROW($A$2:$A$99132)-ROW($A$2)+1),ROWS(C$4:C12))),"")</f>
        <v>-5987.93</v>
      </c>
      <c r="D12" s="12" t="str">
        <f t="array" ref="D12">IF(ROWS(D$4:D12)&lt;=$B$2,INDEX(data!E$3:E$106299,SMALL(IF(data!$D$3:$D$106299=$B$1,ROW($A$2:$A$99132)-ROW($A$2)+1),ROWS(D$4:D12))),"")</f>
        <v/>
      </c>
      <c r="E12" s="20"/>
      <c r="F12" s="18"/>
      <c r="G12" s="20"/>
      <c r="H12" s="20"/>
      <c r="I12" s="20"/>
      <c r="J12" s="18"/>
      <c r="K12" s="18"/>
      <c r="L12" s="18"/>
      <c r="M12" s="14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75" customHeight="1">
      <c r="A13" s="34">
        <f t="array" ref="A13">IF(ROWS(A$4:A13)&lt;=$B$2,INDEX(data!C$3:C$106299,SMALL(IF(data!$D$3:$D$106299=$B$1,ROW($A$2:$A$99132)-ROW($A$2)+1),ROWS(A$4:A13))),"")</f>
        <v>46041</v>
      </c>
      <c r="B13" s="12" t="str">
        <f t="array" ref="B13">IF(ROWS(B$4:B13)&lt;=$B$2,INDEX(data!A$3:A$106299,SMALL(IF(data!$D$3:$D$106299=$B$1,ROW($A$2:$A$99132)-ROW($A$2)+1),ROWS(B$4:B13))),"")</f>
        <v>MYPOS Бакалия</v>
      </c>
      <c r="C13" s="12">
        <f t="array" ref="C13">IF(ROWS(C$4:C13)&lt;=$B$2,INDEX(data!B$3:B$106299,SMALL(IF(data!$D$3:$D$106299=$B$1,ROW($A$2:$A$99132)-ROW($A$2)+1),ROWS(C$4:C13))),"")</f>
        <v>-6604.29</v>
      </c>
      <c r="D13" s="12" t="str">
        <f t="array" ref="D13">IF(ROWS(D$4:D13)&lt;=$B$2,INDEX(data!E$3:E$106299,SMALL(IF(data!$D$3:$D$106299=$B$1,ROW($A$2:$A$99132)-ROW($A$2)+1),ROWS(D$4:D13))),"")</f>
        <v/>
      </c>
      <c r="E13" s="20"/>
      <c r="F13" s="18"/>
      <c r="G13" s="20"/>
      <c r="H13" s="20"/>
      <c r="I13" s="20"/>
      <c r="J13" s="18"/>
      <c r="K13" s="18"/>
      <c r="L13" s="18"/>
      <c r="M13" s="14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75" customHeight="1">
      <c r="A14" s="34">
        <f t="array" ref="A14">IF(ROWS(A$4:A14)&lt;=$B$2,INDEX(data!C$3:C$106299,SMALL(IF(data!$D$3:$D$106299=$B$1,ROW($A$2:$A$99132)-ROW($A$2)+1),ROWS(A$4:A14))),"")</f>
        <v>46041</v>
      </c>
      <c r="B14" s="12" t="str">
        <f t="array" ref="B14">IF(ROWS(B$4:B14)&lt;=$B$2,INDEX(data!A$3:A$106299,SMALL(IF(data!$D$3:$D$106299=$B$1,ROW($A$2:$A$99132)-ROW($A$2)+1),ROWS(B$4:B14))),"")</f>
        <v>КАСОВА КНИГА</v>
      </c>
      <c r="C14" s="12">
        <f t="array" ref="C14">IF(ROWS(C$4:C14)&lt;=$B$2,INDEX(data!B$3:B$106299,SMALL(IF(data!$D$3:$D$106299=$B$1,ROW($A$2:$A$99132)-ROW($A$2)+1),ROWS(C$4:C14))),"")</f>
        <v>-222</v>
      </c>
      <c r="D14" s="12" t="str">
        <f t="array" ref="D14">IF(ROWS(D$4:D14)&lt;=$B$2,INDEX(data!E$3:E$106299,SMALL(IF(data!$D$3:$D$106299=$B$1,ROW($A$2:$A$99132)-ROW($A$2)+1),ROWS(D$4:D14))),"")</f>
        <v/>
      </c>
      <c r="E14" s="20"/>
      <c r="F14" s="18"/>
      <c r="G14" s="20"/>
      <c r="H14" s="20"/>
      <c r="I14" s="20"/>
      <c r="J14" s="18"/>
      <c r="K14" s="18"/>
      <c r="L14" s="18"/>
      <c r="M14" s="14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75" customHeight="1">
      <c r="A15" s="34">
        <f t="array" ref="A15">IF(ROWS(A$4:A15)&lt;=$B$2,INDEX(data!C$3:C$106299,SMALL(IF(data!$D$3:$D$106299=$B$1,ROW($A$2:$A$99132)-ROW($A$2)+1),ROWS(A$4:A15))),"")</f>
        <v>46043</v>
      </c>
      <c r="B15" s="12" t="str">
        <f t="array" ref="B15">IF(ROWS(B$4:B15)&lt;=$B$2,INDEX(data!A$3:A$106299,SMALL(IF(data!$D$3:$D$106299=$B$1,ROW($A$2:$A$99132)-ROW($A$2)+1),ROWS(B$4:B15))),"")</f>
        <v>Каса ВАУЧЕРИ</v>
      </c>
      <c r="C15" s="12">
        <f t="array" ref="C15">IF(ROWS(C$4:C15)&lt;=$B$2,INDEX(data!B$3:B$106299,SMALL(IF(data!$D$3:$D$106299=$B$1,ROW($A$2:$A$99132)-ROW($A$2)+1),ROWS(C$4:C15))),"")</f>
        <v>409.03</v>
      </c>
      <c r="D15" s="12" t="str">
        <f t="array" ref="D15">IF(ROWS(D$4:D15)&lt;=$B$2,INDEX(data!E$3:E$106299,SMALL(IF(data!$D$3:$D$106299=$B$1,ROW($A$2:$A$99132)-ROW($A$2)+1),ROWS(D$4:D15))),"")</f>
        <v>ваучери персонал</v>
      </c>
      <c r="E15" s="20"/>
      <c r="F15" s="18"/>
      <c r="G15" s="20"/>
      <c r="H15" s="20"/>
      <c r="I15" s="20"/>
      <c r="J15" s="18"/>
      <c r="K15" s="18"/>
      <c r="L15" s="18"/>
      <c r="M15" s="14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75" customHeight="1">
      <c r="A16" s="34">
        <f t="array" ref="A16">IF(ROWS(A$4:A16)&lt;=$B$2,INDEX(data!C$3:C$106299,SMALL(IF(data!$D$3:$D$106299=$B$1,ROW($A$2:$A$99132)-ROW($A$2)+1),ROWS(A$4:A16))),"")</f>
        <v>46045</v>
      </c>
      <c r="B16" s="12" t="str">
        <f t="array" ref="B16">IF(ROWS(B$4:B16)&lt;=$B$2,INDEX(data!A$3:A$106299,SMALL(IF(data!$D$3:$D$106299=$B$1,ROW($A$2:$A$99132)-ROW($A$2)+1),ROWS(B$4:B16))),"")</f>
        <v>КАСОВА КНИГА</v>
      </c>
      <c r="C16" s="12">
        <f t="array" ref="C16">IF(ROWS(C$4:C16)&lt;=$B$2,INDEX(data!B$3:B$106299,SMALL(IF(data!$D$3:$D$106299=$B$1,ROW($A$2:$A$99132)-ROW($A$2)+1),ROWS(C$4:C16))),"")</f>
        <v>660</v>
      </c>
      <c r="D16" s="12" t="str">
        <f t="array" ref="D16">IF(ROWS(D$4:D16)&lt;=$B$2,INDEX(data!E$3:E$106299,SMALL(IF(data!$D$3:$D$106299=$B$1,ROW($A$2:$A$99132)-ROW($A$2)+1),ROWS(D$4:D16))),"")</f>
        <v>заем</v>
      </c>
      <c r="E16" s="20"/>
      <c r="F16" s="18"/>
      <c r="G16" s="20"/>
      <c r="H16" s="20"/>
      <c r="I16" s="20"/>
      <c r="J16" s="18"/>
      <c r="K16" s="18"/>
      <c r="L16" s="18"/>
      <c r="M16" s="14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75" customHeight="1">
      <c r="A17" s="34">
        <f t="array" ref="A17">IF(ROWS(A$4:A17)&lt;=$B$2,INDEX(data!C$3:C$106299,SMALL(IF(data!$D$3:$D$106299=$B$1,ROW($A$2:$A$99132)-ROW($A$2)+1),ROWS(A$4:A17))),"")</f>
        <v>46048</v>
      </c>
      <c r="B17" s="12" t="str">
        <f t="array" ref="B17">IF(ROWS(B$4:B17)&lt;=$B$2,INDEX(data!A$3:A$106299,SMALL(IF(data!$D$3:$D$106299=$B$1,ROW($A$2:$A$99132)-ROW($A$2)+1),ROWS(B$4:B17))),"")</f>
        <v>MYPOS Бакалия</v>
      </c>
      <c r="C17" s="12">
        <f t="array" ref="C17">IF(ROWS(C$4:C17)&lt;=$B$2,INDEX(data!B$3:B$106299,SMALL(IF(data!$D$3:$D$106299=$B$1,ROW($A$2:$A$99132)-ROW($A$2)+1),ROWS(C$4:C17))),"")</f>
        <v>-4153.54</v>
      </c>
      <c r="D17" s="12" t="str">
        <f t="array" ref="D17">IF(ROWS(D$4:D17)&lt;=$B$2,INDEX(data!E$3:E$106299,SMALL(IF(data!$D$3:$D$106299=$B$1,ROW($A$2:$A$99132)-ROW($A$2)+1),ROWS(D$4:D17))),"")</f>
        <v/>
      </c>
      <c r="E17" s="20"/>
      <c r="F17" s="18"/>
      <c r="G17" s="20"/>
      <c r="H17" s="20"/>
      <c r="I17" s="20"/>
      <c r="J17" s="18"/>
      <c r="K17" s="18"/>
      <c r="L17" s="18"/>
      <c r="M17" s="14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75" customHeight="1">
      <c r="A18" s="34">
        <f t="array" ref="A18">IF(ROWS(A$4:A18)&lt;=$B$2,INDEX(data!C$3:C$106299,SMALL(IF(data!$D$3:$D$106299=$B$1,ROW($A$2:$A$99132)-ROW($A$2)+1),ROWS(A$4:A18))),"")</f>
        <v>46048</v>
      </c>
      <c r="B18" s="12" t="str">
        <f t="array" ref="B18">IF(ROWS(B$4:B18)&lt;=$B$2,INDEX(data!A$3:A$106299,SMALL(IF(data!$D$3:$D$106299=$B$1,ROW($A$2:$A$99132)-ROW($A$2)+1),ROWS(B$4:B18))),"")</f>
        <v>КАСОВА КНИГА</v>
      </c>
      <c r="C18" s="12">
        <f t="array" ref="C18">IF(ROWS(C$4:C18)&lt;=$B$2,INDEX(data!B$3:B$106299,SMALL(IF(data!$D$3:$D$106299=$B$1,ROW($A$2:$A$99132)-ROW($A$2)+1),ROWS(C$4:C18))),"")</f>
        <v>-255.654</v>
      </c>
      <c r="D18" s="12" t="str">
        <f t="array" ref="D18">IF(ROWS(D$4:D18)&lt;=$B$2,INDEX(data!E$3:E$106299,SMALL(IF(data!$D$3:$D$106299=$B$1,ROW($A$2:$A$99132)-ROW($A$2)+1),ROWS(D$4:D18))),"")</f>
        <v/>
      </c>
      <c r="E18" s="20"/>
      <c r="F18" s="18"/>
      <c r="G18" s="20"/>
      <c r="H18" s="20"/>
      <c r="I18" s="20"/>
      <c r="J18" s="18"/>
      <c r="K18" s="18"/>
      <c r="L18" s="18"/>
      <c r="M18" s="14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75" customHeight="1">
      <c r="A19" s="34">
        <f t="array" ref="A19">IF(ROWS(A$4:A19)&lt;=$B$2,INDEX(data!C$3:C$106299,SMALL(IF(data!$D$3:$D$106299=$B$1,ROW($A$2:$A$99132)-ROW($A$2)+1),ROWS(A$4:A19))),"")</f>
        <v>46049</v>
      </c>
      <c r="B19" s="12" t="str">
        <f t="array" ref="B19">IF(ROWS(B$4:B19)&lt;=$B$2,INDEX(data!A$3:A$106299,SMALL(IF(data!$D$3:$D$106299=$B$1,ROW($A$2:$A$99132)-ROW($A$2)+1),ROWS(B$4:B19))),"")</f>
        <v>ПОС ДСК Бакалия</v>
      </c>
      <c r="C19" s="12">
        <f t="array" ref="C19">IF(ROWS(C$4:C19)&lt;=$B$2,INDEX(data!B$3:B$106299,SMALL(IF(data!$D$3:$D$106299=$B$1,ROW($A$2:$A$99132)-ROW($A$2)+1),ROWS(C$4:C19))),"")</f>
        <v>-3261.97</v>
      </c>
      <c r="D19" s="12" t="str">
        <f t="array" ref="D19">IF(ROWS(D$4:D19)&lt;=$B$2,INDEX(data!E$3:E$106299,SMALL(IF(data!$D$3:$D$106299=$B$1,ROW($A$2:$A$99132)-ROW($A$2)+1),ROWS(D$4:D19))),"")</f>
        <v>17-23,01</v>
      </c>
      <c r="E19" s="20"/>
      <c r="F19" s="18"/>
      <c r="G19" s="20"/>
      <c r="H19" s="20"/>
      <c r="I19" s="20"/>
      <c r="J19" s="18"/>
      <c r="K19" s="18"/>
      <c r="L19" s="18"/>
      <c r="M19" s="14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75" customHeight="1">
      <c r="A20" s="34">
        <f t="array" ref="A20">IF(ROWS(A$4:A20)&lt;=$B$2,INDEX(data!C$3:C$106299,SMALL(IF(data!$D$3:$D$106299=$B$1,ROW($A$2:$A$99132)-ROW($A$2)+1),ROWS(A$4:A20))),"")</f>
        <v>46055</v>
      </c>
      <c r="B20" s="12" t="str">
        <f t="array" ref="B20">IF(ROWS(B$4:B20)&lt;=$B$2,INDEX(data!A$3:A$106299,SMALL(IF(data!$D$3:$D$106299=$B$1,ROW($A$2:$A$99132)-ROW($A$2)+1),ROWS(B$4:B20))),"")</f>
        <v>MYPOS Бакалия</v>
      </c>
      <c r="C20" s="12">
        <f t="array" ref="C20">IF(ROWS(C$4:C20)&lt;=$B$2,INDEX(data!B$3:B$106299,SMALL(IF(data!$D$3:$D$106299=$B$1,ROW($A$2:$A$99132)-ROW($A$2)+1),ROWS(C$4:C20))),"")</f>
        <v>-6313.25</v>
      </c>
      <c r="D20" s="12" t="str">
        <f t="array" ref="D20">IF(ROWS(D$4:D20)&lt;=$B$2,INDEX(data!E$3:E$106299,SMALL(IF(data!$D$3:$D$106299=$B$1,ROW($A$2:$A$99132)-ROW($A$2)+1),ROWS(D$4:D20))),"")</f>
        <v/>
      </c>
      <c r="E20" s="20"/>
      <c r="F20" s="18"/>
      <c r="G20" s="20"/>
      <c r="H20" s="20"/>
      <c r="I20" s="20"/>
      <c r="J20" s="18"/>
      <c r="K20" s="18"/>
      <c r="L20" s="18"/>
      <c r="M20" s="14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75" customHeight="1">
      <c r="A21" s="34">
        <f t="array" ref="A21">IF(ROWS(A$4:A21)&lt;=$B$2,INDEX(data!C$3:C$106299,SMALL(IF(data!$D$3:$D$106299=$B$1,ROW($A$2:$A$99132)-ROW($A$2)+1),ROWS(A$4:A21))),"")</f>
        <v>46057</v>
      </c>
      <c r="B21" s="12" t="str">
        <f t="array" ref="B21">IF(ROWS(B$4:B21)&lt;=$B$2,INDEX(data!A$3:A$106299,SMALL(IF(data!$D$3:$D$106299=$B$1,ROW($A$2:$A$99132)-ROW($A$2)+1),ROWS(B$4:B21))),"")</f>
        <v>КАСОВА КНИГА</v>
      </c>
      <c r="C21" s="12">
        <f t="array" ref="C21">IF(ROWS(C$4:C21)&lt;=$B$2,INDEX(data!B$3:B$106299,SMALL(IF(data!$D$3:$D$106299=$B$1,ROW($A$2:$A$99132)-ROW($A$2)+1),ROWS(C$4:C21))),"")</f>
        <v>-413.65</v>
      </c>
      <c r="D21" s="12" t="str">
        <f t="array" ref="D21">IF(ROWS(D$4:D21)&lt;=$B$2,INDEX(data!E$3:E$106299,SMALL(IF(data!$D$3:$D$106299=$B$1,ROW($A$2:$A$99132)-ROW($A$2)+1),ROWS(D$4:D21))),"")</f>
        <v>809,02лв</v>
      </c>
      <c r="E21" s="20"/>
      <c r="F21" s="18"/>
      <c r="G21" s="20"/>
      <c r="H21" s="20"/>
      <c r="I21" s="20"/>
      <c r="J21" s="18"/>
      <c r="K21" s="18"/>
      <c r="L21" s="18"/>
      <c r="M21" s="14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75" customHeight="1">
      <c r="A22" s="34">
        <f t="array" ref="A22">IF(ROWS(A$4:A22)&lt;=$B$2,INDEX(data!C$3:C$106299,SMALL(IF(data!$D$3:$D$106299=$B$1,ROW($A$2:$A$99132)-ROW($A$2)+1),ROWS(A$4:A22))),"")</f>
        <v>46057</v>
      </c>
      <c r="B22" s="12" t="str">
        <f t="array" ref="B22">IF(ROWS(B$4:B22)&lt;=$B$2,INDEX(data!A$3:A$106299,SMALL(IF(data!$D$3:$D$106299=$B$1,ROW($A$2:$A$99132)-ROW($A$2)+1),ROWS(B$4:B22))),"")</f>
        <v>Каса ВАУЧЕРИ</v>
      </c>
      <c r="C22" s="12">
        <f t="array" ref="C22">IF(ROWS(C$4:C22)&lt;=$B$2,INDEX(data!B$3:B$106299,SMALL(IF(data!$D$3:$D$106299=$B$1,ROW($A$2:$A$99132)-ROW($A$2)+1),ROWS(C$4:C22))),"")</f>
        <v>-20</v>
      </c>
      <c r="D22" s="12" t="str">
        <f t="array" ref="D22">IF(ROWS(D$4:D22)&lt;=$B$2,INDEX(data!E$3:E$106299,SMALL(IF(data!$D$3:$D$106299=$B$1,ROW($A$2:$A$99132)-ROW($A$2)+1),ROWS(D$4:D22))),"")</f>
        <v/>
      </c>
      <c r="E22" s="20"/>
      <c r="F22" s="18"/>
      <c r="G22" s="20"/>
      <c r="H22" s="20"/>
      <c r="I22" s="20"/>
      <c r="J22" s="18"/>
      <c r="K22" s="18"/>
      <c r="L22" s="18"/>
      <c r="M22" s="14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75" customHeight="1">
      <c r="A23" s="34">
        <f t="array" ref="A23">IF(ROWS(A$4:A23)&lt;=$B$2,INDEX(data!C$3:C$106299,SMALL(IF(data!$D$3:$D$106299=$B$1,ROW($A$2:$A$99132)-ROW($A$2)+1),ROWS(A$4:A23))),"")</f>
        <v>46062</v>
      </c>
      <c r="B23" s="12" t="str">
        <f t="array" ref="B23">IF(ROWS(B$4:B23)&lt;=$B$2,INDEX(data!A$3:A$106299,SMALL(IF(data!$D$3:$D$106299=$B$1,ROW($A$2:$A$99132)-ROW($A$2)+1),ROWS(B$4:B23))),"")</f>
        <v>MYPOS Бакалия</v>
      </c>
      <c r="C23" s="12">
        <f t="array" ref="C23">IF(ROWS(C$4:C23)&lt;=$B$2,INDEX(data!B$3:B$106299,SMALL(IF(data!$D$3:$D$106299=$B$1,ROW($A$2:$A$99132)-ROW($A$2)+1),ROWS(C$4:C23))),"")</f>
        <v>-7251.21</v>
      </c>
      <c r="D23" s="12" t="str">
        <f t="array" ref="D23">IF(ROWS(D$4:D23)&lt;=$B$2,INDEX(data!E$3:E$106299,SMALL(IF(data!$D$3:$D$106299=$B$1,ROW($A$2:$A$99132)-ROW($A$2)+1),ROWS(D$4:D23))),"")</f>
        <v/>
      </c>
      <c r="E23" s="20"/>
      <c r="F23" s="18"/>
      <c r="G23" s="20"/>
      <c r="H23" s="20"/>
      <c r="I23" s="20"/>
      <c r="J23" s="18"/>
      <c r="K23" s="18"/>
      <c r="L23" s="18"/>
      <c r="M23" s="14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75" customHeight="1">
      <c r="A24" s="34">
        <f t="array" ref="A24">IF(ROWS(A$4:A24)&lt;=$B$2,INDEX(data!C$3:C$106299,SMALL(IF(data!$D$3:$D$106299=$B$1,ROW($A$2:$A$99132)-ROW($A$2)+1),ROWS(A$4:A24))),"")</f>
        <v>46062</v>
      </c>
      <c r="B24" s="12" t="str">
        <f t="array" ref="B24">IF(ROWS(B$4:B24)&lt;=$B$2,INDEX(data!A$3:A$106299,SMALL(IF(data!$D$3:$D$106299=$B$1,ROW($A$2:$A$99132)-ROW($A$2)+1),ROWS(B$4:B24))),"")</f>
        <v>ЗАЕМ</v>
      </c>
      <c r="C24" s="12">
        <f t="array" ref="C24">IF(ROWS(C$4:C24)&lt;=$B$2,INDEX(data!B$3:B$106299,SMALL(IF(data!$D$3:$D$106299=$B$1,ROW($A$2:$A$99132)-ROW($A$2)+1),ROWS(C$4:C24))),"")</f>
        <v>30423.65</v>
      </c>
      <c r="D24" s="12" t="str">
        <f t="array" ref="D24">IF(ROWS(D$4:D24)&lt;=$B$2,INDEX(data!E$3:E$106299,SMALL(IF(data!$D$3:$D$106299=$B$1,ROW($A$2:$A$99132)-ROW($A$2)+1),ROWS(D$4:D24))),"")</f>
        <v>С-до склад + вътр п-не</v>
      </c>
      <c r="E24" s="20"/>
      <c r="F24" s="18"/>
      <c r="G24" s="20"/>
      <c r="H24" s="20"/>
      <c r="I24" s="20"/>
      <c r="J24" s="18"/>
      <c r="K24" s="18"/>
      <c r="L24" s="18"/>
      <c r="M24" s="14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8.75" customHeight="1">
      <c r="A25" s="34">
        <f t="array" ref="A25">IF(ROWS(A$4:A25)&lt;=$B$2,INDEX(data!C$3:C$106299,SMALL(IF(data!$D$3:$D$106299=$B$1,ROW($A$2:$A$99132)-ROW($A$2)+1),ROWS(A$4:A25))),"")</f>
        <v>46066</v>
      </c>
      <c r="B25" s="12" t="str">
        <f t="array" ref="B25">IF(ROWS(B$4:B25)&lt;=$B$2,INDEX(data!A$3:A$106299,SMALL(IF(data!$D$3:$D$106299=$B$1,ROW($A$2:$A$99132)-ROW($A$2)+1),ROWS(B$4:B25))),"")</f>
        <v>КАСОВА КНИГА</v>
      </c>
      <c r="C25" s="12">
        <f t="array" ref="C25">IF(ROWS(C$4:C25)&lt;=$B$2,INDEX(data!B$3:B$106299,SMALL(IF(data!$D$3:$D$106299=$B$1,ROW($A$2:$A$99132)-ROW($A$2)+1),ROWS(C$4:C25))),"")</f>
        <v>600</v>
      </c>
      <c r="D25" s="12" t="str">
        <f t="array" ref="D25">IF(ROWS(D$4:D25)&lt;=$B$2,INDEX(data!E$3:E$106299,SMALL(IF(data!$D$3:$D$106299=$B$1,ROW($A$2:$A$99132)-ROW($A$2)+1),ROWS(D$4:D25))),"")</f>
        <v>заем</v>
      </c>
      <c r="E25" s="20"/>
      <c r="F25" s="18"/>
      <c r="G25" s="20"/>
      <c r="H25" s="20"/>
      <c r="I25" s="20"/>
      <c r="J25" s="18"/>
      <c r="K25" s="18"/>
      <c r="L25" s="18"/>
      <c r="M25" s="14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8.75" customHeight="1">
      <c r="A26" s="34">
        <f t="array" ref="A26">IF(ROWS(A$4:A26)&lt;=$B$2,INDEX(data!C$3:C$106299,SMALL(IF(data!$D$3:$D$106299=$B$1,ROW($A$2:$A$99132)-ROW($A$2)+1),ROWS(A$4:A26))),"")</f>
        <v>46069</v>
      </c>
      <c r="B26" s="12" t="str">
        <f t="array" ref="B26">IF(ROWS(B$4:B26)&lt;=$B$2,INDEX(data!A$3:A$106299,SMALL(IF(data!$D$3:$D$106299=$B$1,ROW($A$2:$A$99132)-ROW($A$2)+1),ROWS(B$4:B26))),"")</f>
        <v>MYPOS Бакалия</v>
      </c>
      <c r="C26" s="12">
        <f t="array" ref="C26">IF(ROWS(C$4:C26)&lt;=$B$2,INDEX(data!B$3:B$106299,SMALL(IF(data!$D$3:$D$106299=$B$1,ROW($A$2:$A$99132)-ROW($A$2)+1),ROWS(C$4:C26))),"")</f>
        <v>-7881.67</v>
      </c>
      <c r="D26" s="12" t="str">
        <f t="array" ref="D26">IF(ROWS(D$4:D26)&lt;=$B$2,INDEX(data!E$3:E$106299,SMALL(IF(data!$D$3:$D$106299=$B$1,ROW($A$2:$A$99132)-ROW($A$2)+1),ROWS(D$4:D26))),"")</f>
        <v/>
      </c>
      <c r="E26" s="20"/>
      <c r="F26" s="18"/>
      <c r="G26" s="20"/>
      <c r="H26" s="20"/>
      <c r="I26" s="20"/>
      <c r="J26" s="18"/>
      <c r="K26" s="18"/>
      <c r="L26" s="18"/>
      <c r="M26" s="14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8.75" customHeight="1">
      <c r="A27" s="34">
        <f t="array" ref="A27">IF(ROWS(A$4:A27)&lt;=$B$2,INDEX(data!C$3:C$106299,SMALL(IF(data!$D$3:$D$106299=$B$1,ROW($A$2:$A$99132)-ROW($A$2)+1),ROWS(A$4:A27))),"")</f>
        <v>46072</v>
      </c>
      <c r="B27" s="12" t="str">
        <f t="array" ref="B27">IF(ROWS(B$4:B27)&lt;=$B$2,INDEX(data!A$3:A$106299,SMALL(IF(data!$D$3:$D$106299=$B$1,ROW($A$2:$A$99132)-ROW($A$2)+1),ROWS(B$4:B27))),"")</f>
        <v>Каса ВАУЧЕРИ</v>
      </c>
      <c r="C27" s="12">
        <f t="array" ref="C27">IF(ROWS(C$4:C27)&lt;=$B$2,INDEX(data!B$3:B$106299,SMALL(IF(data!$D$3:$D$106299=$B$1,ROW($A$2:$A$99132)-ROW($A$2)+1),ROWS(C$4:C27))),"")</f>
        <v>-5</v>
      </c>
      <c r="D27" s="12" t="str">
        <f t="array" ref="D27">IF(ROWS(D$4:D27)&lt;=$B$2,INDEX(data!E$3:E$106299,SMALL(IF(data!$D$3:$D$106299=$B$1,ROW($A$2:$A$99132)-ROW($A$2)+1),ROWS(D$4:D27))),"")</f>
        <v>за 02.02-08.02</v>
      </c>
      <c r="E27" s="20"/>
      <c r="F27" s="18"/>
      <c r="G27" s="20"/>
      <c r="H27" s="20"/>
      <c r="I27" s="20"/>
      <c r="J27" s="18"/>
      <c r="K27" s="18"/>
      <c r="L27" s="18"/>
      <c r="M27" s="14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8.75" customHeight="1">
      <c r="A28" s="34">
        <f t="array" ref="A28">IF(ROWS(A$4:A28)&lt;=$B$2,INDEX(data!C$3:C$106299,SMALL(IF(data!$D$3:$D$106299=$B$1,ROW($A$2:$A$99132)-ROW($A$2)+1),ROWS(A$4:A28))),"")</f>
        <v>46072</v>
      </c>
      <c r="B28" s="12" t="str">
        <f t="array" ref="B28">IF(ROWS(B$4:B28)&lt;=$B$2,INDEX(data!A$3:A$106299,SMALL(IF(data!$D$3:$D$106299=$B$1,ROW($A$2:$A$99132)-ROW($A$2)+1),ROWS(B$4:B28))),"")</f>
        <v>Каса ВАУЧЕРИ</v>
      </c>
      <c r="C28" s="12">
        <f t="array" ref="C28">IF(ROWS(C$4:C28)&lt;=$B$2,INDEX(data!B$3:B$106299,SMALL(IF(data!$D$3:$D$106299=$B$1,ROW($A$2:$A$99132)-ROW($A$2)+1),ROWS(C$4:C28))),"")</f>
        <v>-20</v>
      </c>
      <c r="D28" s="12" t="str">
        <f t="array" ref="D28">IF(ROWS(D$4:D28)&lt;=$B$2,INDEX(data!E$3:E$106299,SMALL(IF(data!$D$3:$D$106299=$B$1,ROW($A$2:$A$99132)-ROW($A$2)+1),ROWS(D$4:D28))),"")</f>
        <v>за 26.01-01.02</v>
      </c>
      <c r="E28" s="20"/>
      <c r="F28" s="18"/>
      <c r="G28" s="20"/>
      <c r="H28" s="20"/>
      <c r="I28" s="20"/>
      <c r="J28" s="18"/>
      <c r="K28" s="18"/>
      <c r="L28" s="18"/>
      <c r="M28" s="14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8.75" customHeight="1">
      <c r="A29" s="34">
        <f t="array" ref="A29">IF(ROWS(A$4:A29)&lt;=$B$2,INDEX(data!C$3:C$106299,SMALL(IF(data!$D$3:$D$106299=$B$1,ROW($A$2:$A$99132)-ROW($A$2)+1),ROWS(A$4:A29))),"")</f>
        <v>46073</v>
      </c>
      <c r="B29" s="12" t="str">
        <f t="array" ref="B29">IF(ROWS(B$4:B29)&lt;=$B$2,INDEX(data!A$3:A$106299,SMALL(IF(data!$D$3:$D$106299=$B$1,ROW($A$2:$A$99132)-ROW($A$2)+1),ROWS(B$4:B29))),"")</f>
        <v>Каса ВАУЧЕРИ</v>
      </c>
      <c r="C29" s="12">
        <f t="array" ref="C29">IF(ROWS(C$4:C29)&lt;=$B$2,INDEX(data!B$3:B$106299,SMALL(IF(data!$D$3:$D$106299=$B$1,ROW($A$2:$A$99132)-ROW($A$2)+1),ROWS(C$4:C29))),"")</f>
        <v>400</v>
      </c>
      <c r="D29" s="12" t="str">
        <f t="array" ref="D29">IF(ROWS(D$4:D29)&lt;=$B$2,INDEX(data!E$3:E$106299,SMALL(IF(data!$D$3:$D$106299=$B$1,ROW($A$2:$A$99132)-ROW($A$2)+1),ROWS(D$4:D29))),"")</f>
        <v>ваучери персонал</v>
      </c>
      <c r="E29" s="20"/>
      <c r="F29" s="18"/>
      <c r="G29" s="20"/>
      <c r="H29" s="20"/>
      <c r="I29" s="20"/>
      <c r="J29" s="18"/>
      <c r="K29" s="18"/>
      <c r="L29" s="18"/>
      <c r="M29" s="14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8.75" customHeight="1">
      <c r="A30" s="34">
        <f t="array" ref="A30">IF(ROWS(A$4:A30)&lt;=$B$2,INDEX(data!C$3:C$106299,SMALL(IF(data!$D$3:$D$106299=$B$1,ROW($A$2:$A$99132)-ROW($A$2)+1),ROWS(A$4:A30))),"")</f>
        <v>46076</v>
      </c>
      <c r="B30" s="12" t="str">
        <f t="array" ref="B30">IF(ROWS(B$4:B30)&lt;=$B$2,INDEX(data!A$3:A$106299,SMALL(IF(data!$D$3:$D$106299=$B$1,ROW($A$2:$A$99132)-ROW($A$2)+1),ROWS(B$4:B30))),"")</f>
        <v>MYPOS Бакалия</v>
      </c>
      <c r="C30" s="12">
        <f t="array" ref="C30">IF(ROWS(C$4:C30)&lt;=$B$2,INDEX(data!B$3:B$106299,SMALL(IF(data!$D$3:$D$106299=$B$1,ROW($A$2:$A$99132)-ROW($A$2)+1),ROWS(C$4:C30))),"")</f>
        <v>-6735.6</v>
      </c>
      <c r="D30" s="12" t="str">
        <f t="array" ref="D30">IF(ROWS(D$4:D30)&lt;=$B$2,INDEX(data!E$3:E$106299,SMALL(IF(data!$D$3:$D$106299=$B$1,ROW($A$2:$A$99132)-ROW($A$2)+1),ROWS(D$4:D30))),"")</f>
        <v/>
      </c>
      <c r="E30" s="20"/>
      <c r="F30" s="18"/>
      <c r="G30" s="20"/>
      <c r="H30" s="20"/>
      <c r="I30" s="20"/>
      <c r="J30" s="18"/>
      <c r="K30" s="18"/>
      <c r="L30" s="18"/>
      <c r="M30" s="14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8.75" customHeight="1">
      <c r="A31" s="34">
        <f t="array" ref="A31">IF(ROWS(A$4:A31)&lt;=$B$2,INDEX(data!C$3:C$106299,SMALL(IF(data!$D$3:$D$106299=$B$1,ROW($A$2:$A$99132)-ROW($A$2)+1),ROWS(A$4:A31))),"")</f>
        <v>46083</v>
      </c>
      <c r="B31" s="12" t="str">
        <f t="array" ref="B31">IF(ROWS(B$4:B31)&lt;=$B$2,INDEX(data!A$3:A$106299,SMALL(IF(data!$D$3:$D$106299=$B$1,ROW($A$2:$A$99132)-ROW($A$2)+1),ROWS(B$4:B31))),"")</f>
        <v>MYPOS Бакалия</v>
      </c>
      <c r="C31" s="12">
        <f t="array" ref="C31">IF(ROWS(C$4:C31)&lt;=$B$2,INDEX(data!B$3:B$106299,SMALL(IF(data!$D$3:$D$106299=$B$1,ROW($A$2:$A$99132)-ROW($A$2)+1),ROWS(C$4:C31))),"")</f>
        <v>-5435.03</v>
      </c>
      <c r="D31" s="12" t="str">
        <f t="array" ref="D31">IF(ROWS(D$4:D31)&lt;=$B$2,INDEX(data!E$3:E$106299,SMALL(IF(data!$D$3:$D$106299=$B$1,ROW($A$2:$A$99132)-ROW($A$2)+1),ROWS(D$4:D31))),"")</f>
        <v/>
      </c>
      <c r="E31" s="20"/>
      <c r="F31" s="18"/>
      <c r="G31" s="20"/>
      <c r="H31" s="20"/>
      <c r="I31" s="20"/>
      <c r="J31" s="18"/>
      <c r="K31" s="18"/>
      <c r="L31" s="18"/>
      <c r="M31" s="14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8.75" customHeight="1">
      <c r="A32" s="34">
        <f t="array" ref="A32">IF(ROWS(A$4:A32)&lt;=$B$2,INDEX(data!C$3:C$106299,SMALL(IF(data!$D$3:$D$106299=$B$1,ROW($A$2:$A$99132)-ROW($A$2)+1),ROWS(A$4:A32))),"")</f>
        <v>46086</v>
      </c>
      <c r="B32" s="12" t="str">
        <f t="array" ref="B32">IF(ROWS(B$4:B32)&lt;=$B$2,INDEX(data!A$3:A$106299,SMALL(IF(data!$D$3:$D$106299=$B$1,ROW($A$2:$A$99132)-ROW($A$2)+1),ROWS(B$4:B32))),"")</f>
        <v>ЗАЕМ</v>
      </c>
      <c r="C32" s="12">
        <f t="array" ref="C32">IF(ROWS(C$4:C32)&lt;=$B$2,INDEX(data!B$3:B$106299,SMALL(IF(data!$D$3:$D$106299=$B$1,ROW($A$2:$A$99132)-ROW($A$2)+1),ROWS(C$4:C32))),"")</f>
        <v>25896.73</v>
      </c>
      <c r="D32" s="12" t="str">
        <f t="array" ref="D32">IF(ROWS(D$4:D32)&lt;=$B$2,INDEX(data!E$3:E$106299,SMALL(IF(data!$D$3:$D$106299=$B$1,ROW($A$2:$A$99132)-ROW($A$2)+1),ROWS(D$4:D32))),"")</f>
        <v>Салдо склад + вътр. п-не</v>
      </c>
      <c r="E32" s="20"/>
      <c r="F32" s="18"/>
      <c r="G32" s="20"/>
      <c r="H32" s="20"/>
      <c r="I32" s="20"/>
      <c r="J32" s="18"/>
      <c r="K32" s="18"/>
      <c r="L32" s="18"/>
      <c r="M32" s="14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8.75" customHeight="1">
      <c r="A33" s="34">
        <f t="array" ref="A33">IF(ROWS(A$4:A33)&lt;=$B$2,INDEX(data!C$3:C$106299,SMALL(IF(data!$D$3:$D$106299=$B$1,ROW($A$2:$A$99132)-ROW($A$2)+1),ROWS(A$4:A33))),"")</f>
        <v>46087</v>
      </c>
      <c r="B33" s="12" t="str">
        <f t="array" ref="B33">IF(ROWS(B$4:B33)&lt;=$B$2,INDEX(data!A$3:A$106299,SMALL(IF(data!$D$3:$D$106299=$B$1,ROW($A$2:$A$99132)-ROW($A$2)+1),ROWS(B$4:B33))),"")</f>
        <v>Каса ВАУЧЕРИ</v>
      </c>
      <c r="C33" s="12">
        <f t="array" ref="C33">IF(ROWS(C$4:C33)&lt;=$B$2,INDEX(data!B$3:B$106299,SMALL(IF(data!$D$3:$D$106299=$B$1,ROW($A$2:$A$99132)-ROW($A$2)+1),ROWS(C$4:C33))),"")</f>
        <v>-3.21</v>
      </c>
      <c r="D33" s="12" t="str">
        <f t="array" ref="D33">IF(ROWS(D$4:D33)&lt;=$B$2,INDEX(data!E$3:E$106299,SMALL(IF(data!$D$3:$D$106299=$B$1,ROW($A$2:$A$99132)-ROW($A$2)+1),ROWS(D$4:D33))),"")</f>
        <v>за 16-22.02</v>
      </c>
      <c r="E33" s="20"/>
      <c r="F33" s="18"/>
      <c r="G33" s="20"/>
      <c r="H33" s="20"/>
      <c r="I33" s="20"/>
      <c r="J33" s="18"/>
      <c r="K33" s="18"/>
      <c r="L33" s="18"/>
      <c r="M33" s="14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8.75" customHeight="1">
      <c r="A34" s="34">
        <f t="array" ref="A34">IF(ROWS(A$4:A34)&lt;=$B$2,INDEX(data!C$3:C$106299,SMALL(IF(data!$D$3:$D$106299=$B$1,ROW($A$2:$A$99132)-ROW($A$2)+1),ROWS(A$4:A34))),"")</f>
        <v>46085</v>
      </c>
      <c r="B34" s="12" t="str">
        <f t="array" ref="B34">IF(ROWS(B$4:B34)&lt;=$B$2,INDEX(data!A$3:A$106299,SMALL(IF(data!$D$3:$D$106299=$B$1,ROW($A$2:$A$99132)-ROW($A$2)+1),ROWS(B$4:B34))),"")</f>
        <v>ПОС ДСК Бакалия</v>
      </c>
      <c r="C34" s="12">
        <f t="array" ref="C34">IF(ROWS(C$4:C34)&lt;=$B$2,INDEX(data!B$3:B$106299,SMALL(IF(data!$D$3:$D$106299=$B$1,ROW($A$2:$A$99132)-ROW($A$2)+1),ROWS(C$4:C34))),"")</f>
        <v>-2201.89</v>
      </c>
      <c r="D34" s="12" t="str">
        <f t="array" ref="D34">IF(ROWS(D$4:D34)&lt;=$B$2,INDEX(data!E$3:E$106299,SMALL(IF(data!$D$3:$D$106299=$B$1,ROW($A$2:$A$99132)-ROW($A$2)+1),ROWS(D$4:D34))),"")</f>
        <v/>
      </c>
      <c r="E34" s="20"/>
      <c r="F34" s="18"/>
      <c r="G34" s="20"/>
      <c r="H34" s="20"/>
      <c r="I34" s="20"/>
      <c r="J34" s="18"/>
      <c r="K34" s="18"/>
      <c r="L34" s="18"/>
      <c r="M34" s="14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8.75" customHeight="1">
      <c r="A35" s="34">
        <f t="array" ref="A35">IF(ROWS(A$4:A35)&lt;=$B$2,INDEX(data!C$3:C$106299,SMALL(IF(data!$D$3:$D$106299=$B$1,ROW($A$2:$A$99132)-ROW($A$2)+1),ROWS(A$4:A35))),"")</f>
        <v>46090</v>
      </c>
      <c r="B35" s="12" t="str">
        <f t="array" ref="B35">IF(ROWS(B$4:B35)&lt;=$B$2,INDEX(data!A$3:A$106299,SMALL(IF(data!$D$3:$D$106299=$B$1,ROW($A$2:$A$99132)-ROW($A$2)+1),ROWS(B$4:B35))),"")</f>
        <v>MYPOS Бакалия</v>
      </c>
      <c r="C35" s="12">
        <f t="array" ref="C35">IF(ROWS(C$4:C35)&lt;=$B$2,INDEX(data!B$3:B$106299,SMALL(IF(data!$D$3:$D$106299=$B$1,ROW($A$2:$A$99132)-ROW($A$2)+1),ROWS(C$4:C35))),"")</f>
        <v>-6286.98</v>
      </c>
      <c r="D35" s="12" t="str">
        <f t="array" ref="D35">IF(ROWS(D$4:D35)&lt;=$B$2,INDEX(data!E$3:E$106299,SMALL(IF(data!$D$3:$D$106299=$B$1,ROW($A$2:$A$99132)-ROW($A$2)+1),ROWS(D$4:D35))),"")</f>
        <v/>
      </c>
      <c r="E35" s="20"/>
      <c r="F35" s="18"/>
      <c r="G35" s="20"/>
      <c r="H35" s="20"/>
      <c r="I35" s="20"/>
      <c r="J35" s="18"/>
      <c r="K35" s="18"/>
      <c r="L35" s="18"/>
      <c r="M35" s="14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8.75" customHeight="1">
      <c r="A36" s="34">
        <f t="array" ref="A36">IF(ROWS(A$4:A36)&lt;=$B$2,INDEX(data!C$3:C$106299,SMALL(IF(data!$D$3:$D$106299=$B$1,ROW($A$2:$A$99132)-ROW($A$2)+1),ROWS(A$4:A36))),"")</f>
        <v>46090</v>
      </c>
      <c r="B36" s="12" t="str">
        <f t="array" ref="B36">IF(ROWS(B$4:B36)&lt;=$B$2,INDEX(data!A$3:A$106299,SMALL(IF(data!$D$3:$D$106299=$B$1,ROW($A$2:$A$99132)-ROW($A$2)+1),ROWS(B$4:B36))),"")</f>
        <v>ПОС ДСК Бакалия</v>
      </c>
      <c r="C36" s="12">
        <f t="array" ref="C36">IF(ROWS(C$4:C36)&lt;=$B$2,INDEX(data!B$3:B$106299,SMALL(IF(data!$D$3:$D$106299=$B$1,ROW($A$2:$A$99132)-ROW($A$2)+1),ROWS(C$4:C36))),"")</f>
        <v>-88.28</v>
      </c>
      <c r="D36" s="12" t="str">
        <f t="array" ref="D36">IF(ROWS(D$4:D36)&lt;=$B$2,INDEX(data!E$3:E$106299,SMALL(IF(data!$D$3:$D$106299=$B$1,ROW($A$2:$A$99132)-ROW($A$2)+1),ROWS(D$4:D36))),"")</f>
        <v/>
      </c>
      <c r="E36" s="20"/>
      <c r="F36" s="18"/>
      <c r="G36" s="20"/>
      <c r="H36" s="20"/>
      <c r="I36" s="20"/>
      <c r="J36" s="18"/>
      <c r="K36" s="18"/>
      <c r="L36" s="18"/>
      <c r="M36" s="14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8.75" customHeight="1">
      <c r="A37" s="34">
        <f t="array" ref="A37">IF(ROWS(A$4:A37)&lt;=$B$2,INDEX(data!C$3:C$106299,SMALL(IF(data!$D$3:$D$106299=$B$1,ROW($A$2:$A$99132)-ROW($A$2)+1),ROWS(A$4:A37))),"")</f>
        <v>46090</v>
      </c>
      <c r="B37" s="12" t="str">
        <f t="array" ref="B37">IF(ROWS(B$4:B37)&lt;=$B$2,INDEX(data!A$3:A$106299,SMALL(IF(data!$D$3:$D$106299=$B$1,ROW($A$2:$A$99132)-ROW($A$2)+1),ROWS(B$4:B37))),"")</f>
        <v>ПроКредит бакал</v>
      </c>
      <c r="C37" s="12">
        <f t="array" ref="C37">IF(ROWS(C$4:C37)&lt;=$B$2,INDEX(data!B$3:B$106299,SMALL(IF(data!$D$3:$D$106299=$B$1,ROW($A$2:$A$99132)-ROW($A$2)+1),ROWS(C$4:C37))),"")</f>
        <v>-1420.29</v>
      </c>
      <c r="D37" s="12" t="str">
        <f t="array" ref="D37">IF(ROWS(D$4:D37)&lt;=$B$2,INDEX(data!E$3:E$106299,SMALL(IF(data!$D$3:$D$106299=$B$1,ROW($A$2:$A$99132)-ROW($A$2)+1),ROWS(D$4:D37))),"")</f>
        <v/>
      </c>
      <c r="E37" s="20"/>
      <c r="F37" s="18"/>
      <c r="G37" s="20"/>
      <c r="H37" s="20"/>
      <c r="I37" s="20"/>
      <c r="J37" s="18"/>
      <c r="K37" s="18"/>
      <c r="L37" s="18"/>
      <c r="M37" s="14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8.75" customHeight="1">
      <c r="A38" s="34">
        <f t="array" ref="A38">IF(ROWS(A$4:A38)&lt;=$B$2,INDEX(data!C$3:C$106299,SMALL(IF(data!$D$3:$D$106299=$B$1,ROW($A$2:$A$99132)-ROW($A$2)+1),ROWS(A$4:A38))),"")</f>
        <v>46094</v>
      </c>
      <c r="B38" s="12" t="str">
        <f t="array" ref="B38">IF(ROWS(B$4:B38)&lt;=$B$2,INDEX(data!A$3:A$106299,SMALL(IF(data!$D$3:$D$106299=$B$1,ROW($A$2:$A$99132)-ROW($A$2)+1),ROWS(B$4:B38))),"")</f>
        <v>КАСОВА КНИГА</v>
      </c>
      <c r="C38" s="12">
        <f t="array" ref="C38">IF(ROWS(C$4:C38)&lt;=$B$2,INDEX(data!B$3:B$106299,SMALL(IF(data!$D$3:$D$106299=$B$1,ROW($A$2:$A$99132)-ROW($A$2)+1),ROWS(C$4:C38))),"")</f>
        <v>500</v>
      </c>
      <c r="D38" s="12" t="str">
        <f t="array" ref="D38">IF(ROWS(D$4:D38)&lt;=$B$2,INDEX(data!E$3:E$106299,SMALL(IF(data!$D$3:$D$106299=$B$1,ROW($A$2:$A$99132)-ROW($A$2)+1),ROWS(D$4:D38))),"")</f>
        <v>заем</v>
      </c>
      <c r="E38" s="20"/>
      <c r="F38" s="18"/>
      <c r="G38" s="20"/>
      <c r="H38" s="20"/>
      <c r="I38" s="20"/>
      <c r="J38" s="18"/>
      <c r="K38" s="18"/>
      <c r="L38" s="18"/>
      <c r="M38" s="14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8.75" customHeight="1">
      <c r="A39" s="34">
        <f t="array" ref="A39">IF(ROWS(A$4:A39)&lt;=$B$2,INDEX(data!C$3:C$106299,SMALL(IF(data!$D$3:$D$106299=$B$1,ROW($A$2:$A$99132)-ROW($A$2)+1),ROWS(A$4:A39))),"")</f>
        <v>46097</v>
      </c>
      <c r="B39" s="12" t="str">
        <f t="array" ref="B39">IF(ROWS(B$4:B39)&lt;=$B$2,INDEX(data!A$3:A$106299,SMALL(IF(data!$D$3:$D$106299=$B$1,ROW($A$2:$A$99132)-ROW($A$2)+1),ROWS(B$4:B39))),"")</f>
        <v>MYPOS Бакалия</v>
      </c>
      <c r="C39" s="12">
        <f t="array" ref="C39">IF(ROWS(C$4:C39)&lt;=$B$2,INDEX(data!B$3:B$106299,SMALL(IF(data!$D$3:$D$106299=$B$1,ROW($A$2:$A$99132)-ROW($A$2)+1),ROWS(C$4:C39))),"")</f>
        <v>-8153.06</v>
      </c>
      <c r="D39" s="12" t="str">
        <f t="array" ref="D39">IF(ROWS(D$4:D39)&lt;=$B$2,INDEX(data!E$3:E$106299,SMALL(IF(data!$D$3:$D$106299=$B$1,ROW($A$2:$A$99132)-ROW($A$2)+1),ROWS(D$4:D39))),"")</f>
        <v/>
      </c>
      <c r="E39" s="20"/>
      <c r="F39" s="18"/>
      <c r="G39" s="20"/>
      <c r="H39" s="20"/>
      <c r="I39" s="20"/>
      <c r="J39" s="18"/>
      <c r="K39" s="18"/>
      <c r="L39" s="18"/>
      <c r="M39" s="14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8.75" customHeight="1">
      <c r="A40" s="34">
        <f t="array" ref="A40">IF(ROWS(A$4:A40)&lt;=$B$2,INDEX(data!C$3:C$106299,SMALL(IF(data!$D$3:$D$106299=$B$1,ROW($A$2:$A$99132)-ROW($A$2)+1),ROWS(A$4:A40))),"")</f>
        <v>46104</v>
      </c>
      <c r="B40" s="12" t="str">
        <f t="array" ref="B40">IF(ROWS(B$4:B40)&lt;=$B$2,INDEX(data!A$3:A$106299,SMALL(IF(data!$D$3:$D$106299=$B$1,ROW($A$2:$A$99132)-ROW($A$2)+1),ROWS(B$4:B40))),"")</f>
        <v>MYPOS Бакалия</v>
      </c>
      <c r="C40" s="12">
        <f t="array" ref="C40">IF(ROWS(C$4:C40)&lt;=$B$2,INDEX(data!B$3:B$106299,SMALL(IF(data!$D$3:$D$106299=$B$1,ROW($A$2:$A$99132)-ROW($A$2)+1),ROWS(C$4:C40))),"")</f>
        <v>-5043.52</v>
      </c>
      <c r="D40" s="12" t="str">
        <f t="array" ref="D40">IF(ROWS(D$4:D40)&lt;=$B$2,INDEX(data!E$3:E$106299,SMALL(IF(data!$D$3:$D$106299=$B$1,ROW($A$2:$A$99132)-ROW($A$2)+1),ROWS(D$4:D40))),"")</f>
        <v/>
      </c>
      <c r="E40" s="20"/>
      <c r="F40" s="18"/>
      <c r="G40" s="20"/>
      <c r="H40" s="20"/>
      <c r="I40" s="20"/>
      <c r="J40" s="18"/>
      <c r="K40" s="18"/>
      <c r="L40" s="18"/>
      <c r="M40" s="14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8.75" customHeight="1">
      <c r="A41" s="34">
        <f t="array" ref="A41">IF(ROWS(A$4:A41)&lt;=$B$2,INDEX(data!C$3:C$106299,SMALL(IF(data!$D$3:$D$106299=$B$1,ROW($A$2:$A$99132)-ROW($A$2)+1),ROWS(A$4:A41))),"")</f>
        <v>46104</v>
      </c>
      <c r="B41" s="12" t="str">
        <f t="array" ref="B41">IF(ROWS(B$4:B41)&lt;=$B$2,INDEX(data!A$3:A$106299,SMALL(IF(data!$D$3:$D$106299=$B$1,ROW($A$2:$A$99132)-ROW($A$2)+1),ROWS(B$4:B41))),"")</f>
        <v>Каса ВАУЧЕРИ</v>
      </c>
      <c r="C41" s="12">
        <f t="array" ref="C41">IF(ROWS(C$4:C41)&lt;=$B$2,INDEX(data!B$3:B$106299,SMALL(IF(data!$D$3:$D$106299=$B$1,ROW($A$2:$A$99132)-ROW($A$2)+1),ROWS(C$4:C41))),"")</f>
        <v>400</v>
      </c>
      <c r="D41" s="12" t="str">
        <f t="array" ref="D41">IF(ROWS(D$4:D41)&lt;=$B$2,INDEX(data!E$3:E$106299,SMALL(IF(data!$D$3:$D$106299=$B$1,ROW($A$2:$A$99132)-ROW($A$2)+1),ROWS(D$4:D41))),"")</f>
        <v>ваучери персонал</v>
      </c>
      <c r="E41" s="20"/>
      <c r="F41" s="18"/>
      <c r="G41" s="20"/>
      <c r="H41" s="20"/>
      <c r="I41" s="20"/>
      <c r="J41" s="18"/>
      <c r="K41" s="18"/>
      <c r="L41" s="18"/>
      <c r="M41" s="14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8.75" customHeight="1">
      <c r="A42" s="34">
        <f t="array" ref="A42">IF(ROWS(A$4:A42)&lt;=$B$2,INDEX(data!C$3:C$106299,SMALL(IF(data!$D$3:$D$106299=$B$1,ROW($A$2:$A$99132)-ROW($A$2)+1),ROWS(A$4:A42))),"")</f>
        <v>46111</v>
      </c>
      <c r="B42" s="12" t="str">
        <f t="array" ref="B42">IF(ROWS(B$4:B42)&lt;=$B$2,INDEX(data!A$3:A$106299,SMALL(IF(data!$D$3:$D$106299=$B$1,ROW($A$2:$A$99132)-ROW($A$2)+1),ROWS(B$4:B42))),"")</f>
        <v>MYPOS Бакалия</v>
      </c>
      <c r="C42" s="12">
        <f t="array" ref="C42">IF(ROWS(C$4:C42)&lt;=$B$2,INDEX(data!B$3:B$106299,SMALL(IF(data!$D$3:$D$106299=$B$1,ROW($A$2:$A$99132)-ROW($A$2)+1),ROWS(C$4:C42))),"")</f>
        <v>-6948.01</v>
      </c>
      <c r="D42" s="12" t="str">
        <f t="array" ref="D42">IF(ROWS(D$4:D42)&lt;=$B$2,INDEX(data!E$3:E$106299,SMALL(IF(data!$D$3:$D$106299=$B$1,ROW($A$2:$A$99132)-ROW($A$2)+1),ROWS(D$4:D42))),"")</f>
        <v/>
      </c>
      <c r="E42" s="20"/>
      <c r="F42" s="18"/>
      <c r="G42" s="20"/>
      <c r="H42" s="20"/>
      <c r="I42" s="20"/>
      <c r="J42" s="18"/>
      <c r="K42" s="18"/>
      <c r="L42" s="18"/>
      <c r="M42" s="14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8.75" customHeight="1">
      <c r="A43" s="34">
        <f t="array" ref="A43">IF(ROWS(A$4:A43)&lt;=$B$2,INDEX(data!C$3:C$106299,SMALL(IF(data!$D$3:$D$106299=$B$1,ROW($A$2:$A$99132)-ROW($A$2)+1),ROWS(A$4:A43))),"")</f>
        <v>46112</v>
      </c>
      <c r="B43" s="12" t="str">
        <f t="array" ref="B43">IF(ROWS(B$4:B43)&lt;=$B$2,INDEX(data!A$3:A$106299,SMALL(IF(data!$D$3:$D$106299=$B$1,ROW($A$2:$A$99132)-ROW($A$2)+1),ROWS(B$4:B43))),"")</f>
        <v>ЗАЕМ</v>
      </c>
      <c r="C43" s="12">
        <f t="array" ref="C43">IF(ROWS(C$4:C43)&lt;=$B$2,INDEX(data!B$3:B$106299,SMALL(IF(data!$D$3:$D$106299=$B$1,ROW($A$2:$A$99132)-ROW($A$2)+1),ROWS(C$4:C43))),"")</f>
        <v>26340.53</v>
      </c>
      <c r="D43" s="12" t="str">
        <f t="array" ref="D43">IF(ROWS(D$4:D43)&lt;=$B$2,INDEX(data!E$3:E$106299,SMALL(IF(data!$D$3:$D$106299=$B$1,ROW($A$2:$A$99132)-ROW($A$2)+1),ROWS(D$4:D43))),"")</f>
        <v>Салдо склад + вътр</v>
      </c>
      <c r="E43" s="20"/>
      <c r="F43" s="18"/>
      <c r="G43" s="20"/>
      <c r="H43" s="20"/>
      <c r="I43" s="20"/>
      <c r="J43" s="18"/>
      <c r="K43" s="18"/>
      <c r="L43" s="18"/>
      <c r="M43" s="14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8.75" customHeight="1">
      <c r="A44" s="34">
        <f t="array" ref="A44">IF(ROWS(A$4:A44)&lt;=$B$2,INDEX(data!C$3:C$106299,SMALL(IF(data!$D$3:$D$106299=$B$1,ROW($A$2:$A$99132)-ROW($A$2)+1),ROWS(A$4:A44))),"")</f>
        <v>46113</v>
      </c>
      <c r="B44" s="12" t="str">
        <f t="array" ref="B44">IF(ROWS(B$4:B44)&lt;=$B$2,INDEX(data!A$3:A$106299,SMALL(IF(data!$D$3:$D$106299=$B$1,ROW($A$2:$A$99132)-ROW($A$2)+1),ROWS(B$4:B44))),"")</f>
        <v>КАСОВА КНИГА</v>
      </c>
      <c r="C44" s="12">
        <f t="array" ref="C44">IF(ROWS(C$4:C44)&lt;=$B$2,INDEX(data!B$3:B$106299,SMALL(IF(data!$D$3:$D$106299=$B$1,ROW($A$2:$A$99132)-ROW($A$2)+1),ROWS(C$4:C44))),"")</f>
        <v>500</v>
      </c>
      <c r="D44" s="12" t="str">
        <f t="array" ref="D44">IF(ROWS(D$4:D44)&lt;=$B$2,INDEX(data!E$3:E$106299,SMALL(IF(data!$D$3:$D$106299=$B$1,ROW($A$2:$A$99132)-ROW($A$2)+1),ROWS(D$4:D44))),"")</f>
        <v>заем</v>
      </c>
      <c r="E44" s="20"/>
      <c r="F44" s="18"/>
      <c r="G44" s="20"/>
      <c r="H44" s="20"/>
      <c r="I44" s="20"/>
      <c r="J44" s="18"/>
      <c r="K44" s="18"/>
      <c r="L44" s="18"/>
      <c r="M44" s="14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8.75" customHeight="1">
      <c r="A45" s="34">
        <f t="array" ref="A45">IF(ROWS(A$4:A45)&lt;=$B$2,INDEX(data!C$3:C$106299,SMALL(IF(data!$D$3:$D$106299=$B$1,ROW($A$2:$A$99132)-ROW($A$2)+1),ROWS(A$4:A45))),"")</f>
        <v>46118</v>
      </c>
      <c r="B45" s="12" t="str">
        <f t="array" ref="B45">IF(ROWS(B$4:B45)&lt;=$B$2,INDEX(data!A$3:A$106299,SMALL(IF(data!$D$3:$D$106299=$B$1,ROW($A$2:$A$99132)-ROW($A$2)+1),ROWS(B$4:B45))),"")</f>
        <v>MYPOS Бакалия</v>
      </c>
      <c r="C45" s="12">
        <f t="array" ref="C45">IF(ROWS(C$4:C45)&lt;=$B$2,INDEX(data!B$3:B$106299,SMALL(IF(data!$D$3:$D$106299=$B$1,ROW($A$2:$A$99132)-ROW($A$2)+1),ROWS(C$4:C45))),"")</f>
        <v>-7516.3</v>
      </c>
      <c r="D45" s="12" t="str">
        <f t="array" ref="D45">IF(ROWS(D$4:D45)&lt;=$B$2,INDEX(data!E$3:E$106299,SMALL(IF(data!$D$3:$D$106299=$B$1,ROW($A$2:$A$99132)-ROW($A$2)+1),ROWS(D$4:D45))),"")</f>
        <v/>
      </c>
      <c r="E45" s="20"/>
      <c r="F45" s="18"/>
      <c r="G45" s="20"/>
      <c r="H45" s="20"/>
      <c r="I45" s="20"/>
      <c r="J45" s="18"/>
      <c r="K45" s="18"/>
      <c r="L45" s="18"/>
      <c r="M45" s="14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8.75" customHeight="1">
      <c r="A46" s="34">
        <f t="array" ref="A46">IF(ROWS(A$4:A46)&lt;=$B$2,INDEX(data!C$3:C$106299,SMALL(IF(data!$D$3:$D$106299=$B$1,ROW($A$2:$A$99132)-ROW($A$2)+1),ROWS(A$4:A46))),"")</f>
        <v>46118</v>
      </c>
      <c r="B46" s="12" t="str">
        <f t="array" ref="B46">IF(ROWS(B$4:B46)&lt;=$B$2,INDEX(data!A$3:A$106299,SMALL(IF(data!$D$3:$D$106299=$B$1,ROW($A$2:$A$99132)-ROW($A$2)+1),ROWS(B$4:B46))),"")</f>
        <v>ПОС ДСК Бакалия</v>
      </c>
      <c r="C46" s="12">
        <f t="array" ref="C46">IF(ROWS(C$4:C46)&lt;=$B$2,INDEX(data!B$3:B$106299,SMALL(IF(data!$D$3:$D$106299=$B$1,ROW($A$2:$A$99132)-ROW($A$2)+1),ROWS(C$4:C46))),"")</f>
        <v>-2102.62</v>
      </c>
      <c r="D46" s="12" t="str">
        <f t="array" ref="D46">IF(ROWS(D$4:D46)&lt;=$B$2,INDEX(data!E$3:E$106299,SMALL(IF(data!$D$3:$D$106299=$B$1,ROW($A$2:$A$99132)-ROW($A$2)+1),ROWS(D$4:D46))),"")</f>
        <v>23-29,03</v>
      </c>
      <c r="E46" s="20"/>
      <c r="F46" s="18"/>
      <c r="G46" s="20"/>
      <c r="H46" s="20"/>
      <c r="I46" s="20"/>
      <c r="J46" s="18"/>
      <c r="K46" s="18"/>
      <c r="L46" s="18"/>
      <c r="M46" s="14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8.75" customHeight="1">
      <c r="A47" s="34">
        <f t="array" ref="A47">IF(ROWS(A$4:A47)&lt;=$B$2,INDEX(data!C$3:C$106299,SMALL(IF(data!$D$3:$D$106299=$B$1,ROW($A$2:$A$99132)-ROW($A$2)+1),ROWS(A$4:A47))),"")</f>
        <v>46126</v>
      </c>
      <c r="B47" s="12" t="str">
        <f t="array" ref="B47">IF(ROWS(B$4:B47)&lt;=$B$2,INDEX(data!A$3:A$106299,SMALL(IF(data!$D$3:$D$106299=$B$1,ROW($A$2:$A$99132)-ROW($A$2)+1),ROWS(B$4:B47))),"")</f>
        <v>MYPOS Бакалия</v>
      </c>
      <c r="C47" s="12">
        <f t="array" ref="C47">IF(ROWS(C$4:C47)&lt;=$B$2,INDEX(data!B$3:B$106299,SMALL(IF(data!$D$3:$D$106299=$B$1,ROW($A$2:$A$99132)-ROW($A$2)+1),ROWS(C$4:C47))),"")</f>
        <v>-7264.67</v>
      </c>
      <c r="D47" s="12" t="str">
        <f t="array" ref="D47">IF(ROWS(D$4:D47)&lt;=$B$2,INDEX(data!E$3:E$106299,SMALL(IF(data!$D$3:$D$106299=$B$1,ROW($A$2:$A$99132)-ROW($A$2)+1),ROWS(D$4:D47))),"")</f>
        <v/>
      </c>
      <c r="E47" s="20"/>
      <c r="F47" s="18"/>
      <c r="G47" s="20"/>
      <c r="H47" s="20"/>
      <c r="I47" s="20"/>
      <c r="J47" s="18"/>
      <c r="K47" s="18"/>
      <c r="L47" s="18"/>
      <c r="M47" s="14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8.75" customHeight="1">
      <c r="A48" s="34">
        <f t="array" ref="A48">IF(ROWS(A$4:A48)&lt;=$B$2,INDEX(data!C$3:C$106299,SMALL(IF(data!$D$3:$D$106299=$B$1,ROW($A$2:$A$99132)-ROW($A$2)+1),ROWS(A$4:A48))),"")</f>
        <v>46126</v>
      </c>
      <c r="B48" s="12" t="str">
        <f t="array" ref="B48">IF(ROWS(B$4:B48)&lt;=$B$2,INDEX(data!A$3:A$106299,SMALL(IF(data!$D$3:$D$106299=$B$1,ROW($A$2:$A$99132)-ROW($A$2)+1),ROWS(B$4:B48))),"")</f>
        <v>КАСОВА КНИГА</v>
      </c>
      <c r="C48" s="12">
        <f t="array" ref="C48">IF(ROWS(C$4:C48)&lt;=$B$2,INDEX(data!B$3:B$106299,SMALL(IF(data!$D$3:$D$106299=$B$1,ROW($A$2:$A$99132)-ROW($A$2)+1),ROWS(C$4:C48))),"")</f>
        <v>-300</v>
      </c>
      <c r="D48" s="12" t="str">
        <f t="array" ref="D48">IF(ROWS(D$4:D48)&lt;=$B$2,INDEX(data!E$3:E$106299,SMALL(IF(data!$D$3:$D$106299=$B$1,ROW($A$2:$A$99132)-ROW($A$2)+1),ROWS(D$4:D48))),"")</f>
        <v/>
      </c>
      <c r="E48" s="20"/>
      <c r="F48" s="18"/>
      <c r="G48" s="20"/>
      <c r="H48" s="20"/>
      <c r="I48" s="20"/>
      <c r="J48" s="18"/>
      <c r="K48" s="18"/>
      <c r="L48" s="18"/>
      <c r="M48" s="14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8.75" customHeight="1">
      <c r="A49" s="34">
        <f t="array" ref="A49">IF(ROWS(A$4:A49)&lt;=$B$2,INDEX(data!C$3:C$106299,SMALL(IF(data!$D$3:$D$106299=$B$1,ROW($A$2:$A$99132)-ROW($A$2)+1),ROWS(A$4:A49))),"")</f>
        <v>46132</v>
      </c>
      <c r="B49" s="12" t="str">
        <f t="array" ref="B49">IF(ROWS(B$4:B49)&lt;=$B$2,INDEX(data!A$3:A$106299,SMALL(IF(data!$D$3:$D$106299=$B$1,ROW($A$2:$A$99132)-ROW($A$2)+1),ROWS(B$4:B49))),"")</f>
        <v>MYPOS Бакалия</v>
      </c>
      <c r="C49" s="12">
        <f t="array" ref="C49">IF(ROWS(C$4:C49)&lt;=$B$2,INDEX(data!B$3:B$106299,SMALL(IF(data!$D$3:$D$106299=$B$1,ROW($A$2:$A$99132)-ROW($A$2)+1),ROWS(C$4:C49))),"")</f>
        <v>-7778.62</v>
      </c>
      <c r="D49" s="12" t="str">
        <f t="array" ref="D49">IF(ROWS(D$4:D49)&lt;=$B$2,INDEX(data!E$3:E$106299,SMALL(IF(data!$D$3:$D$106299=$B$1,ROW($A$2:$A$99132)-ROW($A$2)+1),ROWS(D$4:D49))),"")</f>
        <v/>
      </c>
      <c r="E49" s="20"/>
      <c r="F49" s="18"/>
      <c r="G49" s="20"/>
      <c r="H49" s="20"/>
      <c r="I49" s="20"/>
      <c r="J49" s="18"/>
      <c r="K49" s="18"/>
      <c r="L49" s="18"/>
      <c r="M49" s="14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8.75" customHeight="1">
      <c r="A50" s="34">
        <f t="array" ref="A50">IF(ROWS(A$4:A50)&lt;=$B$2,INDEX(data!C$3:C$106299,SMALL(IF(data!$D$3:$D$106299=$B$1,ROW($A$2:$A$99132)-ROW($A$2)+1),ROWS(A$4:A50))),"")</f>
        <v>46134</v>
      </c>
      <c r="B50" s="12" t="str">
        <f t="array" ref="B50">IF(ROWS(B$4:B50)&lt;=$B$2,INDEX(data!A$3:A$106299,SMALL(IF(data!$D$3:$D$106299=$B$1,ROW($A$2:$A$99132)-ROW($A$2)+1),ROWS(B$4:B50))),"")</f>
        <v>Каса ВАУЧЕРИ</v>
      </c>
      <c r="C50" s="12">
        <f t="array" ref="C50">IF(ROWS(C$4:C50)&lt;=$B$2,INDEX(data!B$3:B$106299,SMALL(IF(data!$D$3:$D$106299=$B$1,ROW($A$2:$A$99132)-ROW($A$2)+1),ROWS(C$4:C50))),"")</f>
        <v>500</v>
      </c>
      <c r="D50" s="12" t="str">
        <f t="array" ref="D50">IF(ROWS(D$4:D50)&lt;=$B$2,INDEX(data!E$3:E$106299,SMALL(IF(data!$D$3:$D$106299=$B$1,ROW($A$2:$A$99132)-ROW($A$2)+1),ROWS(D$4:D50))),"")</f>
        <v>ваучери персонал</v>
      </c>
      <c r="E50" s="20"/>
      <c r="F50" s="18"/>
      <c r="G50" s="20"/>
      <c r="H50" s="20"/>
      <c r="I50" s="20"/>
      <c r="J50" s="18"/>
      <c r="K50" s="18"/>
      <c r="L50" s="18"/>
      <c r="M50" s="14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8.75" customHeight="1">
      <c r="A51" s="34">
        <f t="array" ref="A51">IF(ROWS(A$4:A51)&lt;=$B$2,INDEX(data!C$3:C$106299,SMALL(IF(data!$D$3:$D$106299=$B$1,ROW($A$2:$A$99132)-ROW($A$2)+1),ROWS(A$4:A51))),"")</f>
        <v>46135</v>
      </c>
      <c r="B51" s="12" t="str">
        <f t="array" ref="B51">IF(ROWS(B$4:B51)&lt;=$B$2,INDEX(data!A$3:A$106299,SMALL(IF(data!$D$3:$D$106299=$B$1,ROW($A$2:$A$99132)-ROW($A$2)+1),ROWS(B$4:B51))),"")</f>
        <v>Каса ВАУЧЕРИ</v>
      </c>
      <c r="C51" s="12">
        <f t="array" ref="C51">IF(ROWS(C$4:C51)&lt;=$B$2,INDEX(data!B$3:B$106299,SMALL(IF(data!$D$3:$D$106299=$B$1,ROW($A$2:$A$99132)-ROW($A$2)+1),ROWS(C$4:C51))),"")</f>
        <v>-20</v>
      </c>
      <c r="D51" s="35">
        <f t="array" ref="D51">IF(ROWS(D$4:D51)&lt;=$B$2,INDEX(data!E$3:E$106299,SMALL(IF(data!$D$3:$D$106299=$B$1,ROW($A$2:$A$99132)-ROW($A$2)+1),ROWS(D$4:D51))),"")</f>
        <v>38327</v>
      </c>
      <c r="E51" s="20"/>
      <c r="F51" s="18"/>
      <c r="G51" s="20"/>
      <c r="H51" s="20"/>
      <c r="I51" s="20"/>
      <c r="J51" s="18"/>
      <c r="K51" s="18"/>
      <c r="L51" s="18"/>
      <c r="M51" s="14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8.75" customHeight="1">
      <c r="A52" s="34">
        <f t="array" ref="A52">IF(ROWS(A$4:A52)&lt;=$B$2,INDEX(data!C$3:C$106299,SMALL(IF(data!$D$3:$D$106299=$B$1,ROW($A$2:$A$99132)-ROW($A$2)+1),ROWS(A$4:A52))),"")</f>
        <v>46135</v>
      </c>
      <c r="B52" s="12" t="str">
        <f t="array" ref="B52">IF(ROWS(B$4:B52)&lt;=$B$2,INDEX(data!A$3:A$106299,SMALL(IF(data!$D$3:$D$106299=$B$1,ROW($A$2:$A$99132)-ROW($A$2)+1),ROWS(B$4:B52))),"")</f>
        <v>Каса ВАУЧЕРИ</v>
      </c>
      <c r="C52" s="12">
        <f t="array" ref="C52">IF(ROWS(C$4:C52)&lt;=$B$2,INDEX(data!B$3:B$106299,SMALL(IF(data!$D$3:$D$106299=$B$1,ROW($A$2:$A$99132)-ROW($A$2)+1),ROWS(C$4:C52))),"")</f>
        <v>-37</v>
      </c>
      <c r="D52" s="12" t="str">
        <f t="array" ref="D52">IF(ROWS(D$4:D52)&lt;=$B$2,INDEX(data!E$3:E$106299,SMALL(IF(data!$D$3:$D$106299=$B$1,ROW($A$2:$A$99132)-ROW($A$2)+1),ROWS(D$4:D52))),"")</f>
        <v>23-29.03</v>
      </c>
      <c r="E52" s="20"/>
      <c r="F52" s="18"/>
      <c r="G52" s="20"/>
      <c r="H52" s="20"/>
      <c r="I52" s="20"/>
      <c r="J52" s="18"/>
      <c r="K52" s="18"/>
      <c r="L52" s="18"/>
      <c r="M52" s="14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8.75" customHeight="1">
      <c r="A53" s="34">
        <f t="array" ref="A53">IF(ROWS(A$4:A53)&lt;=$B$2,INDEX(data!C$3:C$106299,SMALL(IF(data!$D$3:$D$106299=$B$1,ROW($A$2:$A$99132)-ROW($A$2)+1),ROWS(A$4:A53))),"")</f>
        <v>46135</v>
      </c>
      <c r="B53" s="12" t="str">
        <f t="array" ref="B53">IF(ROWS(B$4:B53)&lt;=$B$2,INDEX(data!A$3:A$106299,SMALL(IF(data!$D$3:$D$106299=$B$1,ROW($A$2:$A$99132)-ROW($A$2)+1),ROWS(B$4:B53))),"")</f>
        <v>Каса ВАУЧЕРИ</v>
      </c>
      <c r="C53" s="12">
        <f t="array" ref="C53">IF(ROWS(C$4:C53)&lt;=$B$2,INDEX(data!B$3:B$106299,SMALL(IF(data!$D$3:$D$106299=$B$1,ROW($A$2:$A$99132)-ROW($A$2)+1),ROWS(C$4:C53))),"")</f>
        <v>-10</v>
      </c>
      <c r="D53" s="12" t="str">
        <f t="array" ref="D53">IF(ROWS(D$4:D53)&lt;=$B$2,INDEX(data!E$3:E$106299,SMALL(IF(data!$D$3:$D$106299=$B$1,ROW($A$2:$A$99132)-ROW($A$2)+1),ROWS(D$4:D53))),"")</f>
        <v>30.03-05.04</v>
      </c>
      <c r="E53" s="20"/>
      <c r="F53" s="18"/>
      <c r="G53" s="20"/>
      <c r="H53" s="20"/>
      <c r="I53" s="20"/>
      <c r="J53" s="18"/>
      <c r="K53" s="18"/>
      <c r="L53" s="18"/>
      <c r="M53" s="14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8.75" customHeight="1">
      <c r="A54" s="34">
        <f t="array" ref="A54">IF(ROWS(A$4:A54)&lt;=$B$2,INDEX(data!C$3:C$106299,SMALL(IF(data!$D$3:$D$106299=$B$1,ROW($A$2:$A$99132)-ROW($A$2)+1),ROWS(A$4:A54))),"")</f>
        <v>46139</v>
      </c>
      <c r="B54" s="12" t="str">
        <f t="array" ref="B54">IF(ROWS(B$4:B54)&lt;=$B$2,INDEX(data!A$3:A$106299,SMALL(IF(data!$D$3:$D$106299=$B$1,ROW($A$2:$A$99132)-ROW($A$2)+1),ROWS(B$4:B54))),"")</f>
        <v>MYPOS Бакалия</v>
      </c>
      <c r="C54" s="12">
        <f t="array" ref="C54">IF(ROWS(C$4:C54)&lt;=$B$2,INDEX(data!B$3:B$106299,SMALL(IF(data!$D$3:$D$106299=$B$1,ROW($A$2:$A$99132)-ROW($A$2)+1),ROWS(C$4:C54))),"")</f>
        <v>-7573.136</v>
      </c>
      <c r="D54" s="12" t="str">
        <f t="array" ref="D54">IF(ROWS(D$4:D54)&lt;=$B$2,INDEX(data!E$3:E$106299,SMALL(IF(data!$D$3:$D$106299=$B$1,ROW($A$2:$A$99132)-ROW($A$2)+1),ROWS(D$4:D54))),"")</f>
        <v/>
      </c>
      <c r="E54" s="20"/>
      <c r="F54" s="18"/>
      <c r="G54" s="20"/>
      <c r="H54" s="20"/>
      <c r="I54" s="20"/>
      <c r="J54" s="18"/>
      <c r="K54" s="18"/>
      <c r="L54" s="18"/>
      <c r="M54" s="14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8.75" customHeight="1">
      <c r="A55" s="34">
        <f t="array" ref="A55">IF(ROWS(A$4:A55)&lt;=$B$2,INDEX(data!C$3:C$106299,SMALL(IF(data!$D$3:$D$106299=$B$1,ROW($A$2:$A$99132)-ROW($A$2)+1),ROWS(A$4:A55))),"")</f>
        <v>46146</v>
      </c>
      <c r="B55" s="12" t="str">
        <f t="array" ref="B55">IF(ROWS(B$4:B55)&lt;=$B$2,INDEX(data!A$3:A$106299,SMALL(IF(data!$D$3:$D$106299=$B$1,ROW($A$2:$A$99132)-ROW($A$2)+1),ROWS(B$4:B55))),"")</f>
        <v>MYPOS Бакалия</v>
      </c>
      <c r="C55" s="12">
        <f t="array" ref="C55">IF(ROWS(C$4:C55)&lt;=$B$2,INDEX(data!B$3:B$106299,SMALL(IF(data!$D$3:$D$106299=$B$1,ROW($A$2:$A$99132)-ROW($A$2)+1),ROWS(C$4:C55))),"")</f>
        <v>-5406.42</v>
      </c>
      <c r="D55" s="12" t="str">
        <f t="array" ref="D55">IF(ROWS(D$4:D55)&lt;=$B$2,INDEX(data!E$3:E$106299,SMALL(IF(data!$D$3:$D$106299=$B$1,ROW($A$2:$A$99132)-ROW($A$2)+1),ROWS(D$4:D55))),"")</f>
        <v/>
      </c>
      <c r="E55" s="20"/>
      <c r="F55" s="18"/>
      <c r="G55" s="20"/>
      <c r="H55" s="20"/>
      <c r="I55" s="20"/>
      <c r="J55" s="18"/>
      <c r="K55" s="18"/>
      <c r="L55" s="18"/>
      <c r="M55" s="14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8.75" customHeight="1">
      <c r="A56" s="34">
        <f t="array" ref="A56">IF(ROWS(A$4:A56)&lt;=$B$2,INDEX(data!C$3:C$106299,SMALL(IF(data!$D$3:$D$106299=$B$1,ROW($A$2:$A$99132)-ROW($A$2)+1),ROWS(A$4:A56))),"")</f>
        <v>46146</v>
      </c>
      <c r="B56" s="12" t="str">
        <f t="array" ref="B56">IF(ROWS(B$4:B56)&lt;=$B$2,INDEX(data!A$3:A$106299,SMALL(IF(data!$D$3:$D$106299=$B$1,ROW($A$2:$A$99132)-ROW($A$2)+1),ROWS(B$4:B56))),"")</f>
        <v>ПОС ДСК Бакалия</v>
      </c>
      <c r="C56" s="12">
        <f t="array" ref="C56">IF(ROWS(C$4:C56)&lt;=$B$2,INDEX(data!B$3:B$106299,SMALL(IF(data!$D$3:$D$106299=$B$1,ROW($A$2:$A$99132)-ROW($A$2)+1),ROWS(C$4:C56))),"")</f>
        <v>-2328.71</v>
      </c>
      <c r="D56" s="12" t="str">
        <f t="array" ref="D56">IF(ROWS(D$4:D56)&lt;=$B$2,INDEX(data!E$3:E$106299,SMALL(IF(data!$D$3:$D$106299=$B$1,ROW($A$2:$A$99132)-ROW($A$2)+1),ROWS(D$4:D56))),"")</f>
        <v/>
      </c>
      <c r="E56" s="20"/>
      <c r="F56" s="18"/>
      <c r="G56" s="20"/>
      <c r="H56" s="20"/>
      <c r="I56" s="20"/>
      <c r="J56" s="18"/>
      <c r="K56" s="18"/>
      <c r="L56" s="18"/>
      <c r="M56" s="14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8.75" customHeight="1">
      <c r="A57" s="34">
        <f t="array" ref="A57">IF(ROWS(A$4:A57)&lt;=$B$2,INDEX(data!C$3:C$106299,SMALL(IF(data!$D$3:$D$106299=$B$1,ROW($A$2:$A$99132)-ROW($A$2)+1),ROWS(A$4:A57))),"")</f>
        <v>46148</v>
      </c>
      <c r="B57" s="12" t="str">
        <f t="array" ref="B57">IF(ROWS(B$4:B57)&lt;=$B$2,INDEX(data!A$3:A$106299,SMALL(IF(data!$D$3:$D$106299=$B$1,ROW($A$2:$A$99132)-ROW($A$2)+1),ROWS(B$4:B57))),"")</f>
        <v>ЗАЕМ</v>
      </c>
      <c r="C57" s="12">
        <f t="array" ref="C57">IF(ROWS(C$4:C57)&lt;=$B$2,INDEX(data!B$3:B$106299,SMALL(IF(data!$D$3:$D$106299=$B$1,ROW($A$2:$A$99132)-ROW($A$2)+1),ROWS(C$4:C57))),"")</f>
        <v>39035.97</v>
      </c>
      <c r="D57" s="12" t="str">
        <f t="array" ref="D57">IF(ROWS(D$4:D57)&lt;=$B$2,INDEX(data!E$3:E$106299,SMALL(IF(data!$D$3:$D$106299=$B$1,ROW($A$2:$A$99132)-ROW($A$2)+1),ROWS(D$4:D57))),"")</f>
        <v>Салдо склад + вътр. п-не</v>
      </c>
      <c r="E57" s="20"/>
      <c r="F57" s="18"/>
      <c r="G57" s="20"/>
      <c r="H57" s="20"/>
      <c r="I57" s="20"/>
      <c r="J57" s="18"/>
      <c r="K57" s="18"/>
      <c r="L57" s="18"/>
      <c r="M57" s="14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8.75" customHeight="1">
      <c r="A58" s="34">
        <f t="array" ref="A58">IF(ROWS(A$4:A58)&lt;=$B$2,INDEX(data!C$3:C$106299,SMALL(IF(data!$D$3:$D$106299=$B$1,ROW($A$2:$A$99132)-ROW($A$2)+1),ROWS(A$4:A58))),"")</f>
        <v>46153</v>
      </c>
      <c r="B58" s="12" t="str">
        <f t="array" ref="B58">IF(ROWS(B$4:B58)&lt;=$B$2,INDEX(data!A$3:A$106299,SMALL(IF(data!$D$3:$D$106299=$B$1,ROW($A$2:$A$99132)-ROW($A$2)+1),ROWS(B$4:B58))),"")</f>
        <v>MYPOS Бакалия</v>
      </c>
      <c r="C58" s="12">
        <f t="array" ref="C58">IF(ROWS(C$4:C58)&lt;=$B$2,INDEX(data!B$3:B$106299,SMALL(IF(data!$D$3:$D$106299=$B$1,ROW($A$2:$A$99132)-ROW($A$2)+1),ROWS(C$4:C58))),"")</f>
        <v>-8044.58</v>
      </c>
      <c r="D58" s="12" t="str">
        <f t="array" ref="D58">IF(ROWS(D$4:D58)&lt;=$B$2,INDEX(data!E$3:E$106299,SMALL(IF(data!$D$3:$D$106299=$B$1,ROW($A$2:$A$99132)-ROW($A$2)+1),ROWS(D$4:D58))),"")</f>
        <v/>
      </c>
      <c r="E58" s="20"/>
      <c r="F58" s="18"/>
      <c r="G58" s="20"/>
      <c r="H58" s="20"/>
      <c r="I58" s="20"/>
      <c r="J58" s="18"/>
      <c r="K58" s="18"/>
      <c r="L58" s="18"/>
      <c r="M58" s="14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8.75" customHeight="1">
      <c r="A59" s="34">
        <f t="array" ref="A59">IF(ROWS(A$4:A59)&lt;=$B$2,INDEX(data!C$3:C$106299,SMALL(IF(data!$D$3:$D$106299=$B$1,ROW($A$2:$A$99132)-ROW($A$2)+1),ROWS(A$4:A59))),"")</f>
        <v>46160</v>
      </c>
      <c r="B59" s="12" t="str">
        <f t="array" ref="B59">IF(ROWS(B$4:B59)&lt;=$B$2,INDEX(data!A$3:A$106299,SMALL(IF(data!$D$3:$D$106299=$B$1,ROW($A$2:$A$99132)-ROW($A$2)+1),ROWS(B$4:B59))),"")</f>
        <v>MYPOS Бакалия</v>
      </c>
      <c r="C59" s="12">
        <f t="array" ref="C59">IF(ROWS(C$4:C59)&lt;=$B$2,INDEX(data!B$3:B$106299,SMALL(IF(data!$D$3:$D$106299=$B$1,ROW($A$2:$A$99132)-ROW($A$2)+1),ROWS(C$4:C59))),"")</f>
        <v>-5786.22</v>
      </c>
      <c r="D59" s="12" t="str">
        <f t="array" ref="D59">IF(ROWS(D$4:D59)&lt;=$B$2,INDEX(data!E$3:E$106299,SMALL(IF(data!$D$3:$D$106299=$B$1,ROW($A$2:$A$99132)-ROW($A$2)+1),ROWS(D$4:D59))),"")</f>
        <v/>
      </c>
      <c r="E59" s="20"/>
      <c r="F59" s="18"/>
      <c r="G59" s="20"/>
      <c r="H59" s="20"/>
      <c r="I59" s="20"/>
      <c r="J59" s="18"/>
      <c r="K59" s="18"/>
      <c r="L59" s="18"/>
      <c r="M59" s="14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8.75" customHeight="1">
      <c r="A60" s="34">
        <f t="array" ref="A60">IF(ROWS(A$4:A60)&lt;=$B$2,INDEX(data!C$3:C$106299,SMALL(IF(data!$D$3:$D$106299=$B$1,ROW($A$2:$A$99132)-ROW($A$2)+1),ROWS(A$4:A60))),"")</f>
        <v>46160</v>
      </c>
      <c r="B60" s="12" t="str">
        <f t="array" ref="B60">IF(ROWS(B$4:B60)&lt;=$B$2,INDEX(data!A$3:A$106299,SMALL(IF(data!$D$3:$D$106299=$B$1,ROW($A$2:$A$99132)-ROW($A$2)+1),ROWS(B$4:B60))),"")</f>
        <v>КАСОВА КНИГА</v>
      </c>
      <c r="C60" s="12">
        <f t="array" ref="C60">IF(ROWS(C$4:C60)&lt;=$B$2,INDEX(data!B$3:B$106299,SMALL(IF(data!$D$3:$D$106299=$B$1,ROW($A$2:$A$99132)-ROW($A$2)+1),ROWS(C$4:C60))),"")</f>
        <v>500</v>
      </c>
      <c r="D60" s="12" t="str">
        <f t="array" ref="D60">IF(ROWS(D$4:D60)&lt;=$B$2,INDEX(data!E$3:E$106299,SMALL(IF(data!$D$3:$D$106299=$B$1,ROW($A$2:$A$99132)-ROW($A$2)+1),ROWS(D$4:D60))),"")</f>
        <v>заем</v>
      </c>
      <c r="E60" s="20"/>
      <c r="F60" s="18"/>
      <c r="G60" s="20"/>
      <c r="H60" s="20"/>
      <c r="I60" s="20"/>
      <c r="J60" s="18"/>
      <c r="K60" s="18"/>
      <c r="L60" s="18"/>
      <c r="M60" s="14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8.75" customHeight="1">
      <c r="A61" s="34">
        <f t="array" ref="A61">IF(ROWS(A$4:A61)&lt;=$B$2,INDEX(data!C$3:C$106299,SMALL(IF(data!$D$3:$D$106299=$B$1,ROW($A$2:$A$99132)-ROW($A$2)+1),ROWS(A$4:A61))),"")</f>
        <v>46162</v>
      </c>
      <c r="B61" s="12" t="str">
        <f t="array" ref="B61">IF(ROWS(B$4:B61)&lt;=$B$2,INDEX(data!A$3:A$106299,SMALL(IF(data!$D$3:$D$106299=$B$1,ROW($A$2:$A$99132)-ROW($A$2)+1),ROWS(B$4:B61))),"")</f>
        <v>Каса ВАУЧЕРИ</v>
      </c>
      <c r="C61" s="12">
        <f t="array" ref="C61">IF(ROWS(C$4:C61)&lt;=$B$2,INDEX(data!B$3:B$106299,SMALL(IF(data!$D$3:$D$106299=$B$1,ROW($A$2:$A$99132)-ROW($A$2)+1),ROWS(C$4:C61))),"")</f>
        <v>400</v>
      </c>
      <c r="D61" s="12" t="str">
        <f t="array" ref="D61">IF(ROWS(D$4:D61)&lt;=$B$2,INDEX(data!E$3:E$106299,SMALL(IF(data!$D$3:$D$106299=$B$1,ROW($A$2:$A$99132)-ROW($A$2)+1),ROWS(D$4:D61))),"")</f>
        <v>ваучери персонал</v>
      </c>
      <c r="E61" s="20"/>
      <c r="F61" s="18"/>
      <c r="G61" s="20"/>
      <c r="H61" s="20"/>
      <c r="I61" s="20"/>
      <c r="J61" s="18"/>
      <c r="K61" s="18"/>
      <c r="L61" s="18"/>
      <c r="M61" s="14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8.75" customHeight="1">
      <c r="A62" s="34">
        <f t="array" ref="A62">IF(ROWS(A$4:A62)&lt;=$B$2,INDEX(data!C$3:C$106299,SMALL(IF(data!$D$3:$D$106299=$B$1,ROW($A$2:$A$99132)-ROW($A$2)+1),ROWS(A$4:A62))),"")</f>
        <v>46164</v>
      </c>
      <c r="B62" s="12" t="str">
        <f t="array" ref="B62">IF(ROWS(B$4:B62)&lt;=$B$2,INDEX(data!A$3:A$106299,SMALL(IF(data!$D$3:$D$106299=$B$1,ROW($A$2:$A$99132)-ROW($A$2)+1),ROWS(B$4:B62))),"")</f>
        <v>КАСОВА КНИГА</v>
      </c>
      <c r="C62" s="12">
        <f t="array" ref="C62">IF(ROWS(C$4:C62)&lt;=$B$2,INDEX(data!B$3:B$106299,SMALL(IF(data!$D$3:$D$106299=$B$1,ROW($A$2:$A$99132)-ROW($A$2)+1),ROWS(C$4:C62))),"")</f>
        <v>500</v>
      </c>
      <c r="D62" s="12" t="str">
        <f t="array" ref="D62">IF(ROWS(D$4:D62)&lt;=$B$2,INDEX(data!E$3:E$106299,SMALL(IF(data!$D$3:$D$106299=$B$1,ROW($A$2:$A$99132)-ROW($A$2)+1),ROWS(D$4:D62))),"")</f>
        <v>заем</v>
      </c>
      <c r="E62" s="20"/>
      <c r="F62" s="18"/>
      <c r="G62" s="20"/>
      <c r="H62" s="20"/>
      <c r="I62" s="20"/>
      <c r="J62" s="18"/>
      <c r="K62" s="18"/>
      <c r="L62" s="18"/>
      <c r="M62" s="14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8.75" customHeight="1">
      <c r="A63" s="34">
        <f t="array" ref="A63">IF(ROWS(A$4:A63)&lt;=$B$2,INDEX(data!C$3:C$106299,SMALL(IF(data!$D$3:$D$106299=$B$1,ROW($A$2:$A$99132)-ROW($A$2)+1),ROWS(A$4:A63))),"")</f>
        <v>46167</v>
      </c>
      <c r="B63" s="12" t="str">
        <f t="array" ref="B63">IF(ROWS(B$4:B63)&lt;=$B$2,INDEX(data!A$3:A$106299,SMALL(IF(data!$D$3:$D$106299=$B$1,ROW($A$2:$A$99132)-ROW($A$2)+1),ROWS(B$4:B63))),"")</f>
        <v>MYPOS Бакалия</v>
      </c>
      <c r="C63" s="12">
        <f t="array" ref="C63">IF(ROWS(C$4:C63)&lt;=$B$2,INDEX(data!B$3:B$106299,SMALL(IF(data!$D$3:$D$106299=$B$1,ROW($A$2:$A$99132)-ROW($A$2)+1),ROWS(C$4:C63))),"")</f>
        <v>-6221.12</v>
      </c>
      <c r="D63" s="12" t="str">
        <f t="array" ref="D63">IF(ROWS(D$4:D63)&lt;=$B$2,INDEX(data!E$3:E$106299,SMALL(IF(data!$D$3:$D$106299=$B$1,ROW($A$2:$A$99132)-ROW($A$2)+1),ROWS(D$4:D63))),"")</f>
        <v/>
      </c>
      <c r="E63" s="20"/>
      <c r="F63" s="18"/>
      <c r="G63" s="20"/>
      <c r="H63" s="20"/>
      <c r="I63" s="20"/>
      <c r="J63" s="18"/>
      <c r="K63" s="18"/>
      <c r="L63" s="18"/>
      <c r="M63" s="14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8.75" customHeight="1">
      <c r="A64" s="34">
        <f t="array" ref="A64">IF(ROWS(A$4:A64)&lt;=$B$2,INDEX(data!C$3:C$106299,SMALL(IF(data!$D$3:$D$106299=$B$1,ROW($A$2:$A$99132)-ROW($A$2)+1),ROWS(A$4:A64))),"")</f>
        <v>46174</v>
      </c>
      <c r="B64" s="12" t="str">
        <f t="array" ref="B64">IF(ROWS(B$4:B64)&lt;=$B$2,INDEX(data!A$3:A$106299,SMALL(IF(data!$D$3:$D$106299=$B$1,ROW($A$2:$A$99132)-ROW($A$2)+1),ROWS(B$4:B64))),"")</f>
        <v>MYPOS Бакалия</v>
      </c>
      <c r="C64" s="12">
        <f t="array" ref="C64">IF(ROWS(C$4:C64)&lt;=$B$2,INDEX(data!B$3:B$106299,SMALL(IF(data!$D$3:$D$106299=$B$1,ROW($A$2:$A$99132)-ROW($A$2)+1),ROWS(C$4:C64))),"")</f>
        <v>-8397.91</v>
      </c>
      <c r="D64" s="12" t="str">
        <f t="array" ref="D64">IF(ROWS(D$4:D64)&lt;=$B$2,INDEX(data!E$3:E$106299,SMALL(IF(data!$D$3:$D$106299=$B$1,ROW($A$2:$A$99132)-ROW($A$2)+1),ROWS(D$4:D64))),"")</f>
        <v/>
      </c>
      <c r="E64" s="20"/>
      <c r="F64" s="18"/>
      <c r="G64" s="20"/>
      <c r="H64" s="20"/>
      <c r="I64" s="20"/>
      <c r="J64" s="18"/>
      <c r="K64" s="18"/>
      <c r="L64" s="18"/>
      <c r="M64" s="14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8.75" customHeight="1">
      <c r="A65" s="34">
        <f t="array" ref="A65">IF(ROWS(A$4:A65)&lt;=$B$2,INDEX(data!C$3:C$106299,SMALL(IF(data!$D$3:$D$106299=$B$1,ROW($A$2:$A$99132)-ROW($A$2)+1),ROWS(A$4:A65))),"")</f>
        <v>46182</v>
      </c>
      <c r="B65" s="12" t="str">
        <f t="array" ref="B65">IF(ROWS(B$4:B65)&lt;=$B$2,INDEX(data!A$3:A$106299,SMALL(IF(data!$D$3:$D$106299=$B$1,ROW($A$2:$A$99132)-ROW($A$2)+1),ROWS(B$4:B65))),"")</f>
        <v>MYPOS Бакалия</v>
      </c>
      <c r="C65" s="12">
        <f t="array" ref="C65">IF(ROWS(C$4:C65)&lt;=$B$2,INDEX(data!B$3:B$106299,SMALL(IF(data!$D$3:$D$106299=$B$1,ROW($A$2:$A$99132)-ROW($A$2)+1),ROWS(C$4:C65))),"")</f>
        <v>-8032.73</v>
      </c>
      <c r="D65" s="12" t="str">
        <f t="array" ref="D65">IF(ROWS(D$4:D65)&lt;=$B$2,INDEX(data!E$3:E$106299,SMALL(IF(data!$D$3:$D$106299=$B$1,ROW($A$2:$A$99132)-ROW($A$2)+1),ROWS(D$4:D65))),"")</f>
        <v/>
      </c>
      <c r="E65" s="20"/>
      <c r="F65" s="18"/>
      <c r="G65" s="20"/>
      <c r="H65" s="20"/>
      <c r="I65" s="20"/>
      <c r="J65" s="18"/>
      <c r="K65" s="18"/>
      <c r="L65" s="18"/>
      <c r="M65" s="14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8.75" customHeight="1">
      <c r="A66" s="34">
        <f t="array" ref="A66">IF(ROWS(A$4:A66)&lt;=$B$2,INDEX(data!C$3:C$106299,SMALL(IF(data!$D$3:$D$106299=$B$1,ROW($A$2:$A$99132)-ROW($A$2)+1),ROWS(A$4:A66))),"")</f>
        <v>46183</v>
      </c>
      <c r="B66" s="12" t="str">
        <f t="array" ref="B66">IF(ROWS(B$4:B66)&lt;=$B$2,INDEX(data!A$3:A$106299,SMALL(IF(data!$D$3:$D$106299=$B$1,ROW($A$2:$A$99132)-ROW($A$2)+1),ROWS(B$4:B66))),"")</f>
        <v>ПОС ДСК Бакалия</v>
      </c>
      <c r="C66" s="12">
        <f t="array" ref="C66">IF(ROWS(C$4:C66)&lt;=$B$2,INDEX(data!B$3:B$106299,SMALL(IF(data!$D$3:$D$106299=$B$1,ROW($A$2:$A$99132)-ROW($A$2)+1),ROWS(C$4:C66))),"")</f>
        <v>-3206.99</v>
      </c>
      <c r="D66" s="12" t="str">
        <f t="array" ref="D66">IF(ROWS(D$4:D66)&lt;=$B$2,INDEX(data!E$3:E$106299,SMALL(IF(data!$D$3:$D$106299=$B$1,ROW($A$2:$A$99132)-ROW($A$2)+1),ROWS(D$4:D66))),"")</f>
        <v>18-24,05</v>
      </c>
      <c r="E66" s="20"/>
      <c r="F66" s="18"/>
      <c r="G66" s="20"/>
      <c r="H66" s="20"/>
      <c r="I66" s="20"/>
      <c r="J66" s="18"/>
      <c r="K66" s="18"/>
      <c r="L66" s="18"/>
      <c r="M66" s="14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8.75" customHeight="1">
      <c r="A67" s="34">
        <f t="array" ref="A67">IF(ROWS(A$4:A67)&lt;=$B$2,INDEX(data!C$3:C$106299,SMALL(IF(data!$D$3:$D$106299=$B$1,ROW($A$2:$A$99132)-ROW($A$2)+1),ROWS(A$4:A67))),"")</f>
        <v>46183</v>
      </c>
      <c r="B67" s="12" t="str">
        <f t="array" ref="B67">IF(ROWS(B$4:B67)&lt;=$B$2,INDEX(data!A$3:A$106299,SMALL(IF(data!$D$3:$D$106299=$B$1,ROW($A$2:$A$99132)-ROW($A$2)+1),ROWS(B$4:B67))),"")</f>
        <v>каса ФИКТИВНА</v>
      </c>
      <c r="C67" s="12">
        <f t="array" ref="C67">IF(ROWS(C$4:C67)&lt;=$B$2,INDEX(data!B$3:B$106299,SMALL(IF(data!$D$3:$D$106299=$B$1,ROW($A$2:$A$99132)-ROW($A$2)+1),ROWS(C$4:C67))),"")</f>
        <v>-150</v>
      </c>
      <c r="D67" s="12" t="str">
        <f t="array" ref="D67">IF(ROWS(D$4:D67)&lt;=$B$2,INDEX(data!E$3:E$106299,SMALL(IF(data!$D$3:$D$106299=$B$1,ROW($A$2:$A$99132)-ROW($A$2)+1),ROWS(D$4:D67))),"")</f>
        <v>Вики от премиите</v>
      </c>
      <c r="E67" s="20"/>
      <c r="F67" s="18"/>
      <c r="G67" s="20"/>
      <c r="H67" s="20"/>
      <c r="I67" s="20"/>
      <c r="J67" s="18"/>
      <c r="K67" s="18"/>
      <c r="L67" s="18"/>
      <c r="M67" s="14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8.75" customHeight="1">
      <c r="A68" s="34">
        <f t="array" ref="A68">IF(ROWS(A$4:A68)&lt;=$B$2,INDEX(data!C$3:C$106299,SMALL(IF(data!$D$3:$D$106299=$B$1,ROW($A$2:$A$99132)-ROW($A$2)+1),ROWS(A$4:A68))),"")</f>
        <v>46188</v>
      </c>
      <c r="B68" s="12" t="str">
        <f t="array" ref="B68">IF(ROWS(B$4:B68)&lt;=$B$2,INDEX(data!A$3:A$106299,SMALL(IF(data!$D$3:$D$106299=$B$1,ROW($A$2:$A$99132)-ROW($A$2)+1),ROWS(B$4:B68))),"")</f>
        <v>MYPOS Бакалия</v>
      </c>
      <c r="C68" s="12">
        <f t="array" ref="C68">IF(ROWS(C$4:C68)&lt;=$B$2,INDEX(data!B$3:B$106299,SMALL(IF(data!$D$3:$D$106299=$B$1,ROW($A$2:$A$99132)-ROW($A$2)+1),ROWS(C$4:C68))),"")</f>
        <v>-8941.67</v>
      </c>
      <c r="D68" s="12" t="str">
        <f t="array" ref="D68">IF(ROWS(D$4:D68)&lt;=$B$2,INDEX(data!E$3:E$106299,SMALL(IF(data!$D$3:$D$106299=$B$1,ROW($A$2:$A$99132)-ROW($A$2)+1),ROWS(D$4:D68))),"")</f>
        <v/>
      </c>
      <c r="E68" s="20"/>
      <c r="F68" s="18"/>
      <c r="G68" s="20"/>
      <c r="H68" s="20"/>
      <c r="I68" s="20"/>
      <c r="J68" s="18"/>
      <c r="K68" s="18"/>
      <c r="L68" s="18"/>
      <c r="M68" s="14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8.75" customHeight="1">
      <c r="A69" s="34">
        <f t="array" ref="A69">IF(ROWS(A$4:A69)&lt;=$B$2,INDEX(data!C$3:C$106299,SMALL(IF(data!$D$3:$D$106299=$B$1,ROW($A$2:$A$99132)-ROW($A$2)+1),ROWS(A$4:A69))),"")</f>
        <v>46188</v>
      </c>
      <c r="B69" s="12" t="str">
        <f t="array" ref="B69">IF(ROWS(B$4:B69)&lt;=$B$2,INDEX(data!A$3:A$106299,SMALL(IF(data!$D$3:$D$106299=$B$1,ROW($A$2:$A$99132)-ROW($A$2)+1),ROWS(B$4:B69))),"")</f>
        <v>ЗАЕМ</v>
      </c>
      <c r="C69" s="12">
        <f t="array" ref="C69">IF(ROWS(C$4:C69)&lt;=$B$2,INDEX(data!B$3:B$106299,SMALL(IF(data!$D$3:$D$106299=$B$1,ROW($A$2:$A$99132)-ROW($A$2)+1),ROWS(C$4:C69))),"")</f>
        <v>42046.5</v>
      </c>
      <c r="D69" s="12" t="str">
        <f t="array" ref="D69">IF(ROWS(D$4:D69)&lt;=$B$2,INDEX(data!E$3:E$106299,SMALL(IF(data!$D$3:$D$106299=$B$1,ROW($A$2:$A$99132)-ROW($A$2)+1),ROWS(D$4:D69))),"")</f>
        <v>Салдо склад + вътр. п-не</v>
      </c>
      <c r="E69" s="20"/>
      <c r="F69" s="18"/>
      <c r="G69" s="20"/>
      <c r="H69" s="20"/>
      <c r="I69" s="20"/>
      <c r="J69" s="18"/>
      <c r="K69" s="18"/>
      <c r="L69" s="18"/>
      <c r="M69" s="14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8.75" customHeight="1">
      <c r="A70" s="34">
        <f t="array" ref="A70">IF(ROWS(A$4:A70)&lt;=$B$2,INDEX(data!C$3:C$106299,SMALL(IF(data!$D$3:$D$106299=$B$1,ROW($A$2:$A$99132)-ROW($A$2)+1),ROWS(A$4:A70))),"")</f>
        <v>46192</v>
      </c>
      <c r="B70" s="12" t="str">
        <f t="array" ref="B70">IF(ROWS(B$4:B70)&lt;=$B$2,INDEX(data!A$3:A$106299,SMALL(IF(data!$D$3:$D$106299=$B$1,ROW($A$2:$A$99132)-ROW($A$2)+1),ROWS(B$4:B70))),"")</f>
        <v>КАСОВА КНИГА</v>
      </c>
      <c r="C70" s="12">
        <f t="array" ref="C70">IF(ROWS(C$4:C70)&lt;=$B$2,INDEX(data!B$3:B$106299,SMALL(IF(data!$D$3:$D$106299=$B$1,ROW($A$2:$A$99132)-ROW($A$2)+1),ROWS(C$4:C70))),"")</f>
        <v>300</v>
      </c>
      <c r="D70" s="12" t="str">
        <f t="array" ref="D70">IF(ROWS(D$4:D70)&lt;=$B$2,INDEX(data!E$3:E$106299,SMALL(IF(data!$D$3:$D$106299=$B$1,ROW($A$2:$A$99132)-ROW($A$2)+1),ROWS(D$4:D70))),"")</f>
        <v>заем</v>
      </c>
      <c r="E70" s="20"/>
      <c r="F70" s="18"/>
      <c r="G70" s="20"/>
      <c r="H70" s="20"/>
      <c r="I70" s="20"/>
      <c r="J70" s="18"/>
      <c r="K70" s="18"/>
      <c r="L70" s="18"/>
      <c r="M70" s="14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8.75" customHeight="1">
      <c r="A71" s="34">
        <f t="array" ref="A71">IF(ROWS(A$4:A71)&lt;=$B$2,INDEX(data!C$3:C$106299,SMALL(IF(data!$D$3:$D$106299=$B$1,ROW($A$2:$A$99132)-ROW($A$2)+1),ROWS(A$4:A71))),"")</f>
        <v>46192</v>
      </c>
      <c r="B71" s="12" t="str">
        <f t="array" ref="B71">IF(ROWS(B$4:B71)&lt;=$B$2,INDEX(data!A$3:A$106299,SMALL(IF(data!$D$3:$D$106299=$B$1,ROW($A$2:$A$99132)-ROW($A$2)+1),ROWS(B$4:B71))),"")</f>
        <v>Каса ВАУЧЕРИ</v>
      </c>
      <c r="C71" s="12">
        <f t="array" ref="C71">IF(ROWS(C$4:C71)&lt;=$B$2,INDEX(data!B$3:B$106299,SMALL(IF(data!$D$3:$D$106299=$B$1,ROW($A$2:$A$99132)-ROW($A$2)+1),ROWS(C$4:C71))),"")</f>
        <v>400</v>
      </c>
      <c r="D71" s="12" t="str">
        <f t="array" ref="D71">IF(ROWS(D$4:D71)&lt;=$B$2,INDEX(data!E$3:E$106299,SMALL(IF(data!$D$3:$D$106299=$B$1,ROW($A$2:$A$99132)-ROW($A$2)+1),ROWS(D$4:D71))),"")</f>
        <v>ваучери персонал</v>
      </c>
      <c r="E71" s="20"/>
      <c r="F71" s="18"/>
      <c r="G71" s="20"/>
      <c r="H71" s="20"/>
      <c r="I71" s="20"/>
      <c r="J71" s="18"/>
      <c r="K71" s="18"/>
      <c r="L71" s="18"/>
      <c r="M71" s="14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8.75" customHeight="1">
      <c r="A72" s="34">
        <f t="array" ref="A72">IF(ROWS(A$4:A72)&lt;=$B$2,INDEX(data!C$3:C$106299,SMALL(IF(data!$D$3:$D$106299=$B$1,ROW($A$2:$A$99132)-ROW($A$2)+1),ROWS(A$4:A72))),"")</f>
        <v>46195</v>
      </c>
      <c r="B72" s="12" t="str">
        <f t="array" ref="B72">IF(ROWS(B$4:B72)&lt;=$B$2,INDEX(data!A$3:A$106299,SMALL(IF(data!$D$3:$D$106299=$B$1,ROW($A$2:$A$99132)-ROW($A$2)+1),ROWS(B$4:B72))),"")</f>
        <v>MYPOS Бакалия</v>
      </c>
      <c r="C72" s="12">
        <f t="array" ref="C72">IF(ROWS(C$4:C72)&lt;=$B$2,INDEX(data!B$3:B$106299,SMALL(IF(data!$D$3:$D$106299=$B$1,ROW($A$2:$A$99132)-ROW($A$2)+1),ROWS(C$4:C72))),"")</f>
        <v>-8216.53</v>
      </c>
      <c r="D72" s="12" t="str">
        <f t="array" ref="D72">IF(ROWS(D$4:D72)&lt;=$B$2,INDEX(data!E$3:E$106299,SMALL(IF(data!$D$3:$D$106299=$B$1,ROW($A$2:$A$99132)-ROW($A$2)+1),ROWS(D$4:D72))),"")</f>
        <v/>
      </c>
      <c r="E72" s="20"/>
      <c r="F72" s="18"/>
      <c r="G72" s="20"/>
      <c r="H72" s="20"/>
      <c r="I72" s="20"/>
      <c r="J72" s="18"/>
      <c r="K72" s="18"/>
      <c r="L72" s="18"/>
      <c r="M72" s="14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8.75" customHeight="1">
      <c r="A73" s="34">
        <f t="array" ref="A73">IF(ROWS(A$4:A73)&lt;=$B$2,INDEX(data!C$3:C$106299,SMALL(IF(data!$D$3:$D$106299=$B$1,ROW($A$2:$A$99132)-ROW($A$2)+1),ROWS(A$4:A73))),"")</f>
        <v>46202</v>
      </c>
      <c r="B73" s="12" t="str">
        <f t="array" ref="B73">IF(ROWS(B$4:B73)&lt;=$B$2,INDEX(data!A$3:A$106299,SMALL(IF(data!$D$3:$D$106299=$B$1,ROW($A$2:$A$99132)-ROW($A$2)+1),ROWS(B$4:B73))),"")</f>
        <v>MYPOS Бакалия</v>
      </c>
      <c r="C73" s="12">
        <f t="array" ref="C73">IF(ROWS(C$4:C73)&lt;=$B$2,INDEX(data!B$3:B$106299,SMALL(IF(data!$D$3:$D$106299=$B$1,ROW($A$2:$A$99132)-ROW($A$2)+1),ROWS(C$4:C73))),"")</f>
        <v>-5468.02</v>
      </c>
      <c r="D73" s="12" t="str">
        <f t="array" ref="D73">IF(ROWS(D$4:D73)&lt;=$B$2,INDEX(data!E$3:E$106299,SMALL(IF(data!$D$3:$D$106299=$B$1,ROW($A$2:$A$99132)-ROW($A$2)+1),ROWS(D$4:D73))),"")</f>
        <v/>
      </c>
      <c r="E73" s="20"/>
      <c r="F73" s="18"/>
      <c r="G73" s="20"/>
      <c r="H73" s="20"/>
      <c r="I73" s="20"/>
      <c r="J73" s="18"/>
      <c r="K73" s="18"/>
      <c r="L73" s="18"/>
      <c r="M73" s="14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8.75" customHeight="1">
      <c r="A74" s="34">
        <f t="array" ref="A74">IF(ROWS(A$4:A74)&lt;=$B$2,INDEX(data!C$3:C$106299,SMALL(IF(data!$D$3:$D$106299=$B$1,ROW($A$2:$A$99132)-ROW($A$2)+1),ROWS(A$4:A74))),"")</f>
        <v>46202</v>
      </c>
      <c r="B74" s="12" t="str">
        <f t="array" ref="B74">IF(ROWS(B$4:B74)&lt;=$B$2,INDEX(data!A$3:A$106299,SMALL(IF(data!$D$3:$D$106299=$B$1,ROW($A$2:$A$99132)-ROW($A$2)+1),ROWS(B$4:B74))),"")</f>
        <v>ПОС ДСК Бакалия</v>
      </c>
      <c r="C74" s="12">
        <f t="array" ref="C74">IF(ROWS(C$4:C74)&lt;=$B$2,INDEX(data!B$3:B$106299,SMALL(IF(data!$D$3:$D$106299=$B$1,ROW($A$2:$A$99132)-ROW($A$2)+1),ROWS(C$4:C74))),"")</f>
        <v>-2150.9</v>
      </c>
      <c r="D74" s="12" t="str">
        <f t="array" ref="D74">IF(ROWS(D$4:D74)&lt;=$B$2,INDEX(data!E$3:E$106299,SMALL(IF(data!$D$3:$D$106299=$B$1,ROW($A$2:$A$99132)-ROW($A$2)+1),ROWS(D$4:D74))),"")</f>
        <v/>
      </c>
      <c r="E74" s="20"/>
      <c r="F74" s="18"/>
      <c r="G74" s="20"/>
      <c r="H74" s="20"/>
      <c r="I74" s="20"/>
      <c r="J74" s="18"/>
      <c r="K74" s="18"/>
      <c r="L74" s="18"/>
      <c r="M74" s="14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8.75" customHeight="1">
      <c r="A75" s="34">
        <f t="array" ref="A75">IF(ROWS(A$4:A75)&lt;=$B$2,INDEX(data!C$3:C$106299,SMALL(IF(data!$D$3:$D$106299=$B$1,ROW($A$2:$A$99132)-ROW($A$2)+1),ROWS(A$4:A75))),"")</f>
        <v>46205</v>
      </c>
      <c r="B75" s="12" t="str">
        <f t="array" ref="B75">IF(ROWS(B$4:B75)&lt;=$B$2,INDEX(data!A$3:A$106299,SMALL(IF(data!$D$3:$D$106299=$B$1,ROW($A$2:$A$99132)-ROW($A$2)+1),ROWS(B$4:B75))),"")</f>
        <v>КАСОВА КНИГА</v>
      </c>
      <c r="C75" s="12">
        <f t="array" ref="C75">IF(ROWS(C$4:C75)&lt;=$B$2,INDEX(data!B$3:B$106299,SMALL(IF(data!$D$3:$D$106299=$B$1,ROW($A$2:$A$99132)-ROW($A$2)+1),ROWS(C$4:C75))),"")</f>
        <v>2000</v>
      </c>
      <c r="D75" s="12" t="str">
        <f t="array" ref="D75">IF(ROWS(D$4:D75)&lt;=$B$2,INDEX(data!E$3:E$106299,SMALL(IF(data!$D$3:$D$106299=$B$1,ROW($A$2:$A$99132)-ROW($A$2)+1),ROWS(D$4:D75))),"")</f>
        <v>заем</v>
      </c>
      <c r="E75" s="20"/>
      <c r="F75" s="18"/>
      <c r="G75" s="20"/>
      <c r="H75" s="20"/>
      <c r="I75" s="20"/>
      <c r="J75" s="18"/>
      <c r="K75" s="18"/>
      <c r="L75" s="18"/>
      <c r="M75" s="14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8.75" customHeight="1">
      <c r="A76" s="34">
        <f t="array" ref="A76">IF(ROWS(A$4:A76)&lt;=$B$2,INDEX(data!C$3:C$106299,SMALL(IF(data!$D$3:$D$106299=$B$1,ROW($A$2:$A$99132)-ROW($A$2)+1),ROWS(A$4:A76))),"")</f>
        <v>46209</v>
      </c>
      <c r="B76" s="12" t="str">
        <f t="array" ref="B76">IF(ROWS(B$4:B76)&lt;=$B$2,INDEX(data!A$3:A$106299,SMALL(IF(data!$D$3:$D$106299=$B$1,ROW($A$2:$A$99132)-ROW($A$2)+1),ROWS(B$4:B76))),"")</f>
        <v>MYPOS Бакалия</v>
      </c>
      <c r="C76" s="12">
        <f t="array" ref="C76">IF(ROWS(C$4:C76)&lt;=$B$2,INDEX(data!B$3:B$106299,SMALL(IF(data!$D$3:$D$106299=$B$1,ROW($A$2:$A$99132)-ROW($A$2)+1),ROWS(C$4:C76))),"")</f>
        <v>-4878.46</v>
      </c>
      <c r="D76" s="12" t="str">
        <f t="array" ref="D76">IF(ROWS(D$4:D76)&lt;=$B$2,INDEX(data!E$3:E$106299,SMALL(IF(data!$D$3:$D$106299=$B$1,ROW($A$2:$A$99132)-ROW($A$2)+1),ROWS(D$4:D76))),"")</f>
        <v/>
      </c>
      <c r="E76" s="20"/>
      <c r="F76" s="18"/>
      <c r="G76" s="20"/>
      <c r="H76" s="20"/>
      <c r="I76" s="20"/>
      <c r="J76" s="18"/>
      <c r="K76" s="18"/>
      <c r="L76" s="18"/>
      <c r="M76" s="14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8.75" customHeight="1">
      <c r="A77" s="34">
        <f t="array" ref="A77">IF(ROWS(A$4:A77)&lt;=$B$2,INDEX(data!C$3:C$106299,SMALL(IF(data!$D$3:$D$106299=$B$1,ROW($A$2:$A$99132)-ROW($A$2)+1),ROWS(A$4:A77))),"")</f>
        <v>46209</v>
      </c>
      <c r="B77" s="12" t="str">
        <f t="array" ref="B77">IF(ROWS(B$4:B77)&lt;=$B$2,INDEX(data!A$3:A$106299,SMALL(IF(data!$D$3:$D$106299=$B$1,ROW($A$2:$A$99132)-ROW($A$2)+1),ROWS(B$4:B77))),"")</f>
        <v>КАСОВА КНИГА</v>
      </c>
      <c r="C77" s="12">
        <f t="array" ref="C77">IF(ROWS(C$4:C77)&lt;=$B$2,INDEX(data!B$3:B$106299,SMALL(IF(data!$D$3:$D$106299=$B$1,ROW($A$2:$A$99132)-ROW($A$2)+1),ROWS(C$4:C77))),"")</f>
        <v>-2700</v>
      </c>
      <c r="D77" s="12" t="str">
        <f t="array" ref="D77">IF(ROWS(D$4:D77)&lt;=$B$2,INDEX(data!E$3:E$106299,SMALL(IF(data!$D$3:$D$106299=$B$1,ROW($A$2:$A$99132)-ROW($A$2)+1),ROWS(D$4:D77))),"")</f>
        <v/>
      </c>
      <c r="E77" s="20"/>
      <c r="F77" s="18"/>
      <c r="G77" s="20"/>
      <c r="H77" s="20"/>
      <c r="I77" s="20"/>
      <c r="J77" s="18"/>
      <c r="K77" s="18"/>
      <c r="L77" s="18"/>
      <c r="M77" s="14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8.75" customHeight="1">
      <c r="A78" s="34">
        <f t="array" ref="A78">IF(ROWS(A$4:A78)&lt;=$B$2,INDEX(data!C$3:C$106299,SMALL(IF(data!$D$3:$D$106299=$B$1,ROW($A$2:$A$99132)-ROW($A$2)+1),ROWS(A$4:A78))),"")</f>
        <v>46216</v>
      </c>
      <c r="B78" s="12" t="str">
        <f t="array" ref="B78">IF(ROWS(B$4:B78)&lt;=$B$2,INDEX(data!A$3:A$106299,SMALL(IF(data!$D$3:$D$106299=$B$1,ROW($A$2:$A$99132)-ROW($A$2)+1),ROWS(B$4:B78))),"")</f>
        <v>каса ФИКТИВНА</v>
      </c>
      <c r="C78" s="12">
        <f t="array" ref="C78">IF(ROWS(C$4:C78)&lt;=$B$2,INDEX(data!B$3:B$106299,SMALL(IF(data!$D$3:$D$106299=$B$1,ROW($A$2:$A$99132)-ROW($A$2)+1),ROWS(C$4:C78))),"")</f>
        <v>-300</v>
      </c>
      <c r="D78" s="12" t="str">
        <f t="array" ref="D78">IF(ROWS(D$4:D78)&lt;=$B$2,INDEX(data!E$3:E$106299,SMALL(IF(data!$D$3:$D$106299=$B$1,ROW($A$2:$A$99132)-ROW($A$2)+1),ROWS(D$4:D78))),"")</f>
        <v>Вики от премиите</v>
      </c>
      <c r="E78" s="20"/>
      <c r="F78" s="18"/>
      <c r="G78" s="20"/>
      <c r="H78" s="20"/>
      <c r="I78" s="20"/>
      <c r="J78" s="18"/>
      <c r="K78" s="18"/>
      <c r="L78" s="18"/>
      <c r="M78" s="14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8.75" customHeight="1">
      <c r="A79" s="34">
        <f t="array" ref="A79">IF(ROWS(A$4:A79)&lt;=$B$2,INDEX(data!C$3:C$106299,SMALL(IF(data!$D$3:$D$106299=$B$1,ROW($A$2:$A$99132)-ROW($A$2)+1),ROWS(A$4:A79))),"")</f>
        <v>46219</v>
      </c>
      <c r="B79" s="12" t="str">
        <f t="array" ref="B79">IF(ROWS(B$4:B79)&lt;=$B$2,INDEX(data!A$3:A$106299,SMALL(IF(data!$D$3:$D$106299=$B$1,ROW($A$2:$A$99132)-ROW($A$2)+1),ROWS(B$4:B79))),"")</f>
        <v>Каса ВАУЧЕРИ</v>
      </c>
      <c r="C79" s="12">
        <f t="array" ref="C79">IF(ROWS(C$4:C79)&lt;=$B$2,INDEX(data!B$3:B$106299,SMALL(IF(data!$D$3:$D$106299=$B$1,ROW($A$2:$A$99132)-ROW($A$2)+1),ROWS(C$4:C79))),"")</f>
        <v>-10</v>
      </c>
      <c r="D79" s="12" t="str">
        <f t="array" ref="D79">IF(ROWS(D$4:D79)&lt;=$B$2,INDEX(data!E$3:E$106299,SMALL(IF(data!$D$3:$D$106299=$B$1,ROW($A$2:$A$99132)-ROW($A$2)+1),ROWS(D$4:D79))),"")</f>
        <v>за 22-28.06</v>
      </c>
      <c r="E79" s="20"/>
      <c r="F79" s="18"/>
      <c r="G79" s="20"/>
      <c r="H79" s="20"/>
      <c r="I79" s="20"/>
      <c r="J79" s="18"/>
      <c r="K79" s="18"/>
      <c r="L79" s="18"/>
      <c r="M79" s="14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8.75" customHeight="1">
      <c r="A80" s="34">
        <f t="array" ref="A80">IF(ROWS(A$4:A80)&lt;=$B$2,INDEX(data!C$3:C$106299,SMALL(IF(data!$D$3:$D$106299=$B$1,ROW($A$2:$A$99132)-ROW($A$2)+1),ROWS(A$4:A80))),"")</f>
        <v>46220</v>
      </c>
      <c r="B80" s="12" t="str">
        <f t="array" ref="B80">IF(ROWS(B$4:B80)&lt;=$B$2,INDEX(data!A$3:A$106299,SMALL(IF(data!$D$3:$D$106299=$B$1,ROW($A$2:$A$99132)-ROW($A$2)+1),ROWS(B$4:B80))),"")</f>
        <v>КАСОВА КНИГА</v>
      </c>
      <c r="C80" s="12">
        <f t="array" ref="C80">IF(ROWS(C$4:C80)&lt;=$B$2,INDEX(data!B$3:B$106299,SMALL(IF(data!$D$3:$D$106299=$B$1,ROW($A$2:$A$99132)-ROW($A$2)+1),ROWS(C$4:C80))),"")</f>
        <v>500</v>
      </c>
      <c r="D80" s="12" t="str">
        <f t="array" ref="D80">IF(ROWS(D$4:D80)&lt;=$B$2,INDEX(data!E$3:E$106299,SMALL(IF(data!$D$3:$D$106299=$B$1,ROW($A$2:$A$99132)-ROW($A$2)+1),ROWS(D$4:D80))),"")</f>
        <v>заем</v>
      </c>
      <c r="E80" s="20"/>
      <c r="F80" s="18"/>
      <c r="G80" s="20"/>
      <c r="H80" s="20"/>
      <c r="I80" s="20"/>
      <c r="J80" s="18"/>
      <c r="K80" s="18"/>
      <c r="L80" s="18"/>
      <c r="M80" s="14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8.75" customHeight="1">
      <c r="A81" s="34">
        <f t="array" ref="A81">IF(ROWS(A$4:A81)&lt;=$B$2,INDEX(data!C$3:C$106299,SMALL(IF(data!$D$3:$D$106299=$B$1,ROW($A$2:$A$99132)-ROW($A$2)+1),ROWS(A$4:A81))),"")</f>
        <v>46223</v>
      </c>
      <c r="B81" s="12" t="str">
        <f t="array" ref="B81">IF(ROWS(B$4:B81)&lt;=$B$2,INDEX(data!A$3:A$106299,SMALL(IF(data!$D$3:$D$106299=$B$1,ROW($A$2:$A$99132)-ROW($A$2)+1),ROWS(B$4:B81))),"")</f>
        <v>КАСОВА КНИГА</v>
      </c>
      <c r="C81" s="12">
        <f t="array" ref="C81">IF(ROWS(C$4:C81)&lt;=$B$2,INDEX(data!B$3:B$106299,SMALL(IF(data!$D$3:$D$106299=$B$1,ROW($A$2:$A$99132)-ROW($A$2)+1),ROWS(C$4:C81))),"")</f>
        <v>-300</v>
      </c>
      <c r="D81" s="12" t="str">
        <f t="array" ref="D81">IF(ROWS(D$4:D81)&lt;=$B$2,INDEX(data!E$3:E$106299,SMALL(IF(data!$D$3:$D$106299=$B$1,ROW($A$2:$A$99132)-ROW($A$2)+1),ROWS(D$4:D81))),"")</f>
        <v/>
      </c>
      <c r="E81" s="20"/>
      <c r="F81" s="18"/>
      <c r="G81" s="20"/>
      <c r="H81" s="20"/>
      <c r="I81" s="20"/>
      <c r="J81" s="18"/>
      <c r="K81" s="18"/>
      <c r="L81" s="18"/>
      <c r="M81" s="14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8.75" customHeight="1">
      <c r="A82" s="34">
        <f t="array" ref="A82">IF(ROWS(A$4:A82)&lt;=$B$2,INDEX(data!C$3:C$106299,SMALL(IF(data!$D$3:$D$106299=$B$1,ROW($A$2:$A$99132)-ROW($A$2)+1),ROWS(A$4:A82))),"")</f>
        <v>46223</v>
      </c>
      <c r="B82" s="12" t="str">
        <f t="array" ref="B82">IF(ROWS(B$4:B82)&lt;=$B$2,INDEX(data!A$3:A$106299,SMALL(IF(data!$D$3:$D$106299=$B$1,ROW($A$2:$A$99132)-ROW($A$2)+1),ROWS(B$4:B82))),"")</f>
        <v>Каса ВАУЧЕРИ</v>
      </c>
      <c r="C82" s="12">
        <f t="array" ref="C82">IF(ROWS(C$4:C82)&lt;=$B$2,INDEX(data!B$3:B$106299,SMALL(IF(data!$D$3:$D$106299=$B$1,ROW($A$2:$A$99132)-ROW($A$2)+1),ROWS(C$4:C82))),"")</f>
        <v>500</v>
      </c>
      <c r="D82" s="12" t="str">
        <f t="array" ref="D82">IF(ROWS(D$4:D82)&lt;=$B$2,INDEX(data!E$3:E$106299,SMALL(IF(data!$D$3:$D$106299=$B$1,ROW($A$2:$A$99132)-ROW($A$2)+1),ROWS(D$4:D82))),"")</f>
        <v>ваучери персонал</v>
      </c>
      <c r="E82" s="20"/>
      <c r="F82" s="18"/>
      <c r="G82" s="20"/>
      <c r="H82" s="20"/>
      <c r="I82" s="20"/>
      <c r="J82" s="18"/>
      <c r="K82" s="18"/>
      <c r="L82" s="18"/>
      <c r="M82" s="14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8.75" customHeight="1">
      <c r="A83" s="34">
        <f t="array" ref="A83">IF(ROWS(A$4:A83)&lt;=$B$2,INDEX(data!C$3:C$106299,SMALL(IF(data!$D$3:$D$106299=$B$1,ROW($A$2:$A$99132)-ROW($A$2)+1),ROWS(A$4:A83))),"")</f>
        <v>46223</v>
      </c>
      <c r="B83" s="12" t="str">
        <f t="array" ref="B83">IF(ROWS(B$4:B83)&lt;=$B$2,INDEX(data!A$3:A$106299,SMALL(IF(data!$D$3:$D$106299=$B$1,ROW($A$2:$A$99132)-ROW($A$2)+1),ROWS(B$4:B83))),"")</f>
        <v>MYPOS Бакалия</v>
      </c>
      <c r="C83" s="12">
        <f t="array" ref="C83">IF(ROWS(C$4:C83)&lt;=$B$2,INDEX(data!B$3:B$106299,SMALL(IF(data!$D$3:$D$106299=$B$1,ROW($A$2:$A$99132)-ROW($A$2)+1),ROWS(C$4:C83))),"")</f>
        <v>-15091.75</v>
      </c>
      <c r="D83" s="12" t="str">
        <f t="array" ref="D83">IF(ROWS(D$4:D83)&lt;=$B$2,INDEX(data!E$3:E$106299,SMALL(IF(data!$D$3:$D$106299=$B$1,ROW($A$2:$A$99132)-ROW($A$2)+1),ROWS(D$4:D83))),"")</f>
        <v/>
      </c>
      <c r="E83" s="20"/>
      <c r="F83" s="18"/>
      <c r="G83" s="20"/>
      <c r="H83" s="20"/>
      <c r="I83" s="20"/>
      <c r="J83" s="18"/>
      <c r="K83" s="18"/>
      <c r="L83" s="18"/>
      <c r="M83" s="14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8.75" customHeight="1">
      <c r="A84" s="34">
        <f t="array" ref="A84">IF(ROWS(A$4:A84)&lt;=$B$2,INDEX(data!C$3:C$106299,SMALL(IF(data!$D$3:$D$106299=$B$1,ROW($A$2:$A$99132)-ROW($A$2)+1),ROWS(A$4:A84))),"")</f>
        <v>46224</v>
      </c>
      <c r="B84" s="12" t="str">
        <f t="array" ref="B84">IF(ROWS(B$4:B84)&lt;=$B$2,INDEX(data!A$3:A$106299,SMALL(IF(data!$D$3:$D$106299=$B$1,ROW($A$2:$A$99132)-ROW($A$2)+1),ROWS(B$4:B84))),"")</f>
        <v>ПОС ДСК Бакалия</v>
      </c>
      <c r="C84" s="12">
        <f t="array" ref="C84">IF(ROWS(C$4:C84)&lt;=$B$2,INDEX(data!B$3:B$106299,SMALL(IF(data!$D$3:$D$106299=$B$1,ROW($A$2:$A$99132)-ROW($A$2)+1),ROWS(C$4:C84))),"")</f>
        <v>-8177</v>
      </c>
      <c r="D84" s="12" t="str">
        <f t="array" ref="D84">IF(ROWS(D$4:D84)&lt;=$B$2,INDEX(data!E$3:E$106299,SMALL(IF(data!$D$3:$D$106299=$B$1,ROW($A$2:$A$99132)-ROW($A$2)+1),ROWS(D$4:D84))),"")</f>
        <v/>
      </c>
      <c r="E84" s="20"/>
      <c r="F84" s="18"/>
      <c r="G84" s="20"/>
      <c r="H84" s="20"/>
      <c r="I84" s="20"/>
      <c r="J84" s="18"/>
      <c r="K84" s="18"/>
      <c r="L84" s="18"/>
      <c r="M84" s="14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8.75" customHeight="1">
      <c r="A85" s="34">
        <f t="array" ref="A85">IF(ROWS(A$4:A85)&lt;=$B$2,INDEX(data!C$3:C$106299,SMALL(IF(data!$D$3:$D$106299=$B$1,ROW($A$2:$A$99132)-ROW($A$2)+1),ROWS(A$4:A85))),"")</f>
        <v>46224</v>
      </c>
      <c r="B85" s="12" t="str">
        <f t="array" ref="B85">IF(ROWS(B$4:B85)&lt;=$B$2,INDEX(data!A$3:A$106299,SMALL(IF(data!$D$3:$D$106299=$B$1,ROW($A$2:$A$99132)-ROW($A$2)+1),ROWS(B$4:B85))),"")</f>
        <v>ЗАЕМ</v>
      </c>
      <c r="C85" s="12">
        <f t="array" ref="C85">IF(ROWS(C$4:C85)&lt;=$B$2,INDEX(data!B$3:B$106299,SMALL(IF(data!$D$3:$D$106299=$B$1,ROW($A$2:$A$99132)-ROW($A$2)+1),ROWS(C$4:C85))),"")</f>
        <v>47785.37</v>
      </c>
      <c r="D85" s="12" t="str">
        <f t="array" ref="D85">IF(ROWS(D$4:D85)&lt;=$B$2,INDEX(data!E$3:E$106299,SMALL(IF(data!$D$3:$D$106299=$B$1,ROW($A$2:$A$99132)-ROW($A$2)+1),ROWS(D$4:D85))),"")</f>
        <v>Салдо склад + вътр. п-не</v>
      </c>
      <c r="E85" s="20"/>
      <c r="F85" s="18"/>
      <c r="G85" s="20"/>
      <c r="H85" s="20"/>
      <c r="I85" s="20"/>
      <c r="J85" s="18"/>
      <c r="K85" s="18"/>
      <c r="L85" s="18"/>
      <c r="M85" s="14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8.75" customHeight="1">
      <c r="A86" s="34">
        <f t="array" ref="A86">IF(ROWS(A$4:A86)&lt;=$B$2,INDEX(data!C$3:C$106299,SMALL(IF(data!$D$3:$D$106299=$B$1,ROW($A$2:$A$99132)-ROW($A$2)+1),ROWS(A$4:A86))),"")</f>
        <v>46230</v>
      </c>
      <c r="B86" s="12" t="str">
        <f t="array" ref="B86">IF(ROWS(B$4:B86)&lt;=$B$2,INDEX(data!A$3:A$106299,SMALL(IF(data!$D$3:$D$106299=$B$1,ROW($A$2:$A$99132)-ROW($A$2)+1),ROWS(B$4:B86))),"")</f>
        <v>КАСОВА КНИГА</v>
      </c>
      <c r="C86" s="12">
        <f t="array" ref="C86">IF(ROWS(C$4:C86)&lt;=$B$2,INDEX(data!B$3:B$106299,SMALL(IF(data!$D$3:$D$106299=$B$1,ROW($A$2:$A$99132)-ROW($A$2)+1),ROWS(C$4:C86))),"")</f>
        <v>-500</v>
      </c>
      <c r="D86" s="12" t="str">
        <f t="array" ref="D86">IF(ROWS(D$4:D86)&lt;=$B$2,INDEX(data!E$3:E$106299,SMALL(IF(data!$D$3:$D$106299=$B$1,ROW($A$2:$A$99132)-ROW($A$2)+1),ROWS(D$4:D86))),"")</f>
        <v/>
      </c>
      <c r="E86" s="20"/>
      <c r="F86" s="18"/>
      <c r="G86" s="20"/>
      <c r="H86" s="20"/>
      <c r="I86" s="20"/>
      <c r="J86" s="18"/>
      <c r="K86" s="18"/>
      <c r="L86" s="18"/>
      <c r="M86" s="14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8.75" customHeight="1">
      <c r="A87" s="34">
        <f t="array" ref="A87">IF(ROWS(A$4:A87)&lt;=$B$2,INDEX(data!C$3:C$106299,SMALL(IF(data!$D$3:$D$106299=$B$1,ROW($A$2:$A$99132)-ROW($A$2)+1),ROWS(A$4:A87))),"")</f>
        <v>46231</v>
      </c>
      <c r="B87" s="12" t="str">
        <f t="array" ref="B87">IF(ROWS(B$4:B87)&lt;=$B$2,INDEX(data!A$3:A$106299,SMALL(IF(data!$D$3:$D$106299=$B$1,ROW($A$2:$A$99132)-ROW($A$2)+1),ROWS(B$4:B87))),"")</f>
        <v>MYPOS Бакалия</v>
      </c>
      <c r="C87" s="12">
        <f t="array" ref="C87">IF(ROWS(C$4:C87)&lt;=$B$2,INDEX(data!B$3:B$106299,SMALL(IF(data!$D$3:$D$106299=$B$1,ROW($A$2:$A$99132)-ROW($A$2)+1),ROWS(C$4:C87))),"")</f>
        <v>-7121.36</v>
      </c>
      <c r="D87" s="12" t="str">
        <f t="array" ref="D87">IF(ROWS(D$4:D87)&lt;=$B$2,INDEX(data!E$3:E$106299,SMALL(IF(data!$D$3:$D$106299=$B$1,ROW($A$2:$A$99132)-ROW($A$2)+1),ROWS(D$4:D87))),"")</f>
        <v/>
      </c>
      <c r="E87" s="20"/>
      <c r="F87" s="18"/>
      <c r="G87" s="20"/>
      <c r="H87" s="20"/>
      <c r="I87" s="20"/>
      <c r="J87" s="18"/>
      <c r="K87" s="18"/>
      <c r="L87" s="18"/>
      <c r="M87" s="14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8.75" customHeight="1">
      <c r="A88" s="34">
        <f t="array" ref="A88">IF(ROWS(A$4:A88)&lt;=$B$2,INDEX(data!C$3:C$106299,SMALL(IF(data!$D$3:$D$106299=$B$1,ROW($A$2:$A$99132)-ROW($A$2)+1),ROWS(A$4:A88))),"")</f>
        <v>46237</v>
      </c>
      <c r="B88" s="12" t="str">
        <f t="array" ref="B88">IF(ROWS(B$4:B88)&lt;=$B$2,INDEX(data!A$3:A$106299,SMALL(IF(data!$D$3:$D$106299=$B$1,ROW($A$2:$A$99132)-ROW($A$2)+1),ROWS(B$4:B88))),"")</f>
        <v>MYPOS Бакалия</v>
      </c>
      <c r="C88" s="12">
        <f t="array" ref="C88">IF(ROWS(C$4:C88)&lt;=$B$2,INDEX(data!B$3:B$106299,SMALL(IF(data!$D$3:$D$106299=$B$1,ROW($A$2:$A$99132)-ROW($A$2)+1),ROWS(C$4:C88))),"")</f>
        <v>-7891.65</v>
      </c>
      <c r="D88" s="12" t="str">
        <f t="array" ref="D88">IF(ROWS(D$4:D88)&lt;=$B$2,INDEX(data!E$3:E$106299,SMALL(IF(data!$D$3:$D$106299=$B$1,ROW($A$2:$A$99132)-ROW($A$2)+1),ROWS(D$4:D88))),"")</f>
        <v/>
      </c>
      <c r="E88" s="20"/>
      <c r="F88" s="18"/>
      <c r="G88" s="20"/>
      <c r="H88" s="20"/>
      <c r="I88" s="20"/>
      <c r="J88" s="18"/>
      <c r="K88" s="18"/>
      <c r="L88" s="18"/>
      <c r="M88" s="14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8.75" customHeight="1">
      <c r="A89" s="34">
        <f t="array" ref="A89">IF(ROWS(A$4:A89)&lt;=$B$2,INDEX(data!C$3:C$106299,SMALL(IF(data!$D$3:$D$106299=$B$1,ROW($A$2:$A$99132)-ROW($A$2)+1),ROWS(A$4:A89))),"")</f>
        <v>46244</v>
      </c>
      <c r="B89" s="12" t="str">
        <f t="array" ref="B89">IF(ROWS(B$4:B89)&lt;=$B$2,INDEX(data!A$3:A$106299,SMALL(IF(data!$D$3:$D$106299=$B$1,ROW($A$2:$A$99132)-ROW($A$2)+1),ROWS(B$4:B89))),"")</f>
        <v>MYPOS Бакалия</v>
      </c>
      <c r="C89" s="12">
        <f t="array" ref="C89">IF(ROWS(C$4:C89)&lt;=$B$2,INDEX(data!B$3:B$106299,SMALL(IF(data!$D$3:$D$106299=$B$1,ROW($A$2:$A$99132)-ROW($A$2)+1),ROWS(C$4:C89))),"")</f>
        <v>-7772.43</v>
      </c>
      <c r="D89" s="12" t="str">
        <f t="array" ref="D89">IF(ROWS(D$4:D89)&lt;=$B$2,INDEX(data!E$3:E$106299,SMALL(IF(data!$D$3:$D$106299=$B$1,ROW($A$2:$A$99132)-ROW($A$2)+1),ROWS(D$4:D89))),"")</f>
        <v/>
      </c>
      <c r="E89" s="20"/>
      <c r="F89" s="18"/>
      <c r="G89" s="20"/>
      <c r="H89" s="20"/>
      <c r="I89" s="20"/>
      <c r="J89" s="18"/>
      <c r="K89" s="18"/>
      <c r="L89" s="18"/>
      <c r="M89" s="14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8.75" customHeight="1">
      <c r="A90" s="34">
        <f t="array" ref="A90">IF(ROWS(A$4:A90)&lt;=$B$2,INDEX(data!C$3:C$106299,SMALL(IF(data!$D$3:$D$106299=$B$1,ROW($A$2:$A$99132)-ROW($A$2)+1),ROWS(A$4:A90))),"")</f>
        <v>46246</v>
      </c>
      <c r="B90" s="12" t="str">
        <f t="array" ref="B90">IF(ROWS(B$4:B90)&lt;=$B$2,INDEX(data!A$3:A$106299,SMALL(IF(data!$D$3:$D$106299=$B$1,ROW($A$2:$A$99132)-ROW($A$2)+1),ROWS(B$4:B90))),"")</f>
        <v>каса ФИКТИВНА</v>
      </c>
      <c r="C90" s="12">
        <f t="array" ref="C90">IF(ROWS(C$4:C90)&lt;=$B$2,INDEX(data!B$3:B$106299,SMALL(IF(data!$D$3:$D$106299=$B$1,ROW($A$2:$A$99132)-ROW($A$2)+1),ROWS(C$4:C90))),"")</f>
        <v>-500</v>
      </c>
      <c r="D90" s="12" t="str">
        <f t="array" ref="D90">IF(ROWS(D$4:D90)&lt;=$B$2,INDEX(data!E$3:E$106299,SMALL(IF(data!$D$3:$D$106299=$B$1,ROW($A$2:$A$99132)-ROW($A$2)+1),ROWS(D$4:D90))),"")</f>
        <v>Вики от премиите</v>
      </c>
      <c r="E90" s="20"/>
      <c r="F90" s="18"/>
      <c r="G90" s="20"/>
      <c r="H90" s="20"/>
      <c r="I90" s="20"/>
      <c r="J90" s="18"/>
      <c r="K90" s="18"/>
      <c r="L90" s="18"/>
      <c r="M90" s="14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8.75" customHeight="1">
      <c r="A91" s="34">
        <f t="array" ref="A91">IF(ROWS(A$4:A91)&lt;=$B$2,INDEX(data!C$3:C$106299,SMALL(IF(data!$D$3:$D$106299=$B$1,ROW($A$2:$A$99132)-ROW($A$2)+1),ROWS(A$4:A91))),"")</f>
        <v>46246</v>
      </c>
      <c r="B91" s="12" t="str">
        <f t="array" ref="B91">IF(ROWS(B$4:B91)&lt;=$B$2,INDEX(data!A$3:A$106299,SMALL(IF(data!$D$3:$D$106299=$B$1,ROW($A$2:$A$99132)-ROW($A$2)+1),ROWS(B$4:B91))),"")</f>
        <v>каса ФИКТИВНА</v>
      </c>
      <c r="C91" s="12">
        <f t="array" ref="C91">IF(ROWS(C$4:C91)&lt;=$B$2,INDEX(data!B$3:B$106299,SMALL(IF(data!$D$3:$D$106299=$B$1,ROW($A$2:$A$99132)-ROW($A$2)+1),ROWS(C$4:C91))),"")</f>
        <v>-25.5</v>
      </c>
      <c r="D91" s="12" t="str">
        <f t="array" ref="D91">IF(ROWS(D$4:D91)&lt;=$B$2,INDEX(data!E$3:E$106299,SMALL(IF(data!$D$3:$D$106299=$B$1,ROW($A$2:$A$99132)-ROW($A$2)+1),ROWS(D$4:D91))),"")</f>
        <v>карти за гр.транспорт непалци</v>
      </c>
      <c r="E91" s="20"/>
      <c r="F91" s="18"/>
      <c r="G91" s="20"/>
      <c r="H91" s="20"/>
      <c r="I91" s="20"/>
      <c r="J91" s="18"/>
      <c r="K91" s="18"/>
      <c r="L91" s="18"/>
      <c r="M91" s="14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8.75" customHeight="1">
      <c r="A92" s="34">
        <f t="array" ref="A92">IF(ROWS(A$4:A92)&lt;=$B$2,INDEX(data!C$3:C$106299,SMALL(IF(data!$D$3:$D$106299=$B$1,ROW($A$2:$A$99132)-ROW($A$2)+1),ROWS(A$4:A92))),"")</f>
        <v>46248</v>
      </c>
      <c r="B92" s="12" t="str">
        <f t="array" ref="B92">IF(ROWS(B$4:B92)&lt;=$B$2,INDEX(data!A$3:A$106299,SMALL(IF(data!$D$3:$D$106299=$B$1,ROW($A$2:$A$99132)-ROW($A$2)+1),ROWS(B$4:B92))),"")</f>
        <v>Каса ВАУЧЕРИ</v>
      </c>
      <c r="C92" s="12">
        <f t="array" ref="C92">IF(ROWS(C$4:C92)&lt;=$B$2,INDEX(data!B$3:B$106299,SMALL(IF(data!$D$3:$D$106299=$B$1,ROW($A$2:$A$99132)-ROW($A$2)+1),ROWS(C$4:C92))),"")</f>
        <v>-49</v>
      </c>
      <c r="D92" s="12" t="str">
        <f t="array" ref="D92">IF(ROWS(D$4:D92)&lt;=$B$2,INDEX(data!E$3:E$106299,SMALL(IF(data!$D$3:$D$106299=$B$1,ROW($A$2:$A$99132)-ROW($A$2)+1),ROWS(D$4:D92))),"")</f>
        <v>към 03.08</v>
      </c>
      <c r="E92" s="20"/>
      <c r="F92" s="18"/>
      <c r="G92" s="20"/>
      <c r="H92" s="20"/>
      <c r="I92" s="20"/>
      <c r="J92" s="18"/>
      <c r="K92" s="18"/>
      <c r="L92" s="18"/>
      <c r="M92" s="14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8.75" customHeight="1">
      <c r="A93" s="34">
        <f t="array" ref="A93">IF(ROWS(A$4:A93)&lt;=$B$2,INDEX(data!C$3:C$106299,SMALL(IF(data!$D$3:$D$106299=$B$1,ROW($A$2:$A$99132)-ROW($A$2)+1),ROWS(A$4:A93))),"")</f>
        <v>46251</v>
      </c>
      <c r="B93" s="12" t="str">
        <f t="array" ref="B93">IF(ROWS(B$4:B93)&lt;=$B$2,INDEX(data!A$3:A$106299,SMALL(IF(data!$D$3:$D$106299=$B$1,ROW($A$2:$A$99132)-ROW($A$2)+1),ROWS(B$4:B93))),"")</f>
        <v>MYPOS Бакалия</v>
      </c>
      <c r="C93" s="12">
        <f t="array" ref="C93">IF(ROWS(C$4:C93)&lt;=$B$2,INDEX(data!B$3:B$106299,SMALL(IF(data!$D$3:$D$106299=$B$1,ROW($A$2:$A$99132)-ROW($A$2)+1),ROWS(C$4:C93))),"")</f>
        <v>-1703.44</v>
      </c>
      <c r="D93" s="12" t="str">
        <f t="array" ref="D93">IF(ROWS(D$4:D93)&lt;=$B$2,INDEX(data!E$3:E$106299,SMALL(IF(data!$D$3:$D$106299=$B$1,ROW($A$2:$A$99132)-ROW($A$2)+1),ROWS(D$4:D93))),"")</f>
        <v/>
      </c>
      <c r="E93" s="20"/>
      <c r="F93" s="18"/>
      <c r="G93" s="20"/>
      <c r="H93" s="20"/>
      <c r="I93" s="20"/>
      <c r="J93" s="18"/>
      <c r="K93" s="18"/>
      <c r="L93" s="18"/>
      <c r="M93" s="14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8.75" customHeight="1">
      <c r="A94" s="34">
        <f t="array" ref="A94">IF(ROWS(A$4:A94)&lt;=$B$2,INDEX(data!C$3:C$106299,SMALL(IF(data!$D$3:$D$106299=$B$1,ROW($A$2:$A$99132)-ROW($A$2)+1),ROWS(A$4:A94))),"")</f>
        <v>46254</v>
      </c>
      <c r="B94" s="12" t="str">
        <f t="array" ref="B94">IF(ROWS(B$4:B94)&lt;=$B$2,INDEX(data!A$3:A$106299,SMALL(IF(data!$D$3:$D$106299=$B$1,ROW($A$2:$A$99132)-ROW($A$2)+1),ROWS(B$4:B94))),"")</f>
        <v>ПОС ДСК Бакалия</v>
      </c>
      <c r="C94" s="12">
        <f t="array" ref="C94">IF(ROWS(C$4:C94)&lt;=$B$2,INDEX(data!B$3:B$106299,SMALL(IF(data!$D$3:$D$106299=$B$1,ROW($A$2:$A$99132)-ROW($A$2)+1),ROWS(C$4:C94))),"")</f>
        <v>-4109.04</v>
      </c>
      <c r="D94" s="12" t="str">
        <f t="array" ref="D94">IF(ROWS(D$4:D94)&lt;=$B$2,INDEX(data!E$3:E$106299,SMALL(IF(data!$D$3:$D$106299=$B$1,ROW($A$2:$A$99132)-ROW($A$2)+1),ROWS(D$4:D94))),"")</f>
        <v/>
      </c>
      <c r="E94" s="20"/>
      <c r="F94" s="18"/>
      <c r="G94" s="20"/>
      <c r="H94" s="20"/>
      <c r="I94" s="20"/>
      <c r="J94" s="18"/>
      <c r="K94" s="18"/>
      <c r="L94" s="18"/>
      <c r="M94" s="14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8.75" customHeight="1">
      <c r="A95" s="34">
        <f t="array" ref="A95">IF(ROWS(A$4:A95)&lt;=$B$2,INDEX(data!C$3:C$106299,SMALL(IF(data!$D$3:$D$106299=$B$1,ROW($A$2:$A$99132)-ROW($A$2)+1),ROWS(A$4:A95))),"")</f>
        <v>46255</v>
      </c>
      <c r="B95" s="12" t="str">
        <f t="array" ref="B95">IF(ROWS(B$4:B95)&lt;=$B$2,INDEX(data!A$3:A$106299,SMALL(IF(data!$D$3:$D$106299=$B$1,ROW($A$2:$A$99132)-ROW($A$2)+1),ROWS(B$4:B95))),"")</f>
        <v>Каса ВАУЧЕРИ</v>
      </c>
      <c r="C95" s="12">
        <f t="array" ref="C95">IF(ROWS(C$4:C95)&lt;=$B$2,INDEX(data!B$3:B$106299,SMALL(IF(data!$D$3:$D$106299=$B$1,ROW($A$2:$A$99132)-ROW($A$2)+1),ROWS(C$4:C95))),"")</f>
        <v>500</v>
      </c>
      <c r="D95" s="12" t="str">
        <f t="array" ref="D95">IF(ROWS(D$4:D95)&lt;=$B$2,INDEX(data!E$3:E$106299,SMALL(IF(data!$D$3:$D$106299=$B$1,ROW($A$2:$A$99132)-ROW($A$2)+1),ROWS(D$4:D95))),"")</f>
        <v>ваучери персонал</v>
      </c>
      <c r="E95" s="20"/>
      <c r="F95" s="18"/>
      <c r="G95" s="20"/>
      <c r="H95" s="20"/>
      <c r="I95" s="20"/>
      <c r="J95" s="18"/>
      <c r="K95" s="18"/>
      <c r="L95" s="18"/>
      <c r="M95" s="14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8.75" customHeight="1">
      <c r="A96" s="34" t="str">
        <f t="array" ref="A96">IF(ROWS(A$4:A96)&lt;=$B$2,INDEX(data!C$3:C$106299,SMALL(IF(data!$D$3:$D$106299=$B$1,ROW($A$2:$A$99132)-ROW($A$2)+1),ROWS(A$4:A96))),"")</f>
        <v/>
      </c>
      <c r="B96" s="12" t="str">
        <f t="array" ref="B96">IF(ROWS(B$4:B96)&lt;=$B$2,INDEX(data!A$3:A$106299,SMALL(IF(data!$D$3:$D$106299=$B$1,ROW($A$2:$A$99132)-ROW($A$2)+1),ROWS(B$4:B96))),"")</f>
        <v/>
      </c>
      <c r="C96" s="12" t="str">
        <f t="array" ref="C96">IF(ROWS(C$4:C96)&lt;=$B$2,INDEX(data!B$3:B$106299,SMALL(IF(data!$D$3:$D$106299=$B$1,ROW($A$2:$A$99132)-ROW($A$2)+1),ROWS(C$4:C96))),"")</f>
        <v/>
      </c>
      <c r="D96" s="12" t="str">
        <f t="array" ref="D96">IF(ROWS(D$4:D96)&lt;=$B$2,INDEX(data!E$3:E$106299,SMALL(IF(data!$D$3:$D$106299=$B$1,ROW($A$2:$A$99132)-ROW($A$2)+1),ROWS(D$4:D96))),"")</f>
        <v/>
      </c>
      <c r="E96" s="20"/>
      <c r="F96" s="18"/>
      <c r="G96" s="20"/>
      <c r="H96" s="20"/>
      <c r="I96" s="20"/>
      <c r="J96" s="18"/>
      <c r="K96" s="18"/>
      <c r="L96" s="18"/>
      <c r="M96" s="14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8.75" customHeight="1">
      <c r="A97" s="34" t="str">
        <f t="array" ref="A97">IF(ROWS(A$4:A97)&lt;=$B$2,INDEX(data!C$3:C$106299,SMALL(IF(data!$D$3:$D$106299=$B$1,ROW($A$2:$A$99132)-ROW($A$2)+1),ROWS(A$4:A97))),"")</f>
        <v/>
      </c>
      <c r="B97" s="12" t="str">
        <f t="array" ref="B97">IF(ROWS(B$4:B97)&lt;=$B$2,INDEX(data!A$3:A$106299,SMALL(IF(data!$D$3:$D$106299=$B$1,ROW($A$2:$A$99132)-ROW($A$2)+1),ROWS(B$4:B97))),"")</f>
        <v/>
      </c>
      <c r="C97" s="12" t="str">
        <f t="array" ref="C97">IF(ROWS(C$4:C97)&lt;=$B$2,INDEX(data!B$3:B$106299,SMALL(IF(data!$D$3:$D$106299=$B$1,ROW($A$2:$A$99132)-ROW($A$2)+1),ROWS(C$4:C97))),"")</f>
        <v/>
      </c>
      <c r="D97" s="12" t="str">
        <f t="array" ref="D97">IF(ROWS(D$4:D97)&lt;=$B$2,INDEX(data!E$3:E$106299,SMALL(IF(data!$D$3:$D$106299=$B$1,ROW($A$2:$A$99132)-ROW($A$2)+1),ROWS(D$4:D97))),"")</f>
        <v/>
      </c>
      <c r="E97" s="20"/>
      <c r="F97" s="18"/>
      <c r="G97" s="20"/>
      <c r="H97" s="20"/>
      <c r="I97" s="20"/>
      <c r="J97" s="18"/>
      <c r="K97" s="18"/>
      <c r="L97" s="18"/>
      <c r="M97" s="14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8.75" customHeight="1">
      <c r="A98" s="34" t="str">
        <f t="array" ref="A98">IF(ROWS(A$4:A98)&lt;=$B$2,INDEX(data!C$3:C$106299,SMALL(IF(data!$D$3:$D$106299=$B$1,ROW($A$2:$A$99132)-ROW($A$2)+1),ROWS(A$4:A98))),"")</f>
        <v/>
      </c>
      <c r="B98" s="12" t="str">
        <f t="array" ref="B98">IF(ROWS(B$4:B98)&lt;=$B$2,INDEX(data!A$3:A$106299,SMALL(IF(data!$D$3:$D$106299=$B$1,ROW($A$2:$A$99132)-ROW($A$2)+1),ROWS(B$4:B98))),"")</f>
        <v/>
      </c>
      <c r="C98" s="12" t="str">
        <f t="array" ref="C98">IF(ROWS(C$4:C98)&lt;=$B$2,INDEX(data!B$3:B$106299,SMALL(IF(data!$D$3:$D$106299=$B$1,ROW($A$2:$A$99132)-ROW($A$2)+1),ROWS(C$4:C98))),"")</f>
        <v/>
      </c>
      <c r="D98" s="12" t="str">
        <f t="array" ref="D98">IF(ROWS(D$4:D98)&lt;=$B$2,INDEX(data!E$3:E$106299,SMALL(IF(data!$D$3:$D$106299=$B$1,ROW($A$2:$A$99132)-ROW($A$2)+1),ROWS(D$4:D98))),"")</f>
        <v/>
      </c>
      <c r="E98" s="20"/>
      <c r="F98" s="18"/>
      <c r="G98" s="20"/>
      <c r="H98" s="20"/>
      <c r="I98" s="20"/>
      <c r="J98" s="18"/>
      <c r="K98" s="18"/>
      <c r="L98" s="18"/>
      <c r="M98" s="14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8.75" customHeight="1">
      <c r="A99" s="34" t="str">
        <f t="array" ref="A99">IF(ROWS(A$4:A99)&lt;=$B$2,INDEX(data!C$3:C$106299,SMALL(IF(data!$D$3:$D$106299=$B$1,ROW($A$2:$A$99132)-ROW($A$2)+1),ROWS(A$4:A99))),"")</f>
        <v/>
      </c>
      <c r="B99" s="12" t="str">
        <f t="array" ref="B99">IF(ROWS(B$4:B99)&lt;=$B$2,INDEX(data!A$3:A$106299,SMALL(IF(data!$D$3:$D$106299=$B$1,ROW($A$2:$A$99132)-ROW($A$2)+1),ROWS(B$4:B99))),"")</f>
        <v/>
      </c>
      <c r="C99" s="12" t="str">
        <f t="array" ref="C99">IF(ROWS(C$4:C99)&lt;=$B$2,INDEX(data!B$3:B$106299,SMALL(IF(data!$D$3:$D$106299=$B$1,ROW($A$2:$A$99132)-ROW($A$2)+1),ROWS(C$4:C99))),"")</f>
        <v/>
      </c>
      <c r="D99" s="12" t="str">
        <f t="array" ref="D99">IF(ROWS(D$4:D99)&lt;=$B$2,INDEX(data!E$3:E$106299,SMALL(IF(data!$D$3:$D$106299=$B$1,ROW($A$2:$A$99132)-ROW($A$2)+1),ROWS(D$4:D99))),"")</f>
        <v/>
      </c>
      <c r="E99" s="20"/>
      <c r="F99" s="18"/>
      <c r="G99" s="20"/>
      <c r="H99" s="20"/>
      <c r="I99" s="20"/>
      <c r="J99" s="18"/>
      <c r="K99" s="18"/>
      <c r="L99" s="18"/>
      <c r="M99" s="14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8.75" customHeight="1">
      <c r="A100" s="34" t="str">
        <f t="array" ref="A100">IF(ROWS(A$4:A100)&lt;=$B$2,INDEX(data!C$3:C$106299,SMALL(IF(data!$D$3:$D$106299=$B$1,ROW($A$2:$A$99132)-ROW($A$2)+1),ROWS(A$4:A100))),"")</f>
        <v/>
      </c>
      <c r="B100" s="12" t="str">
        <f t="array" ref="B100">IF(ROWS(B$4:B100)&lt;=$B$2,INDEX(data!A$3:A$106299,SMALL(IF(data!$D$3:$D$106299=$B$1,ROW($A$2:$A$99132)-ROW($A$2)+1),ROWS(B$4:B100))),"")</f>
        <v/>
      </c>
      <c r="C100" s="12" t="str">
        <f t="array" ref="C100">IF(ROWS(C$4:C100)&lt;=$B$2,INDEX(data!B$3:B$106299,SMALL(IF(data!$D$3:$D$106299=$B$1,ROW($A$2:$A$99132)-ROW($A$2)+1),ROWS(C$4:C100))),"")</f>
        <v/>
      </c>
      <c r="D100" s="12" t="str">
        <f t="array" ref="D100">IF(ROWS(D$4:D100)&lt;=$B$2,INDEX(data!E$3:E$106299,SMALL(IF(data!$D$3:$D$106299=$B$1,ROW($A$2:$A$99132)-ROW($A$2)+1),ROWS(D$4:D100))),"")</f>
        <v/>
      </c>
      <c r="E100" s="20"/>
      <c r="F100" s="18"/>
      <c r="G100" s="20"/>
      <c r="H100" s="20"/>
      <c r="I100" s="20"/>
      <c r="J100" s="18"/>
      <c r="K100" s="18"/>
      <c r="L100" s="18"/>
      <c r="M100" s="14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8.75" customHeight="1">
      <c r="A101" s="34" t="str">
        <f t="array" ref="A101">IF(ROWS(A$4:A101)&lt;=$B$2,INDEX(data!C$3:C$106299,SMALL(IF(data!$D$3:$D$106299=$B$1,ROW($A$2:$A$99132)-ROW($A$2)+1),ROWS(A$4:A101))),"")</f>
        <v/>
      </c>
      <c r="B101" s="12" t="str">
        <f t="array" ref="B101">IF(ROWS(B$4:B101)&lt;=$B$2,INDEX(data!A$3:A$106299,SMALL(IF(data!$D$3:$D$106299=$B$1,ROW($A$2:$A$99132)-ROW($A$2)+1),ROWS(B$4:B101))),"")</f>
        <v/>
      </c>
      <c r="C101" s="12" t="str">
        <f t="array" ref="C101">IF(ROWS(C$4:C101)&lt;=$B$2,INDEX(data!B$3:B$106299,SMALL(IF(data!$D$3:$D$106299=$B$1,ROW($A$2:$A$99132)-ROW($A$2)+1),ROWS(C$4:C101))),"")</f>
        <v/>
      </c>
      <c r="D101" s="12" t="str">
        <f t="array" ref="D101">IF(ROWS(D$4:D101)&lt;=$B$2,INDEX(data!E$3:E$106299,SMALL(IF(data!$D$3:$D$106299=$B$1,ROW($A$2:$A$99132)-ROW($A$2)+1),ROWS(D$4:D101))),"")</f>
        <v/>
      </c>
      <c r="E101" s="20"/>
      <c r="F101" s="18"/>
      <c r="G101" s="20"/>
      <c r="H101" s="20"/>
      <c r="I101" s="20"/>
      <c r="J101" s="18"/>
      <c r="K101" s="18"/>
      <c r="L101" s="18"/>
      <c r="M101" s="14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8.75" customHeight="1">
      <c r="A102" s="34" t="str">
        <f t="array" ref="A102">IF(ROWS(A$4:A102)&lt;=$B$2,INDEX(data!C$3:C$106299,SMALL(IF(data!$D$3:$D$106299=$B$1,ROW($A$2:$A$99132)-ROW($A$2)+1),ROWS(A$4:A102))),"")</f>
        <v/>
      </c>
      <c r="B102" s="12" t="str">
        <f t="array" ref="B102">IF(ROWS(B$4:B102)&lt;=$B$2,INDEX(data!A$3:A$106299,SMALL(IF(data!$D$3:$D$106299=$B$1,ROW($A$2:$A$99132)-ROW($A$2)+1),ROWS(B$4:B102))),"")</f>
        <v/>
      </c>
      <c r="C102" s="12" t="str">
        <f t="array" ref="C102">IF(ROWS(C$4:C102)&lt;=$B$2,INDEX(data!B$3:B$106299,SMALL(IF(data!$D$3:$D$106299=$B$1,ROW($A$2:$A$99132)-ROW($A$2)+1),ROWS(C$4:C102))),"")</f>
        <v/>
      </c>
      <c r="D102" s="12" t="str">
        <f t="array" ref="D102">IF(ROWS(D$4:D102)&lt;=$B$2,INDEX(data!E$3:E$106299,SMALL(IF(data!$D$3:$D$106299=$B$1,ROW($A$2:$A$99132)-ROW($A$2)+1),ROWS(D$4:D102))),"")</f>
        <v/>
      </c>
      <c r="E102" s="20"/>
      <c r="F102" s="18"/>
      <c r="G102" s="20"/>
      <c r="H102" s="20"/>
      <c r="I102" s="20"/>
      <c r="J102" s="18"/>
      <c r="K102" s="18"/>
      <c r="L102" s="18"/>
      <c r="M102" s="14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8.75" customHeight="1">
      <c r="A103" s="34" t="str">
        <f t="array" ref="A103">IF(ROWS(A$4:A103)&lt;=$B$2,INDEX(data!C$3:C$106299,SMALL(IF(data!$D$3:$D$106299=$B$1,ROW($A$2:$A$99132)-ROW($A$2)+1),ROWS(A$4:A103))),"")</f>
        <v/>
      </c>
      <c r="B103" s="12" t="str">
        <f t="array" ref="B103">IF(ROWS(B$4:B103)&lt;=$B$2,INDEX(data!A$3:A$106299,SMALL(IF(data!$D$3:$D$106299=$B$1,ROW($A$2:$A$99132)-ROW($A$2)+1),ROWS(B$4:B103))),"")</f>
        <v/>
      </c>
      <c r="C103" s="12" t="str">
        <f t="array" ref="C103">IF(ROWS(C$4:C103)&lt;=$B$2,INDEX(data!B$3:B$106299,SMALL(IF(data!$D$3:$D$106299=$B$1,ROW($A$2:$A$99132)-ROW($A$2)+1),ROWS(C$4:C103))),"")</f>
        <v/>
      </c>
      <c r="D103" s="12" t="str">
        <f t="array" ref="D103">IF(ROWS(D$4:D103)&lt;=$B$2,INDEX(data!E$3:E$106299,SMALL(IF(data!$D$3:$D$106299=$B$1,ROW($A$2:$A$99132)-ROW($A$2)+1),ROWS(D$4:D103))),"")</f>
        <v/>
      </c>
      <c r="E103" s="20"/>
      <c r="F103" s="18"/>
      <c r="G103" s="20"/>
      <c r="H103" s="20"/>
      <c r="I103" s="20"/>
      <c r="J103" s="18"/>
      <c r="K103" s="18"/>
      <c r="L103" s="18"/>
      <c r="M103" s="14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8.75" customHeight="1">
      <c r="A104" s="34" t="str">
        <f t="array" ref="A104">IF(ROWS(A$4:A104)&lt;=$B$2,INDEX(data!C$3:C$106299,SMALL(IF(data!$D$3:$D$106299=$B$1,ROW($A$2:$A$99132)-ROW($A$2)+1),ROWS(A$4:A104))),"")</f>
        <v/>
      </c>
      <c r="B104" s="12" t="str">
        <f t="array" ref="B104">IF(ROWS(B$4:B104)&lt;=$B$2,INDEX(data!A$3:A$106299,SMALL(IF(data!$D$3:$D$106299=$B$1,ROW($A$2:$A$99132)-ROW($A$2)+1),ROWS(B$4:B104))),"")</f>
        <v/>
      </c>
      <c r="C104" s="12" t="str">
        <f t="array" ref="C104">IF(ROWS(C$4:C104)&lt;=$B$2,INDEX(data!B$3:B$106299,SMALL(IF(data!$D$3:$D$106299=$B$1,ROW($A$2:$A$99132)-ROW($A$2)+1),ROWS(C$4:C104))),"")</f>
        <v/>
      </c>
      <c r="D104" s="12" t="str">
        <f t="array" ref="D104">IF(ROWS(D$4:D104)&lt;=$B$2,INDEX(data!E$3:E$106299,SMALL(IF(data!$D$3:$D$106299=$B$1,ROW($A$2:$A$99132)-ROW($A$2)+1),ROWS(D$4:D104))),"")</f>
        <v/>
      </c>
      <c r="E104" s="20"/>
      <c r="F104" s="18"/>
      <c r="G104" s="20"/>
      <c r="H104" s="20"/>
      <c r="I104" s="20"/>
      <c r="J104" s="18"/>
      <c r="K104" s="18"/>
      <c r="L104" s="18"/>
      <c r="M104" s="14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8.75" customHeight="1">
      <c r="A105" s="34" t="str">
        <f t="array" ref="A105">IF(ROWS(A$4:A105)&lt;=$B$2,INDEX(data!C$3:C$106299,SMALL(IF(data!$D$3:$D$106299=$B$1,ROW($A$2:$A$99132)-ROW($A$2)+1),ROWS(A$4:A105))),"")</f>
        <v/>
      </c>
      <c r="B105" s="12" t="str">
        <f t="array" ref="B105">IF(ROWS(B$4:B105)&lt;=$B$2,INDEX(data!A$3:A$106299,SMALL(IF(data!$D$3:$D$106299=$B$1,ROW($A$2:$A$99132)-ROW($A$2)+1),ROWS(B$4:B105))),"")</f>
        <v/>
      </c>
      <c r="C105" s="12" t="str">
        <f t="array" ref="C105">IF(ROWS(C$4:C105)&lt;=$B$2,INDEX(data!B$3:B$106299,SMALL(IF(data!$D$3:$D$106299=$B$1,ROW($A$2:$A$99132)-ROW($A$2)+1),ROWS(C$4:C105))),"")</f>
        <v/>
      </c>
      <c r="D105" s="12" t="str">
        <f t="array" ref="D105">IF(ROWS(D$4:D105)&lt;=$B$2,INDEX(data!E$3:E$106299,SMALL(IF(data!$D$3:$D$106299=$B$1,ROW($A$2:$A$99132)-ROW($A$2)+1),ROWS(D$4:D105))),"")</f>
        <v/>
      </c>
      <c r="E105" s="20"/>
      <c r="F105" s="18"/>
      <c r="G105" s="20"/>
      <c r="H105" s="20"/>
      <c r="I105" s="20"/>
      <c r="J105" s="18"/>
      <c r="K105" s="18"/>
      <c r="L105" s="18"/>
      <c r="M105" s="14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8.75" customHeight="1">
      <c r="A106" s="34" t="str">
        <f t="array" ref="A106">IF(ROWS(A$4:A106)&lt;=$B$2,INDEX(data!C$3:C$106299,SMALL(IF(data!$D$3:$D$106299=$B$1,ROW($A$2:$A$99132)-ROW($A$2)+1),ROWS(A$4:A106))),"")</f>
        <v/>
      </c>
      <c r="B106" s="12" t="str">
        <f t="array" ref="B106">IF(ROWS(B$4:B106)&lt;=$B$2,INDEX(data!A$3:A$106299,SMALL(IF(data!$D$3:$D$106299=$B$1,ROW($A$2:$A$99132)-ROW($A$2)+1),ROWS(B$4:B106))),"")</f>
        <v/>
      </c>
      <c r="C106" s="12" t="str">
        <f t="array" ref="C106">IF(ROWS(C$4:C106)&lt;=$B$2,INDEX(data!B$3:B$106299,SMALL(IF(data!$D$3:$D$106299=$B$1,ROW($A$2:$A$99132)-ROW($A$2)+1),ROWS(C$4:C106))),"")</f>
        <v/>
      </c>
      <c r="D106" s="12" t="str">
        <f t="array" ref="D106">IF(ROWS(D$4:D106)&lt;=$B$2,INDEX(data!E$3:E$106299,SMALL(IF(data!$D$3:$D$106299=$B$1,ROW($A$2:$A$99132)-ROW($A$2)+1),ROWS(D$4:D106))),"")</f>
        <v/>
      </c>
      <c r="E106" s="20"/>
      <c r="F106" s="18"/>
      <c r="G106" s="20"/>
      <c r="H106" s="20"/>
      <c r="I106" s="20"/>
      <c r="J106" s="18"/>
      <c r="K106" s="18"/>
      <c r="L106" s="18"/>
      <c r="M106" s="14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8.75" customHeight="1">
      <c r="A107" s="34" t="str">
        <f t="array" ref="A107">IF(ROWS(A$4:A107)&lt;=$B$2,INDEX(data!C$3:C$106299,SMALL(IF(data!$D$3:$D$106299=$B$1,ROW($A$2:$A$99132)-ROW($A$2)+1),ROWS(A$4:A107))),"")</f>
        <v/>
      </c>
      <c r="B107" s="12" t="str">
        <f t="array" ref="B107">IF(ROWS(B$4:B107)&lt;=$B$2,INDEX(data!A$3:A$106299,SMALL(IF(data!$D$3:$D$106299=$B$1,ROW($A$2:$A$99132)-ROW($A$2)+1),ROWS(B$4:B107))),"")</f>
        <v/>
      </c>
      <c r="C107" s="12" t="str">
        <f t="array" ref="C107">IF(ROWS(C$4:C107)&lt;=$B$2,INDEX(data!B$3:B$106299,SMALL(IF(data!$D$3:$D$106299=$B$1,ROW($A$2:$A$99132)-ROW($A$2)+1),ROWS(C$4:C107))),"")</f>
        <v/>
      </c>
      <c r="D107" s="12" t="str">
        <f t="array" ref="D107">IF(ROWS(D$4:D107)&lt;=$B$2,INDEX(data!E$3:E$106299,SMALL(IF(data!$D$3:$D$106299=$B$1,ROW($A$2:$A$99132)-ROW($A$2)+1),ROWS(D$4:D107))),"")</f>
        <v/>
      </c>
      <c r="E107" s="20"/>
      <c r="F107" s="18"/>
      <c r="G107" s="20"/>
      <c r="H107" s="20"/>
      <c r="I107" s="20"/>
      <c r="J107" s="18"/>
      <c r="K107" s="18"/>
      <c r="L107" s="18"/>
      <c r="M107" s="14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8.75" customHeight="1">
      <c r="A108" s="37"/>
      <c r="B108" s="38"/>
      <c r="C108" s="38"/>
      <c r="D108" s="38"/>
      <c r="E108" s="20"/>
      <c r="F108" s="18"/>
      <c r="G108" s="20"/>
      <c r="H108" s="20"/>
      <c r="I108" s="20"/>
      <c r="J108" s="18"/>
      <c r="K108" s="18"/>
      <c r="L108" s="18"/>
      <c r="M108" s="14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8.75" customHeight="1">
      <c r="A109" s="37"/>
      <c r="B109" s="38"/>
      <c r="C109" s="38"/>
      <c r="D109" s="38"/>
      <c r="E109" s="20"/>
      <c r="F109" s="18"/>
      <c r="G109" s="20"/>
      <c r="H109" s="20"/>
      <c r="I109" s="20"/>
      <c r="J109" s="18"/>
      <c r="K109" s="18"/>
      <c r="L109" s="18"/>
      <c r="M109" s="14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8.75" customHeight="1">
      <c r="A110" s="37"/>
      <c r="B110" s="38"/>
      <c r="C110" s="38"/>
      <c r="D110" s="38"/>
      <c r="E110" s="20"/>
      <c r="F110" s="18"/>
      <c r="G110" s="20"/>
      <c r="H110" s="20"/>
      <c r="I110" s="20"/>
      <c r="J110" s="18"/>
      <c r="K110" s="18"/>
      <c r="L110" s="18"/>
      <c r="M110" s="14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8.75" customHeight="1">
      <c r="A111" s="37"/>
      <c r="B111" s="38"/>
      <c r="C111" s="38"/>
      <c r="D111" s="38"/>
      <c r="E111" s="20"/>
      <c r="F111" s="18"/>
      <c r="G111" s="20"/>
      <c r="H111" s="20"/>
      <c r="I111" s="20"/>
      <c r="J111" s="18"/>
      <c r="K111" s="18"/>
      <c r="L111" s="18"/>
      <c r="M111" s="14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8.75" customHeight="1">
      <c r="A112" s="37"/>
      <c r="B112" s="38"/>
      <c r="C112" s="38"/>
      <c r="D112" s="38"/>
      <c r="E112" s="20"/>
      <c r="F112" s="18"/>
      <c r="G112" s="20"/>
      <c r="H112" s="20"/>
      <c r="I112" s="20"/>
      <c r="J112" s="18"/>
      <c r="K112" s="18"/>
      <c r="L112" s="18"/>
      <c r="M112" s="14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8.75" customHeight="1">
      <c r="A113" s="37"/>
      <c r="B113" s="38"/>
      <c r="C113" s="38"/>
      <c r="D113" s="38"/>
      <c r="E113" s="20"/>
      <c r="F113" s="18"/>
      <c r="G113" s="20"/>
      <c r="H113" s="20"/>
      <c r="I113" s="20"/>
      <c r="J113" s="18"/>
      <c r="K113" s="18"/>
      <c r="L113" s="18"/>
      <c r="M113" s="14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8.75" customHeight="1">
      <c r="A114" s="37"/>
      <c r="B114" s="38"/>
      <c r="C114" s="38"/>
      <c r="D114" s="38"/>
      <c r="E114" s="20"/>
      <c r="F114" s="18"/>
      <c r="G114" s="20"/>
      <c r="H114" s="20"/>
      <c r="I114" s="20"/>
      <c r="J114" s="18"/>
      <c r="K114" s="18"/>
      <c r="L114" s="18"/>
      <c r="M114" s="14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8.75" customHeight="1">
      <c r="A115" s="37"/>
      <c r="B115" s="38"/>
      <c r="C115" s="38"/>
      <c r="D115" s="38"/>
      <c r="E115" s="20"/>
      <c r="F115" s="18"/>
      <c r="G115" s="20"/>
      <c r="H115" s="20"/>
      <c r="I115" s="20"/>
      <c r="J115" s="18"/>
      <c r="K115" s="18"/>
      <c r="L115" s="18"/>
      <c r="M115" s="14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8.75" customHeight="1">
      <c r="A116" s="37"/>
      <c r="B116" s="38"/>
      <c r="C116" s="38"/>
      <c r="D116" s="38"/>
      <c r="E116" s="20"/>
      <c r="F116" s="18"/>
      <c r="G116" s="20"/>
      <c r="H116" s="20"/>
      <c r="I116" s="20"/>
      <c r="J116" s="18"/>
      <c r="K116" s="18"/>
      <c r="L116" s="18"/>
      <c r="M116" s="14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8.75" customHeight="1">
      <c r="A117" s="37"/>
      <c r="B117" s="38"/>
      <c r="C117" s="38"/>
      <c r="D117" s="38"/>
      <c r="E117" s="20"/>
      <c r="F117" s="18"/>
      <c r="G117" s="20"/>
      <c r="H117" s="20"/>
      <c r="I117" s="20"/>
      <c r="J117" s="18"/>
      <c r="K117" s="18"/>
      <c r="L117" s="18"/>
      <c r="M117" s="14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8.75" customHeight="1">
      <c r="A118" s="37"/>
      <c r="B118" s="38"/>
      <c r="C118" s="38"/>
      <c r="D118" s="38"/>
      <c r="E118" s="20"/>
      <c r="F118" s="18"/>
      <c r="G118" s="20"/>
      <c r="H118" s="20"/>
      <c r="I118" s="20"/>
      <c r="J118" s="18"/>
      <c r="K118" s="18"/>
      <c r="L118" s="18"/>
      <c r="M118" s="14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8.75" customHeight="1">
      <c r="A119" s="37"/>
      <c r="B119" s="38"/>
      <c r="C119" s="38"/>
      <c r="D119" s="38"/>
      <c r="E119" s="20"/>
      <c r="F119" s="18"/>
      <c r="G119" s="20"/>
      <c r="H119" s="20"/>
      <c r="I119" s="20"/>
      <c r="J119" s="18"/>
      <c r="K119" s="18"/>
      <c r="L119" s="18"/>
      <c r="M119" s="14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8.75" customHeight="1">
      <c r="A120" s="37"/>
      <c r="B120" s="38"/>
      <c r="C120" s="38"/>
      <c r="D120" s="38"/>
      <c r="E120" s="20"/>
      <c r="F120" s="18"/>
      <c r="G120" s="20"/>
      <c r="H120" s="20"/>
      <c r="I120" s="20"/>
      <c r="J120" s="18"/>
      <c r="K120" s="18"/>
      <c r="L120" s="18"/>
      <c r="M120" s="14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8.75" customHeight="1">
      <c r="A121" s="37"/>
      <c r="B121" s="38"/>
      <c r="C121" s="38"/>
      <c r="D121" s="38"/>
      <c r="E121" s="20"/>
      <c r="F121" s="18"/>
      <c r="G121" s="20"/>
      <c r="H121" s="20"/>
      <c r="I121" s="20"/>
      <c r="J121" s="18"/>
      <c r="K121" s="18"/>
      <c r="L121" s="18"/>
      <c r="M121" s="14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8.75" customHeight="1">
      <c r="A122" s="37"/>
      <c r="B122" s="38"/>
      <c r="C122" s="38"/>
      <c r="D122" s="38"/>
      <c r="E122" s="20"/>
      <c r="F122" s="18"/>
      <c r="G122" s="20"/>
      <c r="H122" s="20"/>
      <c r="I122" s="20"/>
      <c r="J122" s="18"/>
      <c r="K122" s="18"/>
      <c r="L122" s="18"/>
      <c r="M122" s="14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8.75" customHeight="1">
      <c r="A123" s="37"/>
      <c r="B123" s="38"/>
      <c r="C123" s="38"/>
      <c r="D123" s="38"/>
      <c r="E123" s="20"/>
      <c r="F123" s="18"/>
      <c r="G123" s="20"/>
      <c r="H123" s="20"/>
      <c r="I123" s="20"/>
      <c r="J123" s="18"/>
      <c r="K123" s="18"/>
      <c r="L123" s="18"/>
      <c r="M123" s="14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8.75" customHeight="1">
      <c r="A124" s="37"/>
      <c r="B124" s="38"/>
      <c r="C124" s="38"/>
      <c r="D124" s="38"/>
      <c r="E124" s="20"/>
      <c r="F124" s="18"/>
      <c r="G124" s="20"/>
      <c r="H124" s="20"/>
      <c r="I124" s="20"/>
      <c r="J124" s="18"/>
      <c r="K124" s="18"/>
      <c r="L124" s="18"/>
      <c r="M124" s="14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8.75" customHeight="1">
      <c r="A125" s="37"/>
      <c r="B125" s="38"/>
      <c r="C125" s="38"/>
      <c r="D125" s="38"/>
      <c r="E125" s="20"/>
      <c r="F125" s="18"/>
      <c r="G125" s="20"/>
      <c r="H125" s="20"/>
      <c r="I125" s="20"/>
      <c r="J125" s="18"/>
      <c r="K125" s="18"/>
      <c r="L125" s="18"/>
      <c r="M125" s="14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8.75" customHeight="1">
      <c r="A126" s="37"/>
      <c r="B126" s="38"/>
      <c r="C126" s="38"/>
      <c r="D126" s="38"/>
      <c r="E126" s="20"/>
      <c r="F126" s="18"/>
      <c r="G126" s="20"/>
      <c r="H126" s="20"/>
      <c r="I126" s="20"/>
      <c r="J126" s="18"/>
      <c r="K126" s="18"/>
      <c r="L126" s="18"/>
      <c r="M126" s="14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8.75" customHeight="1">
      <c r="A127" s="37"/>
      <c r="B127" s="38"/>
      <c r="C127" s="38"/>
      <c r="D127" s="38"/>
      <c r="E127" s="20"/>
      <c r="F127" s="18"/>
      <c r="G127" s="20"/>
      <c r="H127" s="20"/>
      <c r="I127" s="20"/>
      <c r="J127" s="18"/>
      <c r="K127" s="18"/>
      <c r="L127" s="18"/>
      <c r="M127" s="14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8.75" customHeight="1">
      <c r="A128" s="37"/>
      <c r="B128" s="38"/>
      <c r="C128" s="38"/>
      <c r="D128" s="38"/>
      <c r="E128" s="20"/>
      <c r="F128" s="18"/>
      <c r="G128" s="20"/>
      <c r="H128" s="20"/>
      <c r="I128" s="20"/>
      <c r="J128" s="18"/>
      <c r="K128" s="18"/>
      <c r="L128" s="18"/>
      <c r="M128" s="14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8.75" customHeight="1">
      <c r="A129" s="37"/>
      <c r="B129" s="38"/>
      <c r="C129" s="38"/>
      <c r="D129" s="38"/>
      <c r="E129" s="20"/>
      <c r="F129" s="18"/>
      <c r="G129" s="20"/>
      <c r="H129" s="20"/>
      <c r="I129" s="20"/>
      <c r="J129" s="18"/>
      <c r="K129" s="18"/>
      <c r="L129" s="18"/>
      <c r="M129" s="14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8.75" customHeight="1">
      <c r="A130" s="37"/>
      <c r="B130" s="38"/>
      <c r="C130" s="38"/>
      <c r="D130" s="38"/>
      <c r="E130" s="20"/>
      <c r="F130" s="18"/>
      <c r="G130" s="20"/>
      <c r="H130" s="20"/>
      <c r="I130" s="20"/>
      <c r="J130" s="18"/>
      <c r="K130" s="18"/>
      <c r="L130" s="18"/>
      <c r="M130" s="14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8.75" customHeight="1">
      <c r="A131" s="37"/>
      <c r="B131" s="38"/>
      <c r="C131" s="38"/>
      <c r="D131" s="38"/>
      <c r="E131" s="20"/>
      <c r="F131" s="18"/>
      <c r="G131" s="20"/>
      <c r="H131" s="20"/>
      <c r="I131" s="20"/>
      <c r="J131" s="18"/>
      <c r="K131" s="18"/>
      <c r="L131" s="18"/>
      <c r="M131" s="14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8.75" customHeight="1">
      <c r="A132" s="37"/>
      <c r="B132" s="38"/>
      <c r="C132" s="38"/>
      <c r="D132" s="38"/>
      <c r="E132" s="20"/>
      <c r="F132" s="18"/>
      <c r="G132" s="20"/>
      <c r="H132" s="20"/>
      <c r="I132" s="20"/>
      <c r="J132" s="18"/>
      <c r="K132" s="18"/>
      <c r="L132" s="18"/>
      <c r="M132" s="14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</sheetData>
  <conditionalFormatting sqref="A4:D132">
    <cfRule type="cellIs" dxfId="0" priority="1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2.0"/>
    <col customWidth="1" min="2" max="2" width="33.43"/>
    <col customWidth="1" min="3" max="3" width="16.71"/>
    <col customWidth="1" min="4" max="4" width="31.71"/>
    <col customWidth="1" min="5" max="5" width="13.29"/>
    <col customWidth="1" min="6" max="6" width="9.0"/>
    <col customWidth="1" min="7" max="7" width="13.43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3" t="s">
        <v>5</v>
      </c>
      <c r="C1" s="6"/>
      <c r="D1" s="7"/>
      <c r="E1" s="8" t="s">
        <v>4</v>
      </c>
      <c r="F1" s="11">
        <f>SUM(C:C)</f>
        <v>-46907.951</v>
      </c>
      <c r="G1" s="13" t="s">
        <v>6</v>
      </c>
      <c r="H1" s="17"/>
      <c r="I1" s="14"/>
      <c r="J1" s="14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135</v>
      </c>
      <c r="C2" s="6"/>
      <c r="D2" s="7"/>
      <c r="E2" s="21" t="s">
        <v>8</v>
      </c>
      <c r="F2" s="22">
        <v>132498.49</v>
      </c>
      <c r="G2" s="22"/>
      <c r="H2" s="14"/>
      <c r="I2" s="14"/>
      <c r="J2" s="14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28">
        <f>F1+F2</f>
        <v>85590.539</v>
      </c>
      <c r="G3" s="30"/>
      <c r="H3" s="14"/>
      <c r="I3" s="14"/>
      <c r="J3" s="14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IF(ROWS(A$4:A4)&lt;=$B$2,INDEX(data!C$3:C$16128,SMALL(IF(data!$D$3:$D$16128='Банкя'!$B$1,ROW(data!$A$3:$A$16128)-ROW($A$3)+1),ROWS(A$4:A4))),"")</f>
        <v>44557</v>
      </c>
      <c r="B4" s="19" t="str">
        <f t="array" ref="B4">IF(ROWS(B$4:B4)&lt;=$B$2,INDEX(data!A$3:A$16128,SMALL(IF(data!$D$3:$D$16128=$B$1,ROW(data!$A$3:$A$16128)-ROW($A$3)+1),ROWS(B$4:B4))),"")</f>
        <v>MYPOS Бакалия</v>
      </c>
      <c r="C4" s="19">
        <f t="array" ref="C4">IF(ROWS(C$4:C4)&lt;=$B$2,INDEX(data!B$3:B$16128,SMALL(IF(data!$D$3:$D$16128='Банкя'!$B$1,ROW(data!$A$3:$A$16128)-ROW($A$3)+1),ROWS(C$4:C4))),"")</f>
        <v>-0.01</v>
      </c>
      <c r="D4" s="7" t="str">
        <f t="array" ref="D4">IF(ROWS(D$4:D4)&lt;=$B$2,INDEX(data!E$3:E$16128,SMALL(IF(data!$D$3:$D$16128='Банкя'!$B$1,ROW(data!$A$3:$A$16128)-ROW($A$3)+1),ROWS(D$4:D4))),"")</f>
        <v/>
      </c>
      <c r="E4" s="11"/>
      <c r="F4" s="11"/>
      <c r="G4" s="11"/>
      <c r="H4" s="14"/>
      <c r="I4" s="14"/>
      <c r="J4" s="14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IF(ROWS(A$4:A5)&lt;=$B$2,INDEX(data!C$3:C$16128,SMALL(IF(data!$D$3:$D$16128='Банкя'!$B$1,ROW(data!$A$3:$A$16128)-ROW($A$3)+1),ROWS(A$4:A5))),"")</f>
        <v>46025</v>
      </c>
      <c r="B5" s="19" t="str">
        <f t="array" ref="B5">IF(ROWS(B$4:B5)&lt;=$B$2,INDEX(data!A$3:A$16128,SMALL(IF(data!$D$3:$D$16128=$B$1,ROW(data!$A$3:$A$16128)-ROW($A$3)+1),ROWS(B$4:B5))),"")</f>
        <v>ЗАЕМ</v>
      </c>
      <c r="C5" s="19">
        <f t="array" ref="C5">IF(ROWS(C$4:C5)&lt;=$B$2,INDEX(data!B$3:B$16128,SMALL(IF(data!$D$3:$D$16128='Банкя'!$B$1,ROW(data!$A$3:$A$16128)-ROW($A$3)+1),ROWS(C$4:C5))),"")</f>
        <v>7469.02</v>
      </c>
      <c r="D5" s="7" t="str">
        <f t="array" ref="D5">IF(ROWS(D$4:D5)&lt;=$B$2,INDEX(data!E$3:E$16128,SMALL(IF(data!$D$3:$D$16128='Банкя'!$B$1,ROW(data!$A$3:$A$16128)-ROW($A$3)+1),ROWS(D$4:D5))),"")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IF(ROWS(A$4:A6)&lt;=$B$2,INDEX(data!C$3:C$16128,SMALL(IF(data!$D$3:$D$16128='Банкя'!$B$1,ROW(data!$A$3:$A$16128)-ROW($A$3)+1),ROWS(A$4:A6))),"")</f>
        <v>46027</v>
      </c>
      <c r="B6" s="19" t="str">
        <f t="array" ref="B6">IF(ROWS(B$4:B6)&lt;=$B$2,INDEX(data!A$3:A$16128,SMALL(IF(data!$D$3:$D$16128=$B$1,ROW(data!$A$3:$A$16128)-ROW($A$3)+1),ROWS(B$4:B6))),"")</f>
        <v>КАСОВА КНИГА</v>
      </c>
      <c r="C6" s="19">
        <f t="array" ref="C6">IF(ROWS(C$4:C6)&lt;=$B$2,INDEX(data!B$3:B$16128,SMALL(IF(data!$D$3:$D$16128='Банкя'!$B$1,ROW(data!$A$3:$A$16128)-ROW($A$3)+1),ROWS(C$4:C6))),"")</f>
        <v>-3579.04</v>
      </c>
      <c r="D6" s="7" t="str">
        <f t="array" ref="D6">IF(ROWS(D$4:D6)&lt;=$B$2,INDEX(data!E$3:E$16128,SMALL(IF(data!$D$3:$D$16128='Банкя'!$B$1,ROW(data!$A$3:$A$16128)-ROW($A$3)+1),ROWS(D$4:D6))),"")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IF(ROWS(A$4:A7)&lt;=$B$2,INDEX(data!C$3:C$16128,SMALL(IF(data!$D$3:$D$16128='Банкя'!$B$1,ROW(data!$A$3:$A$16128)-ROW($A$3)+1),ROWS(A$4:A7))),"")</f>
        <v>46027</v>
      </c>
      <c r="B7" s="19" t="str">
        <f t="array" ref="B7">IF(ROWS(B$4:B7)&lt;=$B$2,INDEX(data!A$3:A$16128,SMALL(IF(data!$D$3:$D$16128=$B$1,ROW(data!$A$3:$A$16128)-ROW($A$3)+1),ROWS(B$4:B7))),"")</f>
        <v>MYPOS Бакалия</v>
      </c>
      <c r="C7" s="19">
        <f t="array" ref="C7">IF(ROWS(C$4:C7)&lt;=$B$2,INDEX(data!B$3:B$16128,SMALL(IF(data!$D$3:$D$16128='Банкя'!$B$1,ROW(data!$A$3:$A$16128)-ROW($A$3)+1),ROWS(C$4:C7))),"")</f>
        <v>-528.47</v>
      </c>
      <c r="D7" s="7" t="str">
        <f t="array" ref="D7">IF(ROWS(D$4:D7)&lt;=$B$2,INDEX(data!E$3:E$16128,SMALL(IF(data!$D$3:$D$16128='Банкя'!$B$1,ROW(data!$A$3:$A$16128)-ROW($A$3)+1),ROWS(D$4:D7))),"")</f>
        <v/>
      </c>
      <c r="E7" s="11"/>
      <c r="F7" s="11"/>
      <c r="G7" s="11"/>
      <c r="H7" s="14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IF(ROWS(A$4:A8)&lt;=$B$2,INDEX(data!C$3:C$16128,SMALL(IF(data!$D$3:$D$16128='Банкя'!$B$1,ROW(data!$A$3:$A$16128)-ROW($A$3)+1),ROWS(A$4:A8))),"")</f>
        <v>46027</v>
      </c>
      <c r="B8" s="19" t="str">
        <f t="array" ref="B8">IF(ROWS(B$4:B8)&lt;=$B$2,INDEX(data!A$3:A$16128,SMALL(IF(data!$D$3:$D$16128=$B$1,ROW(data!$A$3:$A$16128)-ROW($A$3)+1),ROWS(B$4:B8))),"")</f>
        <v>MYPOS Бакалия</v>
      </c>
      <c r="C8" s="19">
        <f t="array" ref="C8">IF(ROWS(C$4:C8)&lt;=$B$2,INDEX(data!B$3:B$16128,SMALL(IF(data!$D$3:$D$16128='Банкя'!$B$1,ROW(data!$A$3:$A$16128)-ROW($A$3)+1),ROWS(C$4:C8))),"")</f>
        <v>-974.32</v>
      </c>
      <c r="D8" s="7" t="str">
        <f t="array" ref="D8">IF(ROWS(D$4:D8)&lt;=$B$2,INDEX(data!E$3:E$16128,SMALL(IF(data!$D$3:$D$16128='Банкя'!$B$1,ROW(data!$A$3:$A$16128)-ROW($A$3)+1),ROWS(D$4:D8))),"")</f>
        <v>29-31,12</v>
      </c>
      <c r="E8" s="11"/>
      <c r="F8" s="11"/>
      <c r="G8" s="11"/>
      <c r="H8" s="14"/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IF(ROWS(A$4:A9)&lt;=$B$2,INDEX(data!C$3:C$16128,SMALL(IF(data!$D$3:$D$16128='Банкя'!$B$1,ROW(data!$A$3:$A$16128)-ROW($A$3)+1),ROWS(A$4:A9))),"")</f>
        <v>46027</v>
      </c>
      <c r="B9" s="19" t="str">
        <f t="array" ref="B9">IF(ROWS(B$4:B9)&lt;=$B$2,INDEX(data!A$3:A$16128,SMALL(IF(data!$D$3:$D$16128=$B$1,ROW(data!$A$3:$A$16128)-ROW($A$3)+1),ROWS(B$4:B9))),"")</f>
        <v>КАСОВА КНИГА</v>
      </c>
      <c r="C9" s="19">
        <f t="array" ref="C9">IF(ROWS(C$4:C9)&lt;=$B$2,INDEX(data!B$3:B$16128,SMALL(IF(data!$D$3:$D$16128='Банкя'!$B$1,ROW(data!$A$3:$A$16128)-ROW($A$3)+1),ROWS(C$4:C9))),"")</f>
        <v>3110</v>
      </c>
      <c r="D9" s="7" t="str">
        <f t="array" ref="D9">IF(ROWS(D$4:D9)&lt;=$B$2,INDEX(data!E$3:E$16128,SMALL(IF(data!$D$3:$D$16128='Банкя'!$B$1,ROW(data!$A$3:$A$16128)-ROW($A$3)+1),ROWS(D$4:D9))),"")</f>
        <v>евро</v>
      </c>
      <c r="E9" s="11"/>
      <c r="F9" s="11"/>
      <c r="G9" s="11"/>
      <c r="H9" s="14"/>
      <c r="I9" s="14"/>
      <c r="J9" s="14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IF(ROWS(A$4:A10)&lt;=$B$2,INDEX(data!C$3:C$16128,SMALL(IF(data!$D$3:$D$16128='Банкя'!$B$1,ROW(data!$A$3:$A$16128)-ROW($A$3)+1),ROWS(A$4:A10))),"")</f>
        <v>46028</v>
      </c>
      <c r="B10" s="19" t="str">
        <f t="array" ref="B10">IF(ROWS(B$4:B10)&lt;=$B$2,INDEX(data!A$3:A$16128,SMALL(IF(data!$D$3:$D$16128=$B$1,ROW(data!$A$3:$A$16128)-ROW($A$3)+1),ROWS(B$4:B10))),"")</f>
        <v>каса ФИКТИВНА</v>
      </c>
      <c r="C10" s="19">
        <f t="array" ref="C10">IF(ROWS(C$4:C10)&lt;=$B$2,INDEX(data!B$3:B$16128,SMALL(IF(data!$D$3:$D$16128='Банкя'!$B$1,ROW(data!$A$3:$A$16128)-ROW($A$3)+1),ROWS(C$4:C10))),"")</f>
        <v>-102.26</v>
      </c>
      <c r="D10" s="7" t="str">
        <f t="array" ref="D10">IF(ROWS(D$4:D10)&lt;=$B$2,INDEX(data!E$3:E$16128,SMALL(IF(data!$D$3:$D$16128='Банкя'!$B$1,ROW(data!$A$3:$A$16128)-ROW($A$3)+1),ROWS(D$4:D10))),"")</f>
        <v>Стаси от заплатата</v>
      </c>
      <c r="E10" s="11"/>
      <c r="F10" s="11"/>
      <c r="G10" s="11"/>
      <c r="H10" s="14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IF(ROWS(A$4:A11)&lt;=$B$2,INDEX(data!C$3:C$16128,SMALL(IF(data!$D$3:$D$16128='Банкя'!$B$1,ROW(data!$A$3:$A$16128)-ROW($A$3)+1),ROWS(A$4:A11))),"")</f>
        <v>46029</v>
      </c>
      <c r="B11" s="19" t="str">
        <f t="array" ref="B11">IF(ROWS(B$4:B11)&lt;=$B$2,INDEX(data!A$3:A$16128,SMALL(IF(data!$D$3:$D$16128=$B$1,ROW(data!$A$3:$A$16128)-ROW($A$3)+1),ROWS(B$4:B11))),"")</f>
        <v>КАСОВА КНИГА</v>
      </c>
      <c r="C11" s="19">
        <f t="array" ref="C11">IF(ROWS(C$4:C11)&lt;=$B$2,INDEX(data!B$3:B$16128,SMALL(IF(data!$D$3:$D$16128='Банкя'!$B$1,ROW(data!$A$3:$A$16128)-ROW($A$3)+1),ROWS(C$4:C11))),"")</f>
        <v>-511.29</v>
      </c>
      <c r="D11" s="7" t="str">
        <f t="array" ref="D11">IF(ROWS(D$4:D11)&lt;=$B$2,INDEX(data!E$3:E$16128,SMALL(IF(data!$D$3:$D$16128='Банкя'!$B$1,ROW(data!$A$3:$A$16128)-ROW($A$3)+1),ROWS(D$4:D11))),"")</f>
        <v/>
      </c>
      <c r="E11" s="11"/>
      <c r="F11" s="11"/>
      <c r="G11" s="11"/>
      <c r="H11" s="14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IF(ROWS(A$4:A12)&lt;=$B$2,INDEX(data!C$3:C$16128,SMALL(IF(data!$D$3:$D$16128='Банкя'!$B$1,ROW(data!$A$3:$A$16128)-ROW($A$3)+1),ROWS(A$4:A12))),"")</f>
        <v>46030</v>
      </c>
      <c r="B12" s="19" t="str">
        <f t="array" ref="B12">IF(ROWS(B$4:B12)&lt;=$B$2,INDEX(data!A$3:A$16128,SMALL(IF(data!$D$3:$D$16128=$B$1,ROW(data!$A$3:$A$16128)-ROW($A$3)+1),ROWS(B$4:B12))),"")</f>
        <v>Каса ВАУЧЕРИ</v>
      </c>
      <c r="C12" s="19">
        <f t="array" ref="C12">IF(ROWS(C$4:C12)&lt;=$B$2,INDEX(data!B$3:B$16128,SMALL(IF(data!$D$3:$D$16128='Банкя'!$B$1,ROW(data!$A$3:$A$16128)-ROW($A$3)+1),ROWS(C$4:C12))),"")</f>
        <v>-5.11</v>
      </c>
      <c r="D12" s="7" t="str">
        <f t="array" ref="D12">IF(ROWS(D$4:D12)&lt;=$B$2,INDEX(data!E$3:E$16128,SMALL(IF(data!$D$3:$D$16128='Банкя'!$B$1,ROW(data!$A$3:$A$16128)-ROW($A$3)+1),ROWS(D$4:D12))),"")</f>
        <v>за 22.12</v>
      </c>
      <c r="E12" s="11"/>
      <c r="F12" s="11"/>
      <c r="G12" s="11"/>
      <c r="H12" s="14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IF(ROWS(A$4:A13)&lt;=$B$2,INDEX(data!C$3:C$16128,SMALL(IF(data!$D$3:$D$16128='Банкя'!$B$1,ROW(data!$A$3:$A$16128)-ROW($A$3)+1),ROWS(A$4:A13))),"")</f>
        <v>46031</v>
      </c>
      <c r="B13" s="19" t="str">
        <f t="array" ref="B13">IF(ROWS(B$4:B13)&lt;=$B$2,INDEX(data!A$3:A$16128,SMALL(IF(data!$D$3:$D$16128=$B$1,ROW(data!$A$3:$A$16128)-ROW($A$3)+1),ROWS(B$4:B13))),"")</f>
        <v>КАСОВА КНИГА</v>
      </c>
      <c r="C13" s="19">
        <f t="array" ref="C13">IF(ROWS(C$4:C13)&lt;=$B$2,INDEX(data!B$3:B$16128,SMALL(IF(data!$D$3:$D$16128='Банкя'!$B$1,ROW(data!$A$3:$A$16128)-ROW($A$3)+1),ROWS(C$4:C13))),"")</f>
        <v>-1000</v>
      </c>
      <c r="D13" s="7" t="str">
        <f t="array" ref="D13">IF(ROWS(D$4:D13)&lt;=$B$2,INDEX(data!E$3:E$16128,SMALL(IF(data!$D$3:$D$16128='Банкя'!$B$1,ROW(data!$A$3:$A$16128)-ROW($A$3)+1),ROWS(D$4:D13))),"")</f>
        <v/>
      </c>
      <c r="E13" s="11"/>
      <c r="F13" s="11"/>
      <c r="G13" s="11"/>
      <c r="H13" s="14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IF(ROWS(A$4:A14)&lt;=$B$2,INDEX(data!C$3:C$16128,SMALL(IF(data!$D$3:$D$16128='Банкя'!$B$1,ROW(data!$A$3:$A$16128)-ROW($A$3)+1),ROWS(A$4:A14))),"")</f>
        <v>46034</v>
      </c>
      <c r="B14" s="19" t="str">
        <f t="array" ref="B14">IF(ROWS(B$4:B14)&lt;=$B$2,INDEX(data!A$3:A$16128,SMALL(IF(data!$D$3:$D$16128=$B$1,ROW(data!$A$3:$A$16128)-ROW($A$3)+1),ROWS(B$4:B14))),"")</f>
        <v>КАСОВА КНИГА</v>
      </c>
      <c r="C14" s="19">
        <f t="array" ref="C14">IF(ROWS(C$4:C14)&lt;=$B$2,INDEX(data!B$3:B$16128,SMALL(IF(data!$D$3:$D$16128='Банкя'!$B$1,ROW(data!$A$3:$A$16128)-ROW($A$3)+1),ROWS(C$4:C14))),"")</f>
        <v>-3022.58</v>
      </c>
      <c r="D14" s="7" t="str">
        <f t="array" ref="D14">IF(ROWS(D$4:D14)&lt;=$B$2,INDEX(data!E$3:E$16128,SMALL(IF(data!$D$3:$D$16128='Банкя'!$B$1,ROW(data!$A$3:$A$16128)-ROW($A$3)+1),ROWS(D$4:D14))),"")</f>
        <v/>
      </c>
      <c r="E14" s="11"/>
      <c r="F14" s="11"/>
      <c r="G14" s="11"/>
      <c r="H14" s="14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IF(ROWS(A$4:A15)&lt;=$B$2,INDEX(data!C$3:C$16128,SMALL(IF(data!$D$3:$D$16128='Банкя'!$B$1,ROW(data!$A$3:$A$16128)-ROW($A$3)+1),ROWS(A$4:A15))),"")</f>
        <v>46035</v>
      </c>
      <c r="B15" s="19" t="str">
        <f t="array" ref="B15">IF(ROWS(B$4:B15)&lt;=$B$2,INDEX(data!A$3:A$16128,SMALL(IF(data!$D$3:$D$16128=$B$1,ROW(data!$A$3:$A$16128)-ROW($A$3)+1),ROWS(B$4:B15))),"")</f>
        <v>MYPOS Бакалия</v>
      </c>
      <c r="C15" s="19">
        <f t="array" ref="C15">IF(ROWS(C$4:C15)&lt;=$B$2,INDEX(data!B$3:B$16128,SMALL(IF(data!$D$3:$D$16128='Банкя'!$B$1,ROW(data!$A$3:$A$16128)-ROW($A$3)+1),ROWS(C$4:C15))),"")</f>
        <v>-2123.24</v>
      </c>
      <c r="D15" s="7" t="str">
        <f t="array" ref="D15">IF(ROWS(D$4:D15)&lt;=$B$2,INDEX(data!E$3:E$16128,SMALL(IF(data!$D$3:$D$16128='Банкя'!$B$1,ROW(data!$A$3:$A$16128)-ROW($A$3)+1),ROWS(D$4:D15))),"")</f>
        <v/>
      </c>
      <c r="E15" s="11"/>
      <c r="F15" s="11"/>
      <c r="G15" s="11"/>
      <c r="H15" s="14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IF(ROWS(A$4:A16)&lt;=$B$2,INDEX(data!C$3:C$16128,SMALL(IF(data!$D$3:$D$16128='Банкя'!$B$1,ROW(data!$A$3:$A$16128)-ROW($A$3)+1),ROWS(A$4:A16))),"")</f>
        <v>46036</v>
      </c>
      <c r="B16" s="19" t="str">
        <f t="array" ref="B16">IF(ROWS(B$4:B16)&lt;=$B$2,INDEX(data!A$3:A$16128,SMALL(IF(data!$D$3:$D$16128=$B$1,ROW(data!$A$3:$A$16128)-ROW($A$3)+1),ROWS(B$4:B16))),"")</f>
        <v>КАСОВА КНИГА</v>
      </c>
      <c r="C16" s="19">
        <f t="array" ref="C16">IF(ROWS(C$4:C16)&lt;=$B$2,INDEX(data!B$3:B$16128,SMALL(IF(data!$D$3:$D$16128='Банкя'!$B$1,ROW(data!$A$3:$A$16128)-ROW($A$3)+1),ROWS(C$4:C16))),"")</f>
        <v>-500</v>
      </c>
      <c r="D16" s="7" t="str">
        <f t="array" ref="D16">IF(ROWS(D$4:D16)&lt;=$B$2,INDEX(data!E$3:E$16128,SMALL(IF(data!$D$3:$D$16128='Банкя'!$B$1,ROW(data!$A$3:$A$16128)-ROW($A$3)+1),ROWS(D$4:D16))),"")</f>
        <v/>
      </c>
      <c r="E16" s="11"/>
      <c r="F16" s="11"/>
      <c r="G16" s="11"/>
      <c r="H16" s="14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IF(ROWS(A$4:A17)&lt;=$B$2,INDEX(data!C$3:C$16128,SMALL(IF(data!$D$3:$D$16128='Банкя'!$B$1,ROW(data!$A$3:$A$16128)-ROW($A$3)+1),ROWS(A$4:A17))),"")</f>
        <v>46038</v>
      </c>
      <c r="B17" s="19" t="str">
        <f t="array" ref="B17">IF(ROWS(B$4:B17)&lt;=$B$2,INDEX(data!A$3:A$16128,SMALL(IF(data!$D$3:$D$16128=$B$1,ROW(data!$A$3:$A$16128)-ROW($A$3)+1),ROWS(B$4:B17))),"")</f>
        <v>КАСОВА КНИГА</v>
      </c>
      <c r="C17" s="19">
        <f t="array" ref="C17">IF(ROWS(C$4:C17)&lt;=$B$2,INDEX(data!B$3:B$16128,SMALL(IF(data!$D$3:$D$16128='Банкя'!$B$1,ROW(data!$A$3:$A$16128)-ROW($A$3)+1),ROWS(C$4:C17))),"")</f>
        <v>450</v>
      </c>
      <c r="D17" s="7" t="str">
        <f t="array" ref="D17">IF(ROWS(D$4:D17)&lt;=$B$2,INDEX(data!E$3:E$16128,SMALL(IF(data!$D$3:$D$16128='Банкя'!$B$1,ROW(data!$A$3:$A$16128)-ROW($A$3)+1),ROWS(D$4:D17))),"")</f>
        <v>заем</v>
      </c>
      <c r="E17" s="11"/>
      <c r="F17" s="11"/>
      <c r="G17" s="11"/>
      <c r="H17" s="14"/>
      <c r="I17" s="14"/>
      <c r="J17" s="14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IF(ROWS(A$4:A18)&lt;=$B$2,INDEX(data!C$3:C$16128,SMALL(IF(data!$D$3:$D$16128='Банкя'!$B$1,ROW(data!$A$3:$A$16128)-ROW($A$3)+1),ROWS(A$4:A18))),"")</f>
        <v>46038</v>
      </c>
      <c r="B18" s="19" t="str">
        <f t="array" ref="B18">IF(ROWS(B$4:B18)&lt;=$B$2,INDEX(data!A$3:A$16128,SMALL(IF(data!$D$3:$D$16128=$B$1,ROW(data!$A$3:$A$16128)-ROW($A$3)+1),ROWS(B$4:B18))),"")</f>
        <v>Каса ВАУЧЕРИ</v>
      </c>
      <c r="C18" s="19">
        <f t="array" ref="C18">IF(ROWS(C$4:C18)&lt;=$B$2,INDEX(data!B$3:B$16128,SMALL(IF(data!$D$3:$D$16128='Банкя'!$B$1,ROW(data!$A$3:$A$16128)-ROW($A$3)+1),ROWS(C$4:C18))),"")</f>
        <v>-25.05</v>
      </c>
      <c r="D18" s="7" t="str">
        <f t="array" ref="D18">IF(ROWS(D$4:D18)&lt;=$B$2,INDEX(data!E$3:E$16128,SMALL(IF(data!$D$3:$D$16128='Банкя'!$B$1,ROW(data!$A$3:$A$16128)-ROW($A$3)+1),ROWS(D$4:D18))),"")</f>
        <v/>
      </c>
      <c r="E18" s="11"/>
      <c r="F18" s="11"/>
      <c r="G18" s="11"/>
      <c r="H18" s="14"/>
      <c r="I18" s="14"/>
      <c r="J18" s="1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IF(ROWS(A$4:A19)&lt;=$B$2,INDEX(data!C$3:C$16128,SMALL(IF(data!$D$3:$D$16128='Банкя'!$B$1,ROW(data!$A$3:$A$16128)-ROW($A$3)+1),ROWS(A$4:A19))),"")</f>
        <v>46041</v>
      </c>
      <c r="B19" s="19" t="str">
        <f t="array" ref="B19">IF(ROWS(B$4:B19)&lt;=$B$2,INDEX(data!A$3:A$16128,SMALL(IF(data!$D$3:$D$16128=$B$1,ROW(data!$A$3:$A$16128)-ROW($A$3)+1),ROWS(B$4:B19))),"")</f>
        <v>КАСОВА КНИГА</v>
      </c>
      <c r="C19" s="19">
        <f t="array" ref="C19">IF(ROWS(C$4:C19)&lt;=$B$2,INDEX(data!B$3:B$16128,SMALL(IF(data!$D$3:$D$16128='Банкя'!$B$1,ROW(data!$A$3:$A$16128)-ROW($A$3)+1),ROWS(C$4:C19))),"")</f>
        <v>-1500</v>
      </c>
      <c r="D19" s="7" t="str">
        <f t="array" ref="D19">IF(ROWS(D$4:D19)&lt;=$B$2,INDEX(data!E$3:E$16128,SMALL(IF(data!$D$3:$D$16128='Банкя'!$B$1,ROW(data!$A$3:$A$16128)-ROW($A$3)+1),ROWS(D$4:D19))),"")</f>
        <v/>
      </c>
      <c r="E19" s="11"/>
      <c r="F19" s="11"/>
      <c r="G19" s="11"/>
      <c r="H19" s="14"/>
      <c r="I19" s="14"/>
      <c r="J19" s="14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IF(ROWS(A$4:A20)&lt;=$B$2,INDEX(data!C$3:C$16128,SMALL(IF(data!$D$3:$D$16128='Банкя'!$B$1,ROW(data!$A$3:$A$16128)-ROW($A$3)+1),ROWS(A$4:A20))),"")</f>
        <v>46041</v>
      </c>
      <c r="B20" s="19" t="str">
        <f t="array" ref="B20">IF(ROWS(B$4:B20)&lt;=$B$2,INDEX(data!A$3:A$16128,SMALL(IF(data!$D$3:$D$16128=$B$1,ROW(data!$A$3:$A$16128)-ROW($A$3)+1),ROWS(B$4:B20))),"")</f>
        <v>ПОС ДСК Бакалия</v>
      </c>
      <c r="C20" s="19">
        <f t="array" ref="C20">IF(ROWS(C$4:C20)&lt;=$B$2,INDEX(data!B$3:B$16128,SMALL(IF(data!$D$3:$D$16128='Банкя'!$B$1,ROW(data!$A$3:$A$16128)-ROW($A$3)+1),ROWS(C$4:C20))),"")</f>
        <v>-2561.98</v>
      </c>
      <c r="D20" s="7" t="str">
        <f t="array" ref="D20">IF(ROWS(D$4:D20)&lt;=$B$2,INDEX(data!E$3:E$16128,SMALL(IF(data!$D$3:$D$16128='Банкя'!$B$1,ROW(data!$A$3:$A$16128)-ROW($A$3)+1),ROWS(D$4:D20))),"")</f>
        <v/>
      </c>
      <c r="E20" s="11"/>
      <c r="F20" s="11"/>
      <c r="G20" s="11"/>
      <c r="H20" s="14"/>
      <c r="I20" s="14"/>
      <c r="J20" s="14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IF(ROWS(A$4:A21)&lt;=$B$2,INDEX(data!C$3:C$16128,SMALL(IF(data!$D$3:$D$16128='Банкя'!$B$1,ROW(data!$A$3:$A$16128)-ROW($A$3)+1),ROWS(A$4:A21))),"")</f>
        <v>46043</v>
      </c>
      <c r="B21" s="19" t="str">
        <f t="array" ref="B21">IF(ROWS(B$4:B21)&lt;=$B$2,INDEX(data!A$3:A$16128,SMALL(IF(data!$D$3:$D$16128=$B$1,ROW(data!$A$3:$A$16128)-ROW($A$3)+1),ROWS(B$4:B21))),"")</f>
        <v>КАСОВА КНИГА</v>
      </c>
      <c r="C21" s="19">
        <f t="array" ref="C21">IF(ROWS(C$4:C21)&lt;=$B$2,INDEX(data!B$3:B$16128,SMALL(IF(data!$D$3:$D$16128='Банкя'!$B$1,ROW(data!$A$3:$A$16128)-ROW($A$3)+1),ROWS(C$4:C21))),"")</f>
        <v>-600</v>
      </c>
      <c r="D21" s="7" t="str">
        <f t="array" ref="D21">IF(ROWS(D$4:D21)&lt;=$B$2,INDEX(data!E$3:E$16128,SMALL(IF(data!$D$3:$D$16128='Банкя'!$B$1,ROW(data!$A$3:$A$16128)-ROW($A$3)+1),ROWS(D$4:D21))),"")</f>
        <v/>
      </c>
      <c r="E21" s="11"/>
      <c r="F21" s="11"/>
      <c r="G21" s="11"/>
      <c r="H21" s="14"/>
      <c r="I21" s="14"/>
      <c r="J21" s="1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IF(ROWS(A$4:A22)&lt;=$B$2,INDEX(data!C$3:C$16128,SMALL(IF(data!$D$3:$D$16128='Банкя'!$B$1,ROW(data!$A$3:$A$16128)-ROW($A$3)+1),ROWS(A$4:A22))),"")</f>
        <v>46043</v>
      </c>
      <c r="B22" s="19" t="str">
        <f t="array" ref="B22">IF(ROWS(B$4:B22)&lt;=$B$2,INDEX(data!A$3:A$16128,SMALL(IF(data!$D$3:$D$16128=$B$1,ROW(data!$A$3:$A$16128)-ROW($A$3)+1),ROWS(B$4:B22))),"")</f>
        <v>КАСОВА КНИГА</v>
      </c>
      <c r="C22" s="19">
        <f t="array" ref="C22">IF(ROWS(C$4:C22)&lt;=$B$2,INDEX(data!B$3:B$16128,SMALL(IF(data!$D$3:$D$16128='Банкя'!$B$1,ROW(data!$A$3:$A$16128)-ROW($A$3)+1),ROWS(C$4:C22))),"")</f>
        <v>227</v>
      </c>
      <c r="D22" s="7" t="str">
        <f t="array" ref="D22">IF(ROWS(D$4:D22)&lt;=$B$2,INDEX(data!E$3:E$16128,SMALL(IF(data!$D$3:$D$16128='Банкя'!$B$1,ROW(data!$A$3:$A$16128)-ROW($A$3)+1),ROWS(D$4:D22))),"")</f>
        <v>заем</v>
      </c>
      <c r="E22" s="11"/>
      <c r="F22" s="11"/>
      <c r="G22" s="11"/>
      <c r="H22" s="14"/>
      <c r="I22" s="14"/>
      <c r="J22" s="14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IF(ROWS(A$4:A23)&lt;=$B$2,INDEX(data!C$3:C$16128,SMALL(IF(data!$D$3:$D$16128='Банкя'!$B$1,ROW(data!$A$3:$A$16128)-ROW($A$3)+1),ROWS(A$4:A23))),"")</f>
        <v>46043</v>
      </c>
      <c r="B23" s="19" t="str">
        <f t="array" ref="B23">IF(ROWS(B$4:B23)&lt;=$B$2,INDEX(data!A$3:A$16128,SMALL(IF(data!$D$3:$D$16128=$B$1,ROW(data!$A$3:$A$16128)-ROW($A$3)+1),ROWS(B$4:B23))),"")</f>
        <v>Каса ВАУЧЕРИ</v>
      </c>
      <c r="C23" s="19">
        <f t="array" ref="C23">IF(ROWS(C$4:C23)&lt;=$B$2,INDEX(data!B$3:B$16128,SMALL(IF(data!$D$3:$D$16128='Банкя'!$B$1,ROW(data!$A$3:$A$16128)-ROW($A$3)+1),ROWS(C$4:C23))),"")</f>
        <v>511.29</v>
      </c>
      <c r="D23" s="7" t="str">
        <f t="array" ref="D23">IF(ROWS(D$4:D23)&lt;=$B$2,INDEX(data!E$3:E$16128,SMALL(IF(data!$D$3:$D$16128='Банкя'!$B$1,ROW(data!$A$3:$A$16128)-ROW($A$3)+1),ROWS(D$4:D23))),"")</f>
        <v>ваучери персонал</v>
      </c>
      <c r="E23" s="11"/>
      <c r="F23" s="11"/>
      <c r="G23" s="11"/>
      <c r="H23" s="14"/>
      <c r="I23" s="14"/>
      <c r="J23" s="14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IF(ROWS(A$4:A24)&lt;=$B$2,INDEX(data!C$3:C$16128,SMALL(IF(data!$D$3:$D$16128='Банкя'!$B$1,ROW(data!$A$3:$A$16128)-ROW($A$3)+1),ROWS(A$4:A24))),"")</f>
        <v>46045</v>
      </c>
      <c r="B24" s="19" t="str">
        <f t="array" ref="B24">IF(ROWS(B$4:B24)&lt;=$B$2,INDEX(data!A$3:A$16128,SMALL(IF(data!$D$3:$D$16128=$B$1,ROW(data!$A$3:$A$16128)-ROW($A$3)+1),ROWS(B$4:B24))),"")</f>
        <v>КАСОВА КНИГА</v>
      </c>
      <c r="C24" s="19">
        <f t="array" ref="C24">IF(ROWS(C$4:C24)&lt;=$B$2,INDEX(data!B$3:B$16128,SMALL(IF(data!$D$3:$D$16128='Банкя'!$B$1,ROW(data!$A$3:$A$16128)-ROW($A$3)+1),ROWS(C$4:C24))),"")</f>
        <v>-500</v>
      </c>
      <c r="D24" s="7" t="str">
        <f t="array" ref="D24">IF(ROWS(D$4:D24)&lt;=$B$2,INDEX(data!E$3:E$16128,SMALL(IF(data!$D$3:$D$16128='Банкя'!$B$1,ROW(data!$A$3:$A$16128)-ROW($A$3)+1),ROWS(D$4:D24))),"")</f>
        <v/>
      </c>
      <c r="E24" s="11"/>
      <c r="F24" s="11"/>
      <c r="G24" s="11"/>
      <c r="H24" s="14"/>
      <c r="I24" s="14"/>
      <c r="J24" s="14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IF(ROWS(A$4:A25)&lt;=$B$2,INDEX(data!C$3:C$16128,SMALL(IF(data!$D$3:$D$16128='Банкя'!$B$1,ROW(data!$A$3:$A$16128)-ROW($A$3)+1),ROWS(A$4:A25))),"")</f>
        <v>46048</v>
      </c>
      <c r="B25" s="19" t="str">
        <f t="array" ref="B25">IF(ROWS(B$4:B25)&lt;=$B$2,INDEX(data!A$3:A$16128,SMALL(IF(data!$D$3:$D$16128=$B$1,ROW(data!$A$3:$A$16128)-ROW($A$3)+1),ROWS(B$4:B25))),"")</f>
        <v>MYPOS Бакалия</v>
      </c>
      <c r="C25" s="19">
        <f t="array" ref="C25">IF(ROWS(C$4:C25)&lt;=$B$2,INDEX(data!B$3:B$16128,SMALL(IF(data!$D$3:$D$16128='Банкя'!$B$1,ROW(data!$A$3:$A$16128)-ROW($A$3)+1),ROWS(C$4:C25))),"")</f>
        <v>-2650.21</v>
      </c>
      <c r="D25" s="7" t="str">
        <f t="array" ref="D25">IF(ROWS(D$4:D25)&lt;=$B$2,INDEX(data!E$3:E$16128,SMALL(IF(data!$D$3:$D$16128='Банкя'!$B$1,ROW(data!$A$3:$A$16128)-ROW($A$3)+1),ROWS(D$4:D25))),"")</f>
        <v/>
      </c>
      <c r="E25" s="11"/>
      <c r="F25" s="11"/>
      <c r="G25" s="11"/>
      <c r="H25" s="14"/>
      <c r="I25" s="14"/>
      <c r="J25" s="14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IF(ROWS(A$4:A26)&lt;=$B$2,INDEX(data!C$3:C$16128,SMALL(IF(data!$D$3:$D$16128='Банкя'!$B$1,ROW(data!$A$3:$A$16128)-ROW($A$3)+1),ROWS(A$4:A26))),"")</f>
        <v>46048</v>
      </c>
      <c r="B26" s="19" t="str">
        <f t="array" ref="B26">IF(ROWS(B$4:B26)&lt;=$B$2,INDEX(data!A$3:A$16128,SMALL(IF(data!$D$3:$D$16128=$B$1,ROW(data!$A$3:$A$16128)-ROW($A$3)+1),ROWS(B$4:B26))),"")</f>
        <v>КАСОВА КНИГА</v>
      </c>
      <c r="C26" s="19">
        <f t="array" ref="C26">IF(ROWS(C$4:C26)&lt;=$B$2,INDEX(data!B$3:B$16128,SMALL(IF(data!$D$3:$D$16128='Банкя'!$B$1,ROW(data!$A$3:$A$16128)-ROW($A$3)+1),ROWS(C$4:C26))),"")</f>
        <v>-2000</v>
      </c>
      <c r="D26" s="7" t="str">
        <f t="array" ref="D26">IF(ROWS(D$4:D26)&lt;=$B$2,INDEX(data!E$3:E$16128,SMALL(IF(data!$D$3:$D$16128='Банкя'!$B$1,ROW(data!$A$3:$A$16128)-ROW($A$3)+1),ROWS(D$4:D26))),"")</f>
        <v/>
      </c>
      <c r="E26" s="11"/>
      <c r="F26" s="11"/>
      <c r="G26" s="11"/>
      <c r="H26" s="14"/>
      <c r="I26" s="14"/>
      <c r="J26" s="14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IF(ROWS(A$4:A27)&lt;=$B$2,INDEX(data!C$3:C$16128,SMALL(IF(data!$D$3:$D$16128='Банкя'!$B$1,ROW(data!$A$3:$A$16128)-ROW($A$3)+1),ROWS(A$4:A27))),"")</f>
        <v>46055</v>
      </c>
      <c r="B27" s="19" t="str">
        <f t="array" ref="B27">IF(ROWS(B$4:B27)&lt;=$B$2,INDEX(data!A$3:A$16128,SMALL(IF(data!$D$3:$D$16128=$B$1,ROW(data!$A$3:$A$16128)-ROW($A$3)+1),ROWS(B$4:B27))),"")</f>
        <v>MYPOS Бакалия</v>
      </c>
      <c r="C27" s="19">
        <f t="array" ref="C27">IF(ROWS(C$4:C27)&lt;=$B$2,INDEX(data!B$3:B$16128,SMALL(IF(data!$D$3:$D$16128='Банкя'!$B$1,ROW(data!$A$3:$A$16128)-ROW($A$3)+1),ROWS(C$4:C27))),"")</f>
        <v>-5856.67</v>
      </c>
      <c r="D27" s="7" t="str">
        <f t="array" ref="D27">IF(ROWS(D$4:D27)&lt;=$B$2,INDEX(data!E$3:E$16128,SMALL(IF(data!$D$3:$D$16128='Банкя'!$B$1,ROW(data!$A$3:$A$16128)-ROW($A$3)+1),ROWS(D$4:D27))),"")</f>
        <v/>
      </c>
      <c r="E27" s="11"/>
      <c r="F27" s="11"/>
      <c r="G27" s="11"/>
      <c r="H27" s="14"/>
      <c r="I27" s="14"/>
      <c r="J27" s="14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IF(ROWS(A$4:A28)&lt;=$B$2,INDEX(data!C$3:C$16128,SMALL(IF(data!$D$3:$D$16128='Банкя'!$B$1,ROW(data!$A$3:$A$16128)-ROW($A$3)+1),ROWS(A$4:A28))),"")</f>
        <v>46055</v>
      </c>
      <c r="B28" s="19" t="str">
        <f t="array" ref="B28">IF(ROWS(B$4:B28)&lt;=$B$2,INDEX(data!A$3:A$16128,SMALL(IF(data!$D$3:$D$16128=$B$1,ROW(data!$A$3:$A$16128)-ROW($A$3)+1),ROWS(B$4:B28))),"")</f>
        <v>КАСОВА КНИГА</v>
      </c>
      <c r="C28" s="19">
        <f t="array" ref="C28">IF(ROWS(C$4:C28)&lt;=$B$2,INDEX(data!B$3:B$16128,SMALL(IF(data!$D$3:$D$16128='Банкя'!$B$1,ROW(data!$A$3:$A$16128)-ROW($A$3)+1),ROWS(C$4:C28))),"")</f>
        <v>-1500</v>
      </c>
      <c r="D28" s="7" t="str">
        <f t="array" ref="D28">IF(ROWS(D$4:D28)&lt;=$B$2,INDEX(data!E$3:E$16128,SMALL(IF(data!$D$3:$D$16128='Банкя'!$B$1,ROW(data!$A$3:$A$16128)-ROW($A$3)+1),ROWS(D$4:D28))),"")</f>
        <v/>
      </c>
      <c r="E28" s="11"/>
      <c r="F28" s="11"/>
      <c r="G28" s="11"/>
      <c r="H28" s="14"/>
      <c r="I28" s="14"/>
      <c r="J28" s="14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IF(ROWS(A$4:A29)&lt;=$B$2,INDEX(data!C$3:C$16128,SMALL(IF(data!$D$3:$D$16128='Банкя'!$B$1,ROW(data!$A$3:$A$16128)-ROW($A$3)+1),ROWS(A$4:A29))),"")</f>
        <v>46057</v>
      </c>
      <c r="B29" s="19" t="str">
        <f t="array" ref="B29">IF(ROWS(B$4:B29)&lt;=$B$2,INDEX(data!A$3:A$16128,SMALL(IF(data!$D$3:$D$16128=$B$1,ROW(data!$A$3:$A$16128)-ROW($A$3)+1),ROWS(B$4:B29))),"")</f>
        <v>КАСОВА КНИГА</v>
      </c>
      <c r="C29" s="19">
        <f t="array" ref="C29">IF(ROWS(C$4:C29)&lt;=$B$2,INDEX(data!B$3:B$16128,SMALL(IF(data!$D$3:$D$16128='Банкя'!$B$1,ROW(data!$A$3:$A$16128)-ROW($A$3)+1),ROWS(C$4:C29))),"")</f>
        <v>-474.016</v>
      </c>
      <c r="D29" s="7" t="str">
        <f t="array" ref="D29">IF(ROWS(D$4:D29)&lt;=$B$2,INDEX(data!E$3:E$16128,SMALL(IF(data!$D$3:$D$16128='Банкя'!$B$1,ROW(data!$A$3:$A$16128)-ROW($A$3)+1),ROWS(D$4:D29))),"")</f>
        <v>927,10лв</v>
      </c>
      <c r="E29" s="11"/>
      <c r="F29" s="11"/>
      <c r="G29" s="11"/>
      <c r="H29" s="14"/>
      <c r="I29" s="14"/>
      <c r="J29" s="14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IF(ROWS(A$4:A30)&lt;=$B$2,INDEX(data!C$3:C$16128,SMALL(IF(data!$D$3:$D$16128='Банкя'!$B$1,ROW(data!$A$3:$A$16128)-ROW($A$3)+1),ROWS(A$4:A30))),"")</f>
        <v>46059</v>
      </c>
      <c r="B30" s="19" t="str">
        <f t="array" ref="B30">IF(ROWS(B$4:B30)&lt;=$B$2,INDEX(data!A$3:A$16128,SMALL(IF(data!$D$3:$D$16128=$B$1,ROW(data!$A$3:$A$16128)-ROW($A$3)+1),ROWS(B$4:B30))),"")</f>
        <v>ПОС ДСК Бакалия</v>
      </c>
      <c r="C30" s="19">
        <f t="array" ref="C30">IF(ROWS(C$4:C30)&lt;=$B$2,INDEX(data!B$3:B$16128,SMALL(IF(data!$D$3:$D$16128='Банкя'!$B$1,ROW(data!$A$3:$A$16128)-ROW($A$3)+1),ROWS(C$4:C30))),"")</f>
        <v>-1269.98</v>
      </c>
      <c r="D30" s="7" t="str">
        <f t="array" ref="D30">IF(ROWS(D$4:D30)&lt;=$B$2,INDEX(data!E$3:E$16128,SMALL(IF(data!$D$3:$D$16128='Банкя'!$B$1,ROW(data!$A$3:$A$16128)-ROW($A$3)+1),ROWS(D$4:D30))),"")</f>
        <v/>
      </c>
      <c r="E30" s="11"/>
      <c r="F30" s="11"/>
      <c r="G30" s="11"/>
      <c r="H30" s="14"/>
      <c r="I30" s="14"/>
      <c r="J30" s="14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IF(ROWS(A$4:A31)&lt;=$B$2,INDEX(data!C$3:C$16128,SMALL(IF(data!$D$3:$D$16128='Банкя'!$B$1,ROW(data!$A$3:$A$16128)-ROW($A$3)+1),ROWS(A$4:A31))),"")</f>
        <v>46059</v>
      </c>
      <c r="B31" s="19" t="str">
        <f t="array" ref="B31">IF(ROWS(B$4:B31)&lt;=$B$2,INDEX(data!A$3:A$16128,SMALL(IF(data!$D$3:$D$16128=$B$1,ROW(data!$A$3:$A$16128)-ROW($A$3)+1),ROWS(B$4:B31))),"")</f>
        <v>КАСОВА КНИГА</v>
      </c>
      <c r="C31" s="19">
        <f t="array" ref="C31">IF(ROWS(C$4:C31)&lt;=$B$2,INDEX(data!B$3:B$16128,SMALL(IF(data!$D$3:$D$16128='Банкя'!$B$1,ROW(data!$A$3:$A$16128)-ROW($A$3)+1),ROWS(C$4:C31))),"")</f>
        <v>-500</v>
      </c>
      <c r="D31" s="7" t="str">
        <f t="array" ref="D31">IF(ROWS(D$4:D31)&lt;=$B$2,INDEX(data!E$3:E$16128,SMALL(IF(data!$D$3:$D$16128='Банкя'!$B$1,ROW(data!$A$3:$A$16128)-ROW($A$3)+1),ROWS(D$4:D31))),"")</f>
        <v/>
      </c>
      <c r="E31" s="11"/>
      <c r="F31" s="11"/>
      <c r="G31" s="11"/>
      <c r="H31" s="14"/>
      <c r="I31" s="14"/>
      <c r="J31" s="14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IF(ROWS(A$4:A32)&lt;=$B$2,INDEX(data!C$3:C$16128,SMALL(IF(data!$D$3:$D$16128='Банкя'!$B$1,ROW(data!$A$3:$A$16128)-ROW($A$3)+1),ROWS(A$4:A32))),"")</f>
        <v>46059</v>
      </c>
      <c r="B32" s="19" t="str">
        <f t="array" ref="B32">IF(ROWS(B$4:B32)&lt;=$B$2,INDEX(data!A$3:A$16128,SMALL(IF(data!$D$3:$D$16128=$B$1,ROW(data!$A$3:$A$16128)-ROW($A$3)+1),ROWS(B$4:B32))),"")</f>
        <v>MYPOS Бакалия</v>
      </c>
      <c r="C32" s="19">
        <f t="array" ref="C32">IF(ROWS(C$4:C32)&lt;=$B$2,INDEX(data!B$3:B$16128,SMALL(IF(data!$D$3:$D$16128='Банкя'!$B$1,ROW(data!$A$3:$A$16128)-ROW($A$3)+1),ROWS(C$4:C32))),"")</f>
        <v>5075.29</v>
      </c>
      <c r="D32" s="7" t="str">
        <f t="array" ref="D32">IF(ROWS(D$4:D32)&lt;=$B$2,INDEX(data!E$3:E$16128,SMALL(IF(data!$D$3:$D$16128='Банкя'!$B$1,ROW(data!$A$3:$A$16128)-ROW($A$3)+1),ROWS(D$4:D32))),"")</f>
        <v>изчистени в повече</v>
      </c>
      <c r="E32" s="11"/>
      <c r="F32" s="11"/>
      <c r="G32" s="11"/>
      <c r="H32" s="14"/>
      <c r="I32" s="14"/>
      <c r="J32" s="14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IF(ROWS(A$4:A33)&lt;=$B$2,INDEX(data!C$3:C$16128,SMALL(IF(data!$D$3:$D$16128='Банкя'!$B$1,ROW(data!$A$3:$A$16128)-ROW($A$3)+1),ROWS(A$4:A33))),"")</f>
        <v>46062</v>
      </c>
      <c r="B33" s="19" t="str">
        <f t="array" ref="B33">IF(ROWS(B$4:B33)&lt;=$B$2,INDEX(data!A$3:A$16128,SMALL(IF(data!$D$3:$D$16128=$B$1,ROW(data!$A$3:$A$16128)-ROW($A$3)+1),ROWS(B$4:B33))),"")</f>
        <v>MYPOS Бакалия</v>
      </c>
      <c r="C33" s="19">
        <f t="array" ref="C33">IF(ROWS(C$4:C33)&lt;=$B$2,INDEX(data!B$3:B$16128,SMALL(IF(data!$D$3:$D$16128='Банкя'!$B$1,ROW(data!$A$3:$A$16128)-ROW($A$3)+1),ROWS(C$4:C33))),"")</f>
        <v>-2117.49</v>
      </c>
      <c r="D33" s="7" t="str">
        <f t="array" ref="D33">IF(ROWS(D$4:D33)&lt;=$B$2,INDEX(data!E$3:E$16128,SMALL(IF(data!$D$3:$D$16128='Банкя'!$B$1,ROW(data!$A$3:$A$16128)-ROW($A$3)+1),ROWS(D$4:D33))),"")</f>
        <v/>
      </c>
      <c r="E33" s="11"/>
      <c r="F33" s="11"/>
      <c r="G33" s="11"/>
      <c r="H33" s="14"/>
      <c r="I33" s="14"/>
      <c r="J33" s="14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IF(ROWS(A$4:A34)&lt;=$B$2,INDEX(data!C$3:C$16128,SMALL(IF(data!$D$3:$D$16128='Банкя'!$B$1,ROW(data!$A$3:$A$16128)-ROW($A$3)+1),ROWS(A$4:A34))),"")</f>
        <v>46062</v>
      </c>
      <c r="B34" s="19" t="str">
        <f t="array" ref="B34">IF(ROWS(B$4:B34)&lt;=$B$2,INDEX(data!A$3:A$16128,SMALL(IF(data!$D$3:$D$16128=$B$1,ROW(data!$A$3:$A$16128)-ROW($A$3)+1),ROWS(B$4:B34))),"")</f>
        <v>ЗАЕМ</v>
      </c>
      <c r="C34" s="19">
        <f t="array" ref="C34">IF(ROWS(C$4:C34)&lt;=$B$2,INDEX(data!B$3:B$16128,SMALL(IF(data!$D$3:$D$16128='Банкя'!$B$1,ROW(data!$A$3:$A$16128)-ROW($A$3)+1),ROWS(C$4:C34))),"")</f>
        <v>33783.37</v>
      </c>
      <c r="D34" s="7" t="str">
        <f t="array" ref="D34">IF(ROWS(D$4:D34)&lt;=$B$2,INDEX(data!E$3:E$16128,SMALL(IF(data!$D$3:$D$16128='Банкя'!$B$1,ROW(data!$A$3:$A$16128)-ROW($A$3)+1),ROWS(D$4:D34))),"")</f>
        <v>С-до склад + вътр п-не</v>
      </c>
      <c r="E34" s="11"/>
      <c r="F34" s="11"/>
      <c r="G34" s="11"/>
      <c r="H34" s="14"/>
      <c r="I34" s="14"/>
      <c r="J34" s="14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IF(ROWS(A$4:A35)&lt;=$B$2,INDEX(data!C$3:C$16128,SMALL(IF(data!$D$3:$D$16128='Банкя'!$B$1,ROW(data!$A$3:$A$16128)-ROW($A$3)+1),ROWS(A$4:A35))),"")</f>
        <v>46065</v>
      </c>
      <c r="B35" s="19" t="str">
        <f t="array" ref="B35">IF(ROWS(B$4:B35)&lt;=$B$2,INDEX(data!A$3:A$16128,SMALL(IF(data!$D$3:$D$16128=$B$1,ROW(data!$A$3:$A$16128)-ROW($A$3)+1),ROWS(B$4:B35))),"")</f>
        <v>ПОС ДСК Бакалия</v>
      </c>
      <c r="C35" s="19">
        <f t="array" ref="C35">IF(ROWS(C$4:C35)&lt;=$B$2,INDEX(data!B$3:B$16128,SMALL(IF(data!$D$3:$D$16128='Банкя'!$B$1,ROW(data!$A$3:$A$16128)-ROW($A$3)+1),ROWS(C$4:C35))),"")</f>
        <v>-1047.63</v>
      </c>
      <c r="D35" s="7" t="str">
        <f t="array" ref="D35">IF(ROWS(D$4:D35)&lt;=$B$2,INDEX(data!E$3:E$16128,SMALL(IF(data!$D$3:$D$16128='Банкя'!$B$1,ROW(data!$A$3:$A$16128)-ROW($A$3)+1),ROWS(D$4:D35))),"")</f>
        <v/>
      </c>
      <c r="E35" s="11"/>
      <c r="F35" s="11"/>
      <c r="G35" s="11"/>
      <c r="H35" s="14"/>
      <c r="I35" s="14"/>
      <c r="J35" s="14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IF(ROWS(A$4:A36)&lt;=$B$2,INDEX(data!C$3:C$16128,SMALL(IF(data!$D$3:$D$16128='Банкя'!$B$1,ROW(data!$A$3:$A$16128)-ROW($A$3)+1),ROWS(A$4:A36))),"")</f>
        <v>46066</v>
      </c>
      <c r="B36" s="19" t="str">
        <f t="array" ref="B36">IF(ROWS(B$4:B36)&lt;=$B$2,INDEX(data!A$3:A$16128,SMALL(IF(data!$D$3:$D$16128=$B$1,ROW(data!$A$3:$A$16128)-ROW($A$3)+1),ROWS(B$4:B36))),"")</f>
        <v>КАСОВА КНИГА</v>
      </c>
      <c r="C36" s="19">
        <f t="array" ref="C36">IF(ROWS(C$4:C36)&lt;=$B$2,INDEX(data!B$3:B$16128,SMALL(IF(data!$D$3:$D$16128='Банкя'!$B$1,ROW(data!$A$3:$A$16128)-ROW($A$3)+1),ROWS(C$4:C36))),"")</f>
        <v>-1000</v>
      </c>
      <c r="D36" s="7" t="str">
        <f t="array" ref="D36">IF(ROWS(D$4:D36)&lt;=$B$2,INDEX(data!E$3:E$16128,SMALL(IF(data!$D$3:$D$16128='Банкя'!$B$1,ROW(data!$A$3:$A$16128)-ROW($A$3)+1),ROWS(D$4:D36))),"")</f>
        <v/>
      </c>
      <c r="E36" s="11"/>
      <c r="F36" s="11"/>
      <c r="G36" s="11"/>
      <c r="H36" s="14"/>
      <c r="I36" s="14"/>
      <c r="J36" s="14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IF(ROWS(A$4:A37)&lt;=$B$2,INDEX(data!C$3:C$16128,SMALL(IF(data!$D$3:$D$16128='Банкя'!$B$1,ROW(data!$A$3:$A$16128)-ROW($A$3)+1),ROWS(A$4:A37))),"")</f>
        <v>46069</v>
      </c>
      <c r="B37" s="19" t="str">
        <f t="array" ref="B37">IF(ROWS(B$4:B37)&lt;=$B$2,INDEX(data!A$3:A$16128,SMALL(IF(data!$D$3:$D$16128=$B$1,ROW(data!$A$3:$A$16128)-ROW($A$3)+1),ROWS(B$4:B37))),"")</f>
        <v>MYPOS Бакалия</v>
      </c>
      <c r="C37" s="19">
        <f t="array" ref="C37">IF(ROWS(C$4:C37)&lt;=$B$2,INDEX(data!B$3:B$16128,SMALL(IF(data!$D$3:$D$16128='Банкя'!$B$1,ROW(data!$A$3:$A$16128)-ROW($A$3)+1),ROWS(C$4:C37))),"")</f>
        <v>-3119.59</v>
      </c>
      <c r="D37" s="7" t="str">
        <f t="array" ref="D37">IF(ROWS(D$4:D37)&lt;=$B$2,INDEX(data!E$3:E$16128,SMALL(IF(data!$D$3:$D$16128='Банкя'!$B$1,ROW(data!$A$3:$A$16128)-ROW($A$3)+1),ROWS(D$4:D37))),"")</f>
        <v/>
      </c>
      <c r="E37" s="11"/>
      <c r="F37" s="11"/>
      <c r="G37" s="11"/>
      <c r="H37" s="14"/>
      <c r="I37" s="14"/>
      <c r="J37" s="14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IF(ROWS(A$4:A38)&lt;=$B$2,INDEX(data!C$3:C$16128,SMALL(IF(data!$D$3:$D$16128='Банкя'!$B$1,ROW(data!$A$3:$A$16128)-ROW($A$3)+1),ROWS(A$4:A38))),"")</f>
        <v>46069</v>
      </c>
      <c r="B38" s="19" t="str">
        <f t="array" ref="B38">IF(ROWS(B$4:B38)&lt;=$B$2,INDEX(data!A$3:A$16128,SMALL(IF(data!$D$3:$D$16128=$B$1,ROW(data!$A$3:$A$16128)-ROW($A$3)+1),ROWS(B$4:B38))),"")</f>
        <v>КАСОВА КНИГА</v>
      </c>
      <c r="C38" s="19">
        <f t="array" ref="C38">IF(ROWS(C$4:C38)&lt;=$B$2,INDEX(data!B$3:B$16128,SMALL(IF(data!$D$3:$D$16128='Банкя'!$B$1,ROW(data!$A$3:$A$16128)-ROW($A$3)+1),ROWS(C$4:C38))),"")</f>
        <v>-1200</v>
      </c>
      <c r="D38" s="7" t="str">
        <f t="array" ref="D38">IF(ROWS(D$4:D38)&lt;=$B$2,INDEX(data!E$3:E$16128,SMALL(IF(data!$D$3:$D$16128='Банкя'!$B$1,ROW(data!$A$3:$A$16128)-ROW($A$3)+1),ROWS(D$4:D38))),"")</f>
        <v/>
      </c>
      <c r="E38" s="11"/>
      <c r="F38" s="11"/>
      <c r="G38" s="11"/>
      <c r="H38" s="14"/>
      <c r="I38" s="14"/>
      <c r="J38" s="14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IF(ROWS(A$4:A39)&lt;=$B$2,INDEX(data!C$3:C$16128,SMALL(IF(data!$D$3:$D$16128='Банкя'!$B$1,ROW(data!$A$3:$A$16128)-ROW($A$3)+1),ROWS(A$4:A39))),"")</f>
        <v>46072</v>
      </c>
      <c r="B39" s="19" t="str">
        <f t="array" ref="B39">IF(ROWS(B$4:B39)&lt;=$B$2,INDEX(data!A$3:A$16128,SMALL(IF(data!$D$3:$D$16128=$B$1,ROW(data!$A$3:$A$16128)-ROW($A$3)+1),ROWS(B$4:B39))),"")</f>
        <v>Каса ВАУЧЕРИ</v>
      </c>
      <c r="C39" s="19">
        <f t="array" ref="C39">IF(ROWS(C$4:C39)&lt;=$B$2,INDEX(data!B$3:B$16128,SMALL(IF(data!$D$3:$D$16128='Банкя'!$B$1,ROW(data!$A$3:$A$16128)-ROW($A$3)+1),ROWS(C$4:C39))),"")</f>
        <v>-22</v>
      </c>
      <c r="D39" s="7" t="str">
        <f t="array" ref="D39">IF(ROWS(D$4:D39)&lt;=$B$2,INDEX(data!E$3:E$16128,SMALL(IF(data!$D$3:$D$16128='Банкя'!$B$1,ROW(data!$A$3:$A$16128)-ROW($A$3)+1),ROWS(D$4:D39))),"")</f>
        <v>за 02.02-08.02</v>
      </c>
      <c r="E39" s="11"/>
      <c r="F39" s="11"/>
      <c r="G39" s="11"/>
      <c r="H39" s="14"/>
      <c r="I39" s="14"/>
      <c r="J39" s="14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IF(ROWS(A$4:A40)&lt;=$B$2,INDEX(data!C$3:C$16128,SMALL(IF(data!$D$3:$D$16128='Банкя'!$B$1,ROW(data!$A$3:$A$16128)-ROW($A$3)+1),ROWS(A$4:A40))),"")</f>
        <v>46072</v>
      </c>
      <c r="B40" s="19" t="str">
        <f t="array" ref="B40">IF(ROWS(B$4:B40)&lt;=$B$2,INDEX(data!A$3:A$16128,SMALL(IF(data!$D$3:$D$16128=$B$1,ROW(data!$A$3:$A$16128)-ROW($A$3)+1),ROWS(B$4:B40))),"")</f>
        <v>каса ФИКТИВНА</v>
      </c>
      <c r="C40" s="19">
        <f t="array" ref="C40">IF(ROWS(C$4:C40)&lt;=$B$2,INDEX(data!B$3:B$16128,SMALL(IF(data!$D$3:$D$16128='Банкя'!$B$1,ROW(data!$A$3:$A$16128)-ROW($A$3)+1),ROWS(C$4:C40))),"")</f>
        <v>-150</v>
      </c>
      <c r="D40" s="7" t="str">
        <f t="array" ref="D40">IF(ROWS(D$4:D40)&lt;=$B$2,INDEX(data!E$3:E$16128,SMALL(IF(data!$D$3:$D$16128='Банкя'!$B$1,ROW(data!$A$3:$A$16128)-ROW($A$3)+1),ROWS(D$4:D40))),"")</f>
        <v>платени скици</v>
      </c>
      <c r="E40" s="11"/>
      <c r="F40" s="11"/>
      <c r="G40" s="11"/>
      <c r="H40" s="14"/>
      <c r="I40" s="14"/>
      <c r="J40" s="14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IF(ROWS(A$4:A41)&lt;=$B$2,INDEX(data!C$3:C$16128,SMALL(IF(data!$D$3:$D$16128='Банкя'!$B$1,ROW(data!$A$3:$A$16128)-ROW($A$3)+1),ROWS(A$4:A41))),"")</f>
        <v>46073</v>
      </c>
      <c r="B41" s="19" t="str">
        <f t="array" ref="B41">IF(ROWS(B$4:B41)&lt;=$B$2,INDEX(data!A$3:A$16128,SMALL(IF(data!$D$3:$D$16128=$B$1,ROW(data!$A$3:$A$16128)-ROW($A$3)+1),ROWS(B$4:B41))),"")</f>
        <v>КАСОВА КНИГА</v>
      </c>
      <c r="C41" s="19">
        <f t="array" ref="C41">IF(ROWS(C$4:C41)&lt;=$B$2,INDEX(data!B$3:B$16128,SMALL(IF(data!$D$3:$D$16128='Банкя'!$B$1,ROW(data!$A$3:$A$16128)-ROW($A$3)+1),ROWS(C$4:C41))),"")</f>
        <v>-1200</v>
      </c>
      <c r="D41" s="7" t="str">
        <f t="array" ref="D41">IF(ROWS(D$4:D41)&lt;=$B$2,INDEX(data!E$3:E$16128,SMALL(IF(data!$D$3:$D$16128='Банкя'!$B$1,ROW(data!$A$3:$A$16128)-ROW($A$3)+1),ROWS(D$4:D41))),"")</f>
        <v/>
      </c>
      <c r="E41" s="11"/>
      <c r="F41" s="11"/>
      <c r="G41" s="11"/>
      <c r="H41" s="14"/>
      <c r="I41" s="14"/>
      <c r="J41" s="14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IF(ROWS(A$4:A42)&lt;=$B$2,INDEX(data!C$3:C$16128,SMALL(IF(data!$D$3:$D$16128='Банкя'!$B$1,ROW(data!$A$3:$A$16128)-ROW($A$3)+1),ROWS(A$4:A42))),"")</f>
        <v>46073</v>
      </c>
      <c r="B42" s="19" t="str">
        <f t="array" ref="B42">IF(ROWS(B$4:B42)&lt;=$B$2,INDEX(data!A$3:A$16128,SMALL(IF(data!$D$3:$D$16128=$B$1,ROW(data!$A$3:$A$16128)-ROW($A$3)+1),ROWS(B$4:B42))),"")</f>
        <v>Каса ВАУЧЕРИ</v>
      </c>
      <c r="C42" s="19">
        <f t="array" ref="C42">IF(ROWS(C$4:C42)&lt;=$B$2,INDEX(data!B$3:B$16128,SMALL(IF(data!$D$3:$D$16128='Банкя'!$B$1,ROW(data!$A$3:$A$16128)-ROW($A$3)+1),ROWS(C$4:C42))),"")</f>
        <v>500</v>
      </c>
      <c r="D42" s="7" t="str">
        <f t="array" ref="D42">IF(ROWS(D$4:D42)&lt;=$B$2,INDEX(data!E$3:E$16128,SMALL(IF(data!$D$3:$D$16128='Банкя'!$B$1,ROW(data!$A$3:$A$16128)-ROW($A$3)+1),ROWS(D$4:D42))),"")</f>
        <v>ваучери персонал</v>
      </c>
      <c r="E42" s="11"/>
      <c r="F42" s="11"/>
      <c r="G42" s="11"/>
      <c r="H42" s="14"/>
      <c r="I42" s="14"/>
      <c r="J42" s="14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IF(ROWS(A$4:A43)&lt;=$B$2,INDEX(data!C$3:C$16128,SMALL(IF(data!$D$3:$D$16128='Банкя'!$B$1,ROW(data!$A$3:$A$16128)-ROW($A$3)+1),ROWS(A$4:A43))),"")</f>
        <v>46076</v>
      </c>
      <c r="B43" s="19" t="str">
        <f t="array" ref="B43">IF(ROWS(B$4:B43)&lt;=$B$2,INDEX(data!A$3:A$16128,SMALL(IF(data!$D$3:$D$16128=$B$1,ROW(data!$A$3:$A$16128)-ROW($A$3)+1),ROWS(B$4:B43))),"")</f>
        <v>MYPOS Бакалия</v>
      </c>
      <c r="C43" s="19">
        <f t="array" ref="C43">IF(ROWS(C$4:C43)&lt;=$B$2,INDEX(data!B$3:B$16128,SMALL(IF(data!$D$3:$D$16128='Банкя'!$B$1,ROW(data!$A$3:$A$16128)-ROW($A$3)+1),ROWS(C$4:C43))),"")</f>
        <v>-3623.2</v>
      </c>
      <c r="D43" s="7" t="str">
        <f t="array" ref="D43">IF(ROWS(D$4:D43)&lt;=$B$2,INDEX(data!E$3:E$16128,SMALL(IF(data!$D$3:$D$16128='Банкя'!$B$1,ROW(data!$A$3:$A$16128)-ROW($A$3)+1),ROWS(D$4:D43))),"")</f>
        <v/>
      </c>
      <c r="E43" s="11"/>
      <c r="F43" s="11"/>
      <c r="G43" s="11"/>
      <c r="H43" s="14"/>
      <c r="I43" s="14"/>
      <c r="J43" s="14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IF(ROWS(A$4:A44)&lt;=$B$2,INDEX(data!C$3:C$16128,SMALL(IF(data!$D$3:$D$16128='Банкя'!$B$1,ROW(data!$A$3:$A$16128)-ROW($A$3)+1),ROWS(A$4:A44))),"")</f>
        <v>46076</v>
      </c>
      <c r="B44" s="19" t="str">
        <f t="array" ref="B44">IF(ROWS(B$4:B44)&lt;=$B$2,INDEX(data!A$3:A$16128,SMALL(IF(data!$D$3:$D$16128=$B$1,ROW(data!$A$3:$A$16128)-ROW($A$3)+1),ROWS(B$4:B44))),"")</f>
        <v>КАСОВА КНИГА</v>
      </c>
      <c r="C44" s="19">
        <f t="array" ref="C44">IF(ROWS(C$4:C44)&lt;=$B$2,INDEX(data!B$3:B$16128,SMALL(IF(data!$D$3:$D$16128='Банкя'!$B$1,ROW(data!$A$3:$A$16128)-ROW($A$3)+1),ROWS(C$4:C44))),"")</f>
        <v>-400</v>
      </c>
      <c r="D44" s="7" t="str">
        <f t="array" ref="D44">IF(ROWS(D$4:D44)&lt;=$B$2,INDEX(data!E$3:E$16128,SMALL(IF(data!$D$3:$D$16128='Банкя'!$B$1,ROW(data!$A$3:$A$16128)-ROW($A$3)+1),ROWS(D$4:D44))),"")</f>
        <v/>
      </c>
      <c r="E44" s="11"/>
      <c r="F44" s="11"/>
      <c r="G44" s="11"/>
      <c r="H44" s="14"/>
      <c r="I44" s="14"/>
      <c r="J44" s="14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IF(ROWS(A$4:A45)&lt;=$B$2,INDEX(data!C$3:C$16128,SMALL(IF(data!$D$3:$D$16128='Банкя'!$B$1,ROW(data!$A$3:$A$16128)-ROW($A$3)+1),ROWS(A$4:A45))),"")</f>
        <v>46080</v>
      </c>
      <c r="B45" s="19" t="str">
        <f t="array" ref="B45">IF(ROWS(B$4:B45)&lt;=$B$2,INDEX(data!A$3:A$16128,SMALL(IF(data!$D$3:$D$16128=$B$1,ROW(data!$A$3:$A$16128)-ROW($A$3)+1),ROWS(B$4:B45))),"")</f>
        <v>КАСОВА КНИГА</v>
      </c>
      <c r="C45" s="19">
        <f t="array" ref="C45">IF(ROWS(C$4:C45)&lt;=$B$2,INDEX(data!B$3:B$16128,SMALL(IF(data!$D$3:$D$16128='Банкя'!$B$1,ROW(data!$A$3:$A$16128)-ROW($A$3)+1),ROWS(C$4:C45))),"")</f>
        <v>500</v>
      </c>
      <c r="D45" s="7" t="str">
        <f t="array" ref="D45">IF(ROWS(D$4:D45)&lt;=$B$2,INDEX(data!E$3:E$16128,SMALL(IF(data!$D$3:$D$16128='Банкя'!$B$1,ROW(data!$A$3:$A$16128)-ROW($A$3)+1),ROWS(D$4:D45))),"")</f>
        <v>заем</v>
      </c>
      <c r="E45" s="11"/>
      <c r="F45" s="11"/>
      <c r="G45" s="11"/>
      <c r="H45" s="14"/>
      <c r="I45" s="14"/>
      <c r="J45" s="14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IF(ROWS(A$4:A46)&lt;=$B$2,INDEX(data!C$3:C$16128,SMALL(IF(data!$D$3:$D$16128='Банкя'!$B$1,ROW(data!$A$3:$A$16128)-ROW($A$3)+1),ROWS(A$4:A46))),"")</f>
        <v>46083</v>
      </c>
      <c r="B46" s="19" t="str">
        <f t="array" ref="B46">IF(ROWS(B$4:B46)&lt;=$B$2,INDEX(data!A$3:A$16128,SMALL(IF(data!$D$3:$D$16128=$B$1,ROW(data!$A$3:$A$16128)-ROW($A$3)+1),ROWS(B$4:B46))),"")</f>
        <v>MYPOS Бакалия</v>
      </c>
      <c r="C46" s="19">
        <f t="array" ref="C46">IF(ROWS(C$4:C46)&lt;=$B$2,INDEX(data!B$3:B$16128,SMALL(IF(data!$D$3:$D$16128='Банкя'!$B$1,ROW(data!$A$3:$A$16128)-ROW($A$3)+1),ROWS(C$4:C46))),"")</f>
        <v>-3707.98</v>
      </c>
      <c r="D46" s="7" t="str">
        <f t="array" ref="D46">IF(ROWS(D$4:D46)&lt;=$B$2,INDEX(data!E$3:E$16128,SMALL(IF(data!$D$3:$D$16128='Банкя'!$B$1,ROW(data!$A$3:$A$16128)-ROW($A$3)+1),ROWS(D$4:D46))),"")</f>
        <v/>
      </c>
      <c r="E46" s="11"/>
      <c r="F46" s="11"/>
      <c r="G46" s="11"/>
      <c r="H46" s="14"/>
      <c r="I46" s="14"/>
      <c r="J46" s="14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IF(ROWS(A$4:A47)&lt;=$B$2,INDEX(data!C$3:C$16128,SMALL(IF(data!$D$3:$D$16128='Банкя'!$B$1,ROW(data!$A$3:$A$16128)-ROW($A$3)+1),ROWS(A$4:A47))),"")</f>
        <v>46083</v>
      </c>
      <c r="B47" s="19" t="str">
        <f t="array" ref="B47">IF(ROWS(B$4:B47)&lt;=$B$2,INDEX(data!A$3:A$16128,SMALL(IF(data!$D$3:$D$16128=$B$1,ROW(data!$A$3:$A$16128)-ROW($A$3)+1),ROWS(B$4:B47))),"")</f>
        <v>КАСОВА КНИГА</v>
      </c>
      <c r="C47" s="19">
        <f t="array" ref="C47">IF(ROWS(C$4:C47)&lt;=$B$2,INDEX(data!B$3:B$16128,SMALL(IF(data!$D$3:$D$16128='Банкя'!$B$1,ROW(data!$A$3:$A$16128)-ROW($A$3)+1),ROWS(C$4:C47))),"")</f>
        <v>-1000</v>
      </c>
      <c r="D47" s="7" t="str">
        <f t="array" ref="D47">IF(ROWS(D$4:D47)&lt;=$B$2,INDEX(data!E$3:E$16128,SMALL(IF(data!$D$3:$D$16128='Банкя'!$B$1,ROW(data!$A$3:$A$16128)-ROW($A$3)+1),ROWS(D$4:D47))),"")</f>
        <v/>
      </c>
      <c r="E47" s="11"/>
      <c r="F47" s="11"/>
      <c r="G47" s="11"/>
      <c r="H47" s="14"/>
      <c r="I47" s="14"/>
      <c r="J47" s="14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IF(ROWS(A$4:A48)&lt;=$B$2,INDEX(data!C$3:C$16128,SMALL(IF(data!$D$3:$D$16128='Банкя'!$B$1,ROW(data!$A$3:$A$16128)-ROW($A$3)+1),ROWS(A$4:A48))),"")</f>
        <v>46086</v>
      </c>
      <c r="B48" s="19" t="str">
        <f t="array" ref="B48">IF(ROWS(B$4:B48)&lt;=$B$2,INDEX(data!A$3:A$16128,SMALL(IF(data!$D$3:$D$16128=$B$1,ROW(data!$A$3:$A$16128)-ROW($A$3)+1),ROWS(B$4:B48))),"")</f>
        <v>ЗАЕМ</v>
      </c>
      <c r="C48" s="19">
        <f t="array" ref="C48">IF(ROWS(C$4:C48)&lt;=$B$2,INDEX(data!B$3:B$16128,SMALL(IF(data!$D$3:$D$16128='Банкя'!$B$1,ROW(data!$A$3:$A$16128)-ROW($A$3)+1),ROWS(C$4:C48))),"")</f>
        <v>20560.97</v>
      </c>
      <c r="D48" s="7" t="str">
        <f t="array" ref="D48">IF(ROWS(D$4:D48)&lt;=$B$2,INDEX(data!E$3:E$16128,SMALL(IF(data!$D$3:$D$16128='Банкя'!$B$1,ROW(data!$A$3:$A$16128)-ROW($A$3)+1),ROWS(D$4:D48))),"")</f>
        <v>Салдо склад + вътр. п-не</v>
      </c>
      <c r="E48" s="11"/>
      <c r="F48" s="11"/>
      <c r="G48" s="11"/>
      <c r="H48" s="14"/>
      <c r="I48" s="14"/>
      <c r="J48" s="14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IF(ROWS(A$4:A49)&lt;=$B$2,INDEX(data!C$3:C$16128,SMALL(IF(data!$D$3:$D$16128='Банкя'!$B$1,ROW(data!$A$3:$A$16128)-ROW($A$3)+1),ROWS(A$4:A49))),"")</f>
        <v>46090</v>
      </c>
      <c r="B49" s="19" t="str">
        <f t="array" ref="B49">IF(ROWS(B$4:B49)&lt;=$B$2,INDEX(data!A$3:A$16128,SMALL(IF(data!$D$3:$D$16128=$B$1,ROW(data!$A$3:$A$16128)-ROW($A$3)+1),ROWS(B$4:B49))),"")</f>
        <v>MYPOS Бакалия</v>
      </c>
      <c r="C49" s="19">
        <f t="array" ref="C49">IF(ROWS(C$4:C49)&lt;=$B$2,INDEX(data!B$3:B$16128,SMALL(IF(data!$D$3:$D$16128='Банкя'!$B$1,ROW(data!$A$3:$A$16128)-ROW($A$3)+1),ROWS(C$4:C49))),"")</f>
        <v>-3205.38</v>
      </c>
      <c r="D49" s="7" t="str">
        <f t="array" ref="D49">IF(ROWS(D$4:D49)&lt;=$B$2,INDEX(data!E$3:E$16128,SMALL(IF(data!$D$3:$D$16128='Банкя'!$B$1,ROW(data!$A$3:$A$16128)-ROW($A$3)+1),ROWS(D$4:D49))),"")</f>
        <v/>
      </c>
      <c r="E49" s="11"/>
      <c r="F49" s="11"/>
      <c r="G49" s="11"/>
      <c r="H49" s="14"/>
      <c r="I49" s="14"/>
      <c r="J49" s="14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IF(ROWS(A$4:A50)&lt;=$B$2,INDEX(data!C$3:C$16128,SMALL(IF(data!$D$3:$D$16128='Банкя'!$B$1,ROW(data!$A$3:$A$16128)-ROW($A$3)+1),ROWS(A$4:A50))),"")</f>
        <v>46090</v>
      </c>
      <c r="B50" s="19" t="str">
        <f t="array" ref="B50">IF(ROWS(B$4:B50)&lt;=$B$2,INDEX(data!A$3:A$16128,SMALL(IF(data!$D$3:$D$16128=$B$1,ROW(data!$A$3:$A$16128)-ROW($A$3)+1),ROWS(B$4:B50))),"")</f>
        <v>КАСОВА КНИГА</v>
      </c>
      <c r="C50" s="19">
        <f t="array" ref="C50">IF(ROWS(C$4:C50)&lt;=$B$2,INDEX(data!B$3:B$16128,SMALL(IF(data!$D$3:$D$16128='Банкя'!$B$1,ROW(data!$A$3:$A$16128)-ROW($A$3)+1),ROWS(C$4:C50))),"")</f>
        <v>-1500</v>
      </c>
      <c r="D50" s="7" t="str">
        <f t="array" ref="D50">IF(ROWS(D$4:D50)&lt;=$B$2,INDEX(data!E$3:E$16128,SMALL(IF(data!$D$3:$D$16128='Банкя'!$B$1,ROW(data!$A$3:$A$16128)-ROW($A$3)+1),ROWS(D$4:D50))),"")</f>
        <v/>
      </c>
      <c r="E50" s="11"/>
      <c r="F50" s="11"/>
      <c r="G50" s="11"/>
      <c r="H50" s="14"/>
      <c r="I50" s="14"/>
      <c r="J50" s="14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IF(ROWS(A$4:A51)&lt;=$B$2,INDEX(data!C$3:C$16128,SMALL(IF(data!$D$3:$D$16128='Банкя'!$B$1,ROW(data!$A$3:$A$16128)-ROW($A$3)+1),ROWS(A$4:A51))),"")</f>
        <v>46090</v>
      </c>
      <c r="B51" s="19" t="str">
        <f t="array" ref="B51">IF(ROWS(B$4:B51)&lt;=$B$2,INDEX(data!A$3:A$16128,SMALL(IF(data!$D$3:$D$16128=$B$1,ROW(data!$A$3:$A$16128)-ROW($A$3)+1),ROWS(B$4:B51))),"")</f>
        <v>ПроКредит бакал</v>
      </c>
      <c r="C51" s="19">
        <f t="array" ref="C51">IF(ROWS(C$4:C51)&lt;=$B$2,INDEX(data!B$3:B$16128,SMALL(IF(data!$D$3:$D$16128='Банкя'!$B$1,ROW(data!$A$3:$A$16128)-ROW($A$3)+1),ROWS(C$4:C51))),"")</f>
        <v>-160.64</v>
      </c>
      <c r="D51" s="7" t="str">
        <f t="array" ref="D51">IF(ROWS(D$4:D51)&lt;=$B$2,INDEX(data!E$3:E$16128,SMALL(IF(data!$D$3:$D$16128='Банкя'!$B$1,ROW(data!$A$3:$A$16128)-ROW($A$3)+1),ROWS(D$4:D51))),"")</f>
        <v/>
      </c>
      <c r="E51" s="11"/>
      <c r="F51" s="11"/>
      <c r="G51" s="11"/>
      <c r="H51" s="14"/>
      <c r="I51" s="14"/>
      <c r="J51" s="14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IF(ROWS(A$4:A52)&lt;=$B$2,INDEX(data!C$3:C$16128,SMALL(IF(data!$D$3:$D$16128='Банкя'!$B$1,ROW(data!$A$3:$A$16128)-ROW($A$3)+1),ROWS(A$4:A52))),"")</f>
        <v>46094</v>
      </c>
      <c r="B52" s="19" t="str">
        <f t="array" ref="B52">IF(ROWS(B$4:B52)&lt;=$B$2,INDEX(data!A$3:A$16128,SMALL(IF(data!$D$3:$D$16128=$B$1,ROW(data!$A$3:$A$16128)-ROW($A$3)+1),ROWS(B$4:B52))),"")</f>
        <v>каса ФИКТИВНА</v>
      </c>
      <c r="C52" s="19">
        <f t="array" ref="C52">IF(ROWS(C$4:C52)&lt;=$B$2,INDEX(data!B$3:B$16128,SMALL(IF(data!$D$3:$D$16128='Банкя'!$B$1,ROW(data!$A$3:$A$16128)-ROW($A$3)+1),ROWS(C$4:C52))),"")</f>
        <v>-400</v>
      </c>
      <c r="D52" s="7" t="str">
        <f t="array" ref="D52">IF(ROWS(D$4:D52)&lt;=$B$2,INDEX(data!E$3:E$16128,SMALL(IF(data!$D$3:$D$16128='Банкя'!$B$1,ROW(data!$A$3:$A$16128)-ROW($A$3)+1),ROWS(D$4:D52))),"")</f>
        <v>Ния от заплатата</v>
      </c>
      <c r="E52" s="11"/>
      <c r="F52" s="11"/>
      <c r="G52" s="11"/>
      <c r="H52" s="14"/>
      <c r="I52" s="14"/>
      <c r="J52" s="14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IF(ROWS(A$4:A53)&lt;=$B$2,INDEX(data!C$3:C$16128,SMALL(IF(data!$D$3:$D$16128='Банкя'!$B$1,ROW(data!$A$3:$A$16128)-ROW($A$3)+1),ROWS(A$4:A53))),"")</f>
        <v>46097</v>
      </c>
      <c r="B53" s="19" t="str">
        <f t="array" ref="B53">IF(ROWS(B$4:B53)&lt;=$B$2,INDEX(data!A$3:A$16128,SMALL(IF(data!$D$3:$D$16128=$B$1,ROW(data!$A$3:$A$16128)-ROW($A$3)+1),ROWS(B$4:B53))),"")</f>
        <v>MYPOS Бакалия</v>
      </c>
      <c r="C53" s="19">
        <f t="array" ref="C53">IF(ROWS(C$4:C53)&lt;=$B$2,INDEX(data!B$3:B$16128,SMALL(IF(data!$D$3:$D$16128='Банкя'!$B$1,ROW(data!$A$3:$A$16128)-ROW($A$3)+1),ROWS(C$4:C53))),"")</f>
        <v>-3120.91</v>
      </c>
      <c r="D53" s="7" t="str">
        <f t="array" ref="D53">IF(ROWS(D$4:D53)&lt;=$B$2,INDEX(data!E$3:E$16128,SMALL(IF(data!$D$3:$D$16128='Банкя'!$B$1,ROW(data!$A$3:$A$16128)-ROW($A$3)+1),ROWS(D$4:D53))),"")</f>
        <v/>
      </c>
      <c r="E53" s="11"/>
      <c r="F53" s="11"/>
      <c r="G53" s="11"/>
      <c r="H53" s="14"/>
      <c r="I53" s="14"/>
      <c r="J53" s="14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IF(ROWS(A$4:A54)&lt;=$B$2,INDEX(data!C$3:C$16128,SMALL(IF(data!$D$3:$D$16128='Банкя'!$B$1,ROW(data!$A$3:$A$16128)-ROW($A$3)+1),ROWS(A$4:A54))),"")</f>
        <v>46097</v>
      </c>
      <c r="B54" s="19" t="str">
        <f t="array" ref="B54">IF(ROWS(B$4:B54)&lt;=$B$2,INDEX(data!A$3:A$16128,SMALL(IF(data!$D$3:$D$16128=$B$1,ROW(data!$A$3:$A$16128)-ROW($A$3)+1),ROWS(B$4:B54))),"")</f>
        <v>КАСОВА КНИГА</v>
      </c>
      <c r="C54" s="19">
        <f t="array" ref="C54">IF(ROWS(C$4:C54)&lt;=$B$2,INDEX(data!B$3:B$16128,SMALL(IF(data!$D$3:$D$16128='Банкя'!$B$1,ROW(data!$A$3:$A$16128)-ROW($A$3)+1),ROWS(C$4:C54))),"")</f>
        <v>-3000</v>
      </c>
      <c r="D54" s="7" t="str">
        <f t="array" ref="D54">IF(ROWS(D$4:D54)&lt;=$B$2,INDEX(data!E$3:E$16128,SMALL(IF(data!$D$3:$D$16128='Банкя'!$B$1,ROW(data!$A$3:$A$16128)-ROW($A$3)+1),ROWS(D$4:D54))),"")</f>
        <v/>
      </c>
      <c r="E54" s="11"/>
      <c r="F54" s="11"/>
      <c r="G54" s="11"/>
      <c r="H54" s="14"/>
      <c r="I54" s="14"/>
      <c r="J54" s="14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IF(ROWS(A$4:A55)&lt;=$B$2,INDEX(data!C$3:C$16128,SMALL(IF(data!$D$3:$D$16128='Банкя'!$B$1,ROW(data!$A$3:$A$16128)-ROW($A$3)+1),ROWS(A$4:A55))),"")</f>
        <v>46097</v>
      </c>
      <c r="B55" s="19" t="str">
        <f t="array" ref="B55">IF(ROWS(B$4:B55)&lt;=$B$2,INDEX(data!A$3:A$16128,SMALL(IF(data!$D$3:$D$16128=$B$1,ROW(data!$A$3:$A$16128)-ROW($A$3)+1),ROWS(B$4:B55))),"")</f>
        <v>ПОС ДСК Бакалия</v>
      </c>
      <c r="C55" s="19">
        <f t="array" ref="C55">IF(ROWS(C$4:C55)&lt;=$B$2,INDEX(data!B$3:B$16128,SMALL(IF(data!$D$3:$D$16128='Банкя'!$B$1,ROW(data!$A$3:$A$16128)-ROW($A$3)+1),ROWS(C$4:C55))),"")</f>
        <v>-145.64</v>
      </c>
      <c r="D55" s="7" t="str">
        <f t="array" ref="D55">IF(ROWS(D$4:D55)&lt;=$B$2,INDEX(data!E$3:E$16128,SMALL(IF(data!$D$3:$D$16128='Банкя'!$B$1,ROW(data!$A$3:$A$16128)-ROW($A$3)+1),ROWS(D$4:D55))),"")</f>
        <v/>
      </c>
      <c r="E55" s="11"/>
      <c r="F55" s="11"/>
      <c r="G55" s="11"/>
      <c r="H55" s="14"/>
      <c r="I55" s="14"/>
      <c r="J55" s="14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IF(ROWS(A$4:A56)&lt;=$B$2,INDEX(data!C$3:C$16128,SMALL(IF(data!$D$3:$D$16128='Банкя'!$B$1,ROW(data!$A$3:$A$16128)-ROW($A$3)+1),ROWS(A$4:A56))),"")</f>
        <v>46104</v>
      </c>
      <c r="B56" s="19" t="str">
        <f t="array" ref="B56">IF(ROWS(B$4:B56)&lt;=$B$2,INDEX(data!A$3:A$16128,SMALL(IF(data!$D$3:$D$16128=$B$1,ROW(data!$A$3:$A$16128)-ROW($A$3)+1),ROWS(B$4:B56))),"")</f>
        <v>MYPOS Бакалия</v>
      </c>
      <c r="C56" s="19">
        <f t="array" ref="C56">IF(ROWS(C$4:C56)&lt;=$B$2,INDEX(data!B$3:B$16128,SMALL(IF(data!$D$3:$D$16128='Банкя'!$B$1,ROW(data!$A$3:$A$16128)-ROW($A$3)+1),ROWS(C$4:C56))),"")</f>
        <v>-3323.78</v>
      </c>
      <c r="D56" s="7" t="str">
        <f t="array" ref="D56">IF(ROWS(D$4:D56)&lt;=$B$2,INDEX(data!E$3:E$16128,SMALL(IF(data!$D$3:$D$16128='Банкя'!$B$1,ROW(data!$A$3:$A$16128)-ROW($A$3)+1),ROWS(D$4:D56))),"")</f>
        <v/>
      </c>
      <c r="E56" s="11"/>
      <c r="F56" s="11"/>
      <c r="G56" s="11"/>
      <c r="H56" s="14"/>
      <c r="I56" s="14"/>
      <c r="J56" s="14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IF(ROWS(A$4:A57)&lt;=$B$2,INDEX(data!C$3:C$16128,SMALL(IF(data!$D$3:$D$16128='Банкя'!$B$1,ROW(data!$A$3:$A$16128)-ROW($A$3)+1),ROWS(A$4:A57))),"")</f>
        <v>46104</v>
      </c>
      <c r="B57" s="19" t="str">
        <f t="array" ref="B57">IF(ROWS(B$4:B57)&lt;=$B$2,INDEX(data!A$3:A$16128,SMALL(IF(data!$D$3:$D$16128=$B$1,ROW(data!$A$3:$A$16128)-ROW($A$3)+1),ROWS(B$4:B57))),"")</f>
        <v>КАСОВА КНИГА</v>
      </c>
      <c r="C57" s="19">
        <f t="array" ref="C57">IF(ROWS(C$4:C57)&lt;=$B$2,INDEX(data!B$3:B$16128,SMALL(IF(data!$D$3:$D$16128='Банкя'!$B$1,ROW(data!$A$3:$A$16128)-ROW($A$3)+1),ROWS(C$4:C57))),"")</f>
        <v>-1500</v>
      </c>
      <c r="D57" s="7" t="str">
        <f t="array" ref="D57">IF(ROWS(D$4:D57)&lt;=$B$2,INDEX(data!E$3:E$16128,SMALL(IF(data!$D$3:$D$16128='Банкя'!$B$1,ROW(data!$A$3:$A$16128)-ROW($A$3)+1),ROWS(D$4:D57))),"")</f>
        <v/>
      </c>
      <c r="E57" s="11"/>
      <c r="F57" s="11"/>
      <c r="G57" s="11"/>
      <c r="H57" s="14"/>
      <c r="I57" s="14"/>
      <c r="J57" s="14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IF(ROWS(A$4:A58)&lt;=$B$2,INDEX(data!C$3:C$16128,SMALL(IF(data!$D$3:$D$16128='Банкя'!$B$1,ROW(data!$A$3:$A$16128)-ROW($A$3)+1),ROWS(A$4:A58))),"")</f>
        <v>46104</v>
      </c>
      <c r="B58" s="19" t="str">
        <f t="array" ref="B58">IF(ROWS(B$4:B58)&lt;=$B$2,INDEX(data!A$3:A$16128,SMALL(IF(data!$D$3:$D$16128=$B$1,ROW(data!$A$3:$A$16128)-ROW($A$3)+1),ROWS(B$4:B58))),"")</f>
        <v>Каса ВАУЧЕРИ</v>
      </c>
      <c r="C58" s="19">
        <f t="array" ref="C58">IF(ROWS(C$4:C58)&lt;=$B$2,INDEX(data!B$3:B$16128,SMALL(IF(data!$D$3:$D$16128='Банкя'!$B$1,ROW(data!$A$3:$A$16128)-ROW($A$3)+1),ROWS(C$4:C58))),"")</f>
        <v>700</v>
      </c>
      <c r="D58" s="7" t="str">
        <f t="array" ref="D58">IF(ROWS(D$4:D58)&lt;=$B$2,INDEX(data!E$3:E$16128,SMALL(IF(data!$D$3:$D$16128='Банкя'!$B$1,ROW(data!$A$3:$A$16128)-ROW($A$3)+1),ROWS(D$4:D58))),"")</f>
        <v>ваучери персонал</v>
      </c>
      <c r="E58" s="11"/>
      <c r="F58" s="11"/>
      <c r="G58" s="11"/>
      <c r="H58" s="14"/>
      <c r="I58" s="14"/>
      <c r="J58" s="14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IF(ROWS(A$4:A59)&lt;=$B$2,INDEX(data!C$3:C$16128,SMALL(IF(data!$D$3:$D$16128='Банкя'!$B$1,ROW(data!$A$3:$A$16128)-ROW($A$3)+1),ROWS(A$4:A59))),"")</f>
        <v>46111</v>
      </c>
      <c r="B59" s="19" t="str">
        <f t="array" ref="B59">IF(ROWS(B$4:B59)&lt;=$B$2,INDEX(data!A$3:A$16128,SMALL(IF(data!$D$3:$D$16128=$B$1,ROW(data!$A$3:$A$16128)-ROW($A$3)+1),ROWS(B$4:B59))),"")</f>
        <v>MYPOS Бакалия</v>
      </c>
      <c r="C59" s="19">
        <f t="array" ref="C59">IF(ROWS(C$4:C59)&lt;=$B$2,INDEX(data!B$3:B$16128,SMALL(IF(data!$D$3:$D$16128='Банкя'!$B$1,ROW(data!$A$3:$A$16128)-ROW($A$3)+1),ROWS(C$4:C59))),"")</f>
        <v>-3256.36</v>
      </c>
      <c r="D59" s="7" t="str">
        <f t="array" ref="D59">IF(ROWS(D$4:D59)&lt;=$B$2,INDEX(data!E$3:E$16128,SMALL(IF(data!$D$3:$D$16128='Банкя'!$B$1,ROW(data!$A$3:$A$16128)-ROW($A$3)+1),ROWS(D$4:D59))),"")</f>
        <v/>
      </c>
      <c r="E59" s="11"/>
      <c r="F59" s="11"/>
      <c r="G59" s="11"/>
      <c r="H59" s="14"/>
      <c r="I59" s="14"/>
      <c r="J59" s="14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IF(ROWS(A$4:A60)&lt;=$B$2,INDEX(data!C$3:C$16128,SMALL(IF(data!$D$3:$D$16128='Банкя'!$B$1,ROW(data!$A$3:$A$16128)-ROW($A$3)+1),ROWS(A$4:A60))),"")</f>
        <v>46112</v>
      </c>
      <c r="B60" s="19" t="str">
        <f t="array" ref="B60">IF(ROWS(B$4:B60)&lt;=$B$2,INDEX(data!A$3:A$16128,SMALL(IF(data!$D$3:$D$16128=$B$1,ROW(data!$A$3:$A$16128)-ROW($A$3)+1),ROWS(B$4:B60))),"")</f>
        <v>ЗАЕМ</v>
      </c>
      <c r="C60" s="19">
        <f t="array" ref="C60">IF(ROWS(C$4:C60)&lt;=$B$2,INDEX(data!B$3:B$16128,SMALL(IF(data!$D$3:$D$16128='Банкя'!$B$1,ROW(data!$A$3:$A$16128)-ROW($A$3)+1),ROWS(C$4:C60))),"")</f>
        <v>24841.09</v>
      </c>
      <c r="D60" s="7" t="str">
        <f t="array" ref="D60">IF(ROWS(D$4:D60)&lt;=$B$2,INDEX(data!E$3:E$16128,SMALL(IF(data!$D$3:$D$16128='Банкя'!$B$1,ROW(data!$A$3:$A$16128)-ROW($A$3)+1),ROWS(D$4:D60))),"")</f>
        <v>Салдо склад + вътр</v>
      </c>
      <c r="E60" s="11"/>
      <c r="F60" s="11"/>
      <c r="G60" s="11"/>
      <c r="H60" s="14"/>
      <c r="I60" s="14"/>
      <c r="J60" s="14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IF(ROWS(A$4:A61)&lt;=$B$2,INDEX(data!C$3:C$16128,SMALL(IF(data!$D$3:$D$16128='Банкя'!$B$1,ROW(data!$A$3:$A$16128)-ROW($A$3)+1),ROWS(A$4:A61))),"")</f>
        <v>46118</v>
      </c>
      <c r="B61" s="19" t="str">
        <f t="array" ref="B61">IF(ROWS(B$4:B61)&lt;=$B$2,INDEX(data!A$3:A$16128,SMALL(IF(data!$D$3:$D$16128=$B$1,ROW(data!$A$3:$A$16128)-ROW($A$3)+1),ROWS(B$4:B61))),"")</f>
        <v>MYPOS Бакалия</v>
      </c>
      <c r="C61" s="19">
        <f t="array" ref="C61">IF(ROWS(C$4:C61)&lt;=$B$2,INDEX(data!B$3:B$16128,SMALL(IF(data!$D$3:$D$16128='Банкя'!$B$1,ROW(data!$A$3:$A$16128)-ROW($A$3)+1),ROWS(C$4:C61))),"")</f>
        <v>-3512.82</v>
      </c>
      <c r="D61" s="7" t="str">
        <f t="array" ref="D61">IF(ROWS(D$4:D61)&lt;=$B$2,INDEX(data!E$3:E$16128,SMALL(IF(data!$D$3:$D$16128='Банкя'!$B$1,ROW(data!$A$3:$A$16128)-ROW($A$3)+1),ROWS(D$4:D61))),"")</f>
        <v/>
      </c>
      <c r="E61" s="11"/>
      <c r="F61" s="11"/>
      <c r="G61" s="11"/>
      <c r="H61" s="14"/>
      <c r="I61" s="14"/>
      <c r="J61" s="14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IF(ROWS(A$4:A62)&lt;=$B$2,INDEX(data!C$3:C$16128,SMALL(IF(data!$D$3:$D$16128='Банкя'!$B$1,ROW(data!$A$3:$A$16128)-ROW($A$3)+1),ROWS(A$4:A62))),"")</f>
        <v>46118</v>
      </c>
      <c r="B62" s="19" t="str">
        <f t="array" ref="B62">IF(ROWS(B$4:B62)&lt;=$B$2,INDEX(data!A$3:A$16128,SMALL(IF(data!$D$3:$D$16128=$B$1,ROW(data!$A$3:$A$16128)-ROW($A$3)+1),ROWS(B$4:B62))),"")</f>
        <v>КАСОВА КНИГА</v>
      </c>
      <c r="C62" s="19">
        <f t="array" ref="C62">IF(ROWS(C$4:C62)&lt;=$B$2,INDEX(data!B$3:B$16128,SMALL(IF(data!$D$3:$D$16128='Банкя'!$B$1,ROW(data!$A$3:$A$16128)-ROW($A$3)+1),ROWS(C$4:C62))),"")</f>
        <v>-1499.995</v>
      </c>
      <c r="D62" s="7" t="str">
        <f t="array" ref="D62">IF(ROWS(D$4:D62)&lt;=$B$2,INDEX(data!E$3:E$16128,SMALL(IF(data!$D$3:$D$16128='Банкя'!$B$1,ROW(data!$A$3:$A$16128)-ROW($A$3)+1),ROWS(D$4:D62))),"")</f>
        <v/>
      </c>
      <c r="E62" s="11"/>
      <c r="F62" s="11"/>
      <c r="G62" s="11"/>
      <c r="H62" s="14"/>
      <c r="I62" s="14"/>
      <c r="J62" s="14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IF(ROWS(A$4:A63)&lt;=$B$2,INDEX(data!C$3:C$16128,SMALL(IF(data!$D$3:$D$16128='Банкя'!$B$1,ROW(data!$A$3:$A$16128)-ROW($A$3)+1),ROWS(A$4:A63))),"")</f>
        <v>46122</v>
      </c>
      <c r="B63" s="19" t="str">
        <f t="array" ref="B63">IF(ROWS(B$4:B63)&lt;=$B$2,INDEX(data!A$3:A$16128,SMALL(IF(data!$D$3:$D$16128=$B$1,ROW(data!$A$3:$A$16128)-ROW($A$3)+1),ROWS(B$4:B63))),"")</f>
        <v>каса ФИКТИВНА</v>
      </c>
      <c r="C63" s="19">
        <f t="array" ref="C63">IF(ROWS(C$4:C63)&lt;=$B$2,INDEX(data!B$3:B$16128,SMALL(IF(data!$D$3:$D$16128='Банкя'!$B$1,ROW(data!$A$3:$A$16128)-ROW($A$3)+1),ROWS(C$4:C63))),"")</f>
        <v>-100</v>
      </c>
      <c r="D63" s="7" t="str">
        <f t="array" ref="D63">IF(ROWS(D$4:D63)&lt;=$B$2,INDEX(data!E$3:E$16128,SMALL(IF(data!$D$3:$D$16128='Банкя'!$B$1,ROW(data!$A$3:$A$16128)-ROW($A$3)+1),ROWS(D$4:D63))),"")</f>
        <v>Ния от заплатата</v>
      </c>
      <c r="E63" s="11"/>
      <c r="F63" s="11"/>
      <c r="G63" s="11"/>
      <c r="H63" s="14"/>
      <c r="I63" s="14"/>
      <c r="J63" s="14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IF(ROWS(A$4:A64)&lt;=$B$2,INDEX(data!C$3:C$16128,SMALL(IF(data!$D$3:$D$16128='Банкя'!$B$1,ROW(data!$A$3:$A$16128)-ROW($A$3)+1),ROWS(A$4:A64))),"")</f>
        <v>46122</v>
      </c>
      <c r="B64" s="19" t="str">
        <f t="array" ref="B64">IF(ROWS(B$4:B64)&lt;=$B$2,INDEX(data!A$3:A$16128,SMALL(IF(data!$D$3:$D$16128=$B$1,ROW(data!$A$3:$A$16128)-ROW($A$3)+1),ROWS(B$4:B64))),"")</f>
        <v>каса ФИКТИВНА</v>
      </c>
      <c r="C64" s="19">
        <f t="array" ref="C64">IF(ROWS(C$4:C64)&lt;=$B$2,INDEX(data!B$3:B$16128,SMALL(IF(data!$D$3:$D$16128='Банкя'!$B$1,ROW(data!$A$3:$A$16128)-ROW($A$3)+1),ROWS(C$4:C64))),"")</f>
        <v>-46</v>
      </c>
      <c r="D64" s="7" t="str">
        <f t="array" ref="D64">IF(ROWS(D$4:D64)&lt;=$B$2,INDEX(data!E$3:E$16128,SMALL(IF(data!$D$3:$D$16128='Банкя'!$B$1,ROW(data!$A$3:$A$16128)-ROW($A$3)+1),ROWS(D$4:D64))),"")</f>
        <v>колет Ния</v>
      </c>
      <c r="E64" s="11"/>
      <c r="F64" s="11"/>
      <c r="G64" s="11"/>
      <c r="H64" s="14"/>
      <c r="I64" s="14"/>
      <c r="J64" s="14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IF(ROWS(A$4:A65)&lt;=$B$2,INDEX(data!C$3:C$16128,SMALL(IF(data!$D$3:$D$16128='Банкя'!$B$1,ROW(data!$A$3:$A$16128)-ROW($A$3)+1),ROWS(A$4:A65))),"")</f>
        <v>46126</v>
      </c>
      <c r="B65" s="19" t="str">
        <f t="array" ref="B65">IF(ROWS(B$4:B65)&lt;=$B$2,INDEX(data!A$3:A$16128,SMALL(IF(data!$D$3:$D$16128=$B$1,ROW(data!$A$3:$A$16128)-ROW($A$3)+1),ROWS(B$4:B65))),"")</f>
        <v>MYPOS Бакалия</v>
      </c>
      <c r="C65" s="19">
        <f t="array" ref="C65">IF(ROWS(C$4:C65)&lt;=$B$2,INDEX(data!B$3:B$16128,SMALL(IF(data!$D$3:$D$16128='Банкя'!$B$1,ROW(data!$A$3:$A$16128)-ROW($A$3)+1),ROWS(C$4:C65))),"")</f>
        <v>-3698.32</v>
      </c>
      <c r="D65" s="7" t="str">
        <f t="array" ref="D65">IF(ROWS(D$4:D65)&lt;=$B$2,INDEX(data!E$3:E$16128,SMALL(IF(data!$D$3:$D$16128='Банкя'!$B$1,ROW(data!$A$3:$A$16128)-ROW($A$3)+1),ROWS(D$4:D65))),"")</f>
        <v/>
      </c>
      <c r="E65" s="11"/>
      <c r="F65" s="11"/>
      <c r="G65" s="11"/>
      <c r="H65" s="14"/>
      <c r="I65" s="14"/>
      <c r="J65" s="14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IF(ROWS(A$4:A66)&lt;=$B$2,INDEX(data!C$3:C$16128,SMALL(IF(data!$D$3:$D$16128='Банкя'!$B$1,ROW(data!$A$3:$A$16128)-ROW($A$3)+1),ROWS(A$4:A66))),"")</f>
        <v>46126</v>
      </c>
      <c r="B66" s="19" t="str">
        <f t="array" ref="B66">IF(ROWS(B$4:B66)&lt;=$B$2,INDEX(data!A$3:A$16128,SMALL(IF(data!$D$3:$D$16128=$B$1,ROW(data!$A$3:$A$16128)-ROW($A$3)+1),ROWS(B$4:B66))),"")</f>
        <v>КАСОВА КНИГА</v>
      </c>
      <c r="C66" s="19">
        <f t="array" ref="C66">IF(ROWS(C$4:C66)&lt;=$B$2,INDEX(data!B$3:B$16128,SMALL(IF(data!$D$3:$D$16128='Банкя'!$B$1,ROW(data!$A$3:$A$16128)-ROW($A$3)+1),ROWS(C$4:C66))),"")</f>
        <v>-1100</v>
      </c>
      <c r="D66" s="7" t="str">
        <f t="array" ref="D66">IF(ROWS(D$4:D66)&lt;=$B$2,INDEX(data!E$3:E$16128,SMALL(IF(data!$D$3:$D$16128='Банкя'!$B$1,ROW(data!$A$3:$A$16128)-ROW($A$3)+1),ROWS(D$4:D66))),"")</f>
        <v/>
      </c>
      <c r="E66" s="11"/>
      <c r="F66" s="11"/>
      <c r="G66" s="11"/>
      <c r="H66" s="14"/>
      <c r="I66" s="14"/>
      <c r="J66" s="14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IF(ROWS(A$4:A67)&lt;=$B$2,INDEX(data!C$3:C$16128,SMALL(IF(data!$D$3:$D$16128='Банкя'!$B$1,ROW(data!$A$3:$A$16128)-ROW($A$3)+1),ROWS(A$4:A67))),"")</f>
        <v>46132</v>
      </c>
      <c r="B67" s="19" t="str">
        <f t="array" ref="B67">IF(ROWS(B$4:B67)&lt;=$B$2,INDEX(data!A$3:A$16128,SMALL(IF(data!$D$3:$D$16128=$B$1,ROW(data!$A$3:$A$16128)-ROW($A$3)+1),ROWS(B$4:B67))),"")</f>
        <v>КАСОВА КНИГА</v>
      </c>
      <c r="C67" s="19">
        <f t="array" ref="C67">IF(ROWS(C$4:C67)&lt;=$B$2,INDEX(data!B$3:B$16128,SMALL(IF(data!$D$3:$D$16128='Банкя'!$B$1,ROW(data!$A$3:$A$16128)-ROW($A$3)+1),ROWS(C$4:C67))),"")</f>
        <v>-1500</v>
      </c>
      <c r="D67" s="7" t="str">
        <f t="array" ref="D67">IF(ROWS(D$4:D67)&lt;=$B$2,INDEX(data!E$3:E$16128,SMALL(IF(data!$D$3:$D$16128='Банкя'!$B$1,ROW(data!$A$3:$A$16128)-ROW($A$3)+1),ROWS(D$4:D67))),"")</f>
        <v/>
      </c>
      <c r="E67" s="11"/>
      <c r="F67" s="11"/>
      <c r="G67" s="11"/>
      <c r="H67" s="14"/>
      <c r="I67" s="14"/>
      <c r="J67" s="14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IF(ROWS(A$4:A68)&lt;=$B$2,INDEX(data!C$3:C$16128,SMALL(IF(data!$D$3:$D$16128='Банкя'!$B$1,ROW(data!$A$3:$A$16128)-ROW($A$3)+1),ROWS(A$4:A68))),"")</f>
        <v>46132</v>
      </c>
      <c r="B68" s="19" t="str">
        <f t="array" ref="B68">IF(ROWS(B$4:B68)&lt;=$B$2,INDEX(data!A$3:A$16128,SMALL(IF(data!$D$3:$D$16128=$B$1,ROW(data!$A$3:$A$16128)-ROW($A$3)+1),ROWS(B$4:B68))),"")</f>
        <v>каса ФИКТИВНА</v>
      </c>
      <c r="C68" s="19">
        <f t="array" ref="C68">IF(ROWS(C$4:C68)&lt;=$B$2,INDEX(data!B$3:B$16128,SMALL(IF(data!$D$3:$D$16128='Банкя'!$B$1,ROW(data!$A$3:$A$16128)-ROW($A$3)+1),ROWS(C$4:C68))),"")</f>
        <v>-74.21</v>
      </c>
      <c r="D68" s="7" t="str">
        <f t="array" ref="D68">IF(ROWS(D$4:D68)&lt;=$B$2,INDEX(data!E$3:E$16128,SMALL(IF(data!$D$3:$D$16128='Банкя'!$B$1,ROW(data!$A$3:$A$16128)-ROW($A$3)+1),ROWS(D$4:D68))),"")</f>
        <v>колет Ния</v>
      </c>
      <c r="E68" s="11"/>
      <c r="F68" s="11"/>
      <c r="G68" s="11"/>
      <c r="H68" s="14"/>
      <c r="I68" s="14"/>
      <c r="J68" s="14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IF(ROWS(A$4:A69)&lt;=$B$2,INDEX(data!C$3:C$16128,SMALL(IF(data!$D$3:$D$16128='Банкя'!$B$1,ROW(data!$A$3:$A$16128)-ROW($A$3)+1),ROWS(A$4:A69))),"")</f>
        <v>46132</v>
      </c>
      <c r="B69" s="19" t="str">
        <f t="array" ref="B69">IF(ROWS(B$4:B69)&lt;=$B$2,INDEX(data!A$3:A$16128,SMALL(IF(data!$D$3:$D$16128=$B$1,ROW(data!$A$3:$A$16128)-ROW($A$3)+1),ROWS(B$4:B69))),"")</f>
        <v>MYPOS Бакалия</v>
      </c>
      <c r="C69" s="19">
        <f t="array" ref="C69">IF(ROWS(C$4:C69)&lt;=$B$2,INDEX(data!B$3:B$16128,SMALL(IF(data!$D$3:$D$16128='Банкя'!$B$1,ROW(data!$A$3:$A$16128)-ROW($A$3)+1),ROWS(C$4:C69))),"")</f>
        <v>-3489.74</v>
      </c>
      <c r="D69" s="7" t="str">
        <f t="array" ref="D69">IF(ROWS(D$4:D69)&lt;=$B$2,INDEX(data!E$3:E$16128,SMALL(IF(data!$D$3:$D$16128='Банкя'!$B$1,ROW(data!$A$3:$A$16128)-ROW($A$3)+1),ROWS(D$4:D69))),"")</f>
        <v/>
      </c>
      <c r="E69" s="11"/>
      <c r="F69" s="11"/>
      <c r="G69" s="11"/>
      <c r="H69" s="14"/>
      <c r="I69" s="14"/>
      <c r="J69" s="14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IF(ROWS(A$4:A70)&lt;=$B$2,INDEX(data!C$3:C$16128,SMALL(IF(data!$D$3:$D$16128='Банкя'!$B$1,ROW(data!$A$3:$A$16128)-ROW($A$3)+1),ROWS(A$4:A70))),"")</f>
        <v>46134</v>
      </c>
      <c r="B70" s="19" t="str">
        <f t="array" ref="B70">IF(ROWS(B$4:B70)&lt;=$B$2,INDEX(data!A$3:A$16128,SMALL(IF(data!$D$3:$D$16128=$B$1,ROW(data!$A$3:$A$16128)-ROW($A$3)+1),ROWS(B$4:B70))),"")</f>
        <v>Каса ВАУЧЕРИ</v>
      </c>
      <c r="C70" s="19">
        <f t="array" ref="C70">IF(ROWS(C$4:C70)&lt;=$B$2,INDEX(data!B$3:B$16128,SMALL(IF(data!$D$3:$D$16128='Банкя'!$B$1,ROW(data!$A$3:$A$16128)-ROW($A$3)+1),ROWS(C$4:C70))),"")</f>
        <v>700</v>
      </c>
      <c r="D70" s="7" t="str">
        <f t="array" ref="D70">IF(ROWS(D$4:D70)&lt;=$B$2,INDEX(data!E$3:E$16128,SMALL(IF(data!$D$3:$D$16128='Банкя'!$B$1,ROW(data!$A$3:$A$16128)-ROW($A$3)+1),ROWS(D$4:D70))),"")</f>
        <v>ваучери персонал</v>
      </c>
      <c r="E70" s="11"/>
      <c r="F70" s="11"/>
      <c r="G70" s="11"/>
      <c r="H70" s="14"/>
      <c r="I70" s="14"/>
      <c r="J70" s="14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IF(ROWS(A$4:A71)&lt;=$B$2,INDEX(data!C$3:C$16128,SMALL(IF(data!$D$3:$D$16128='Банкя'!$B$1,ROW(data!$A$3:$A$16128)-ROW($A$3)+1),ROWS(A$4:A71))),"")</f>
        <v>46139</v>
      </c>
      <c r="B71" s="19" t="str">
        <f t="array" ref="B71">IF(ROWS(B$4:B71)&lt;=$B$2,INDEX(data!A$3:A$16128,SMALL(IF(data!$D$3:$D$16128=$B$1,ROW(data!$A$3:$A$16128)-ROW($A$3)+1),ROWS(B$4:B71))),"")</f>
        <v>MYPOS Бакалия</v>
      </c>
      <c r="C71" s="19">
        <f t="array" ref="C71">IF(ROWS(C$4:C71)&lt;=$B$2,INDEX(data!B$3:B$16128,SMALL(IF(data!$D$3:$D$16128='Банкя'!$B$1,ROW(data!$A$3:$A$16128)-ROW($A$3)+1),ROWS(C$4:C71))),"")</f>
        <v>-4024.33</v>
      </c>
      <c r="D71" s="7" t="str">
        <f t="array" ref="D71">IF(ROWS(D$4:D71)&lt;=$B$2,INDEX(data!E$3:E$16128,SMALL(IF(data!$D$3:$D$16128='Банкя'!$B$1,ROW(data!$A$3:$A$16128)-ROW($A$3)+1),ROWS(D$4:D71))),"")</f>
        <v/>
      </c>
      <c r="E71" s="11"/>
      <c r="F71" s="11"/>
      <c r="G71" s="11"/>
      <c r="H71" s="14"/>
      <c r="I71" s="14"/>
      <c r="J71" s="14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IF(ROWS(A$4:A72)&lt;=$B$2,INDEX(data!C$3:C$16128,SMALL(IF(data!$D$3:$D$16128='Банкя'!$B$1,ROW(data!$A$3:$A$16128)-ROW($A$3)+1),ROWS(A$4:A72))),"")</f>
        <v>46139</v>
      </c>
      <c r="B72" s="19" t="str">
        <f t="array" ref="B72">IF(ROWS(B$4:B72)&lt;=$B$2,INDEX(data!A$3:A$16128,SMALL(IF(data!$D$3:$D$16128=$B$1,ROW(data!$A$3:$A$16128)-ROW($A$3)+1),ROWS(B$4:B72))),"")</f>
        <v>КАСОВА КНИГА</v>
      </c>
      <c r="C72" s="19">
        <f t="array" ref="C72">IF(ROWS(C$4:C72)&lt;=$B$2,INDEX(data!B$3:B$16128,SMALL(IF(data!$D$3:$D$16128='Банкя'!$B$1,ROW(data!$A$3:$A$16128)-ROW($A$3)+1),ROWS(C$4:C72))),"")</f>
        <v>-1500</v>
      </c>
      <c r="D72" s="7" t="str">
        <f t="array" ref="D72">IF(ROWS(D$4:D72)&lt;=$B$2,INDEX(data!E$3:E$16128,SMALL(IF(data!$D$3:$D$16128='Банкя'!$B$1,ROW(data!$A$3:$A$16128)-ROW($A$3)+1),ROWS(D$4:D72))),"")</f>
        <v/>
      </c>
      <c r="E72" s="11"/>
      <c r="F72" s="11"/>
      <c r="G72" s="11"/>
      <c r="H72" s="14"/>
      <c r="I72" s="14"/>
      <c r="J72" s="14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IF(ROWS(A$4:A73)&lt;=$B$2,INDEX(data!C$3:C$16128,SMALL(IF(data!$D$3:$D$16128='Банкя'!$B$1,ROW(data!$A$3:$A$16128)-ROW($A$3)+1),ROWS(A$4:A73))),"")</f>
        <v>46146</v>
      </c>
      <c r="B73" s="19" t="str">
        <f t="array" ref="B73">IF(ROWS(B$4:B73)&lt;=$B$2,INDEX(data!A$3:A$16128,SMALL(IF(data!$D$3:$D$16128=$B$1,ROW(data!$A$3:$A$16128)-ROW($A$3)+1),ROWS(B$4:B73))),"")</f>
        <v>MYPOS Бакалия</v>
      </c>
      <c r="C73" s="19">
        <f t="array" ref="C73">IF(ROWS(C$4:C73)&lt;=$B$2,INDEX(data!B$3:B$16128,SMALL(IF(data!$D$3:$D$16128='Банкя'!$B$1,ROW(data!$A$3:$A$16128)-ROW($A$3)+1),ROWS(C$4:C73))),"")</f>
        <v>-4109.17</v>
      </c>
      <c r="D73" s="7" t="str">
        <f t="array" ref="D73">IF(ROWS(D$4:D73)&lt;=$B$2,INDEX(data!E$3:E$16128,SMALL(IF(data!$D$3:$D$16128='Банкя'!$B$1,ROW(data!$A$3:$A$16128)-ROW($A$3)+1),ROWS(D$4:D73))),"")</f>
        <v/>
      </c>
      <c r="E73" s="11"/>
      <c r="F73" s="11"/>
      <c r="G73" s="11"/>
      <c r="H73" s="14"/>
      <c r="I73" s="14"/>
      <c r="J73" s="14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IF(ROWS(A$4:A74)&lt;=$B$2,INDEX(data!C$3:C$16128,SMALL(IF(data!$D$3:$D$16128='Банкя'!$B$1,ROW(data!$A$3:$A$16128)-ROW($A$3)+1),ROWS(A$4:A74))),"")</f>
        <v>46146</v>
      </c>
      <c r="B74" s="19" t="str">
        <f t="array" ref="B74">IF(ROWS(B$4:B74)&lt;=$B$2,INDEX(data!A$3:A$16128,SMALL(IF(data!$D$3:$D$16128=$B$1,ROW(data!$A$3:$A$16128)-ROW($A$3)+1),ROWS(B$4:B74))),"")</f>
        <v>КАСОВА КНИГА</v>
      </c>
      <c r="C74" s="19">
        <f t="array" ref="C74">IF(ROWS(C$4:C74)&lt;=$B$2,INDEX(data!B$3:B$16128,SMALL(IF(data!$D$3:$D$16128='Банкя'!$B$1,ROW(data!$A$3:$A$16128)-ROW($A$3)+1),ROWS(C$4:C74))),"")</f>
        <v>-1000</v>
      </c>
      <c r="D74" s="7" t="str">
        <f t="array" ref="D74">IF(ROWS(D$4:D74)&lt;=$B$2,INDEX(data!E$3:E$16128,SMALL(IF(data!$D$3:$D$16128='Банкя'!$B$1,ROW(data!$A$3:$A$16128)-ROW($A$3)+1),ROWS(D$4:D74))),"")</f>
        <v/>
      </c>
      <c r="E74" s="11"/>
      <c r="F74" s="11"/>
      <c r="G74" s="11"/>
      <c r="H74" s="14"/>
      <c r="I74" s="14"/>
      <c r="J74" s="14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IF(ROWS(A$4:A75)&lt;=$B$2,INDEX(data!C$3:C$16128,SMALL(IF(data!$D$3:$D$16128='Банкя'!$B$1,ROW(data!$A$3:$A$16128)-ROW($A$3)+1),ROWS(A$4:A75))),"")</f>
        <v>46148</v>
      </c>
      <c r="B75" s="19" t="str">
        <f t="array" ref="B75">IF(ROWS(B$4:B75)&lt;=$B$2,INDEX(data!A$3:A$16128,SMALL(IF(data!$D$3:$D$16128=$B$1,ROW(data!$A$3:$A$16128)-ROW($A$3)+1),ROWS(B$4:B75))),"")</f>
        <v>ЗАЕМ</v>
      </c>
      <c r="C75" s="19">
        <f t="array" ref="C75">IF(ROWS(C$4:C75)&lt;=$B$2,INDEX(data!B$3:B$16128,SMALL(IF(data!$D$3:$D$16128='Банкя'!$B$1,ROW(data!$A$3:$A$16128)-ROW($A$3)+1),ROWS(C$4:C75))),"")</f>
        <v>35557.17</v>
      </c>
      <c r="D75" s="7" t="str">
        <f t="array" ref="D75">IF(ROWS(D$4:D75)&lt;=$B$2,INDEX(data!E$3:E$16128,SMALL(IF(data!$D$3:$D$16128='Банкя'!$B$1,ROW(data!$A$3:$A$16128)-ROW($A$3)+1),ROWS(D$4:D75))),"")</f>
        <v>Салдо склад + вътр. п-не</v>
      </c>
      <c r="E75" s="11"/>
      <c r="F75" s="11"/>
      <c r="G75" s="11"/>
      <c r="H75" s="14"/>
      <c r="I75" s="14"/>
      <c r="J75" s="14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IF(ROWS(A$4:A76)&lt;=$B$2,INDEX(data!C$3:C$16128,SMALL(IF(data!$D$3:$D$16128='Банкя'!$B$1,ROW(data!$A$3:$A$16128)-ROW($A$3)+1),ROWS(A$4:A76))),"")</f>
        <v>46153</v>
      </c>
      <c r="B76" s="19" t="str">
        <f t="array" ref="B76">IF(ROWS(B$4:B76)&lt;=$B$2,INDEX(data!A$3:A$16128,SMALL(IF(data!$D$3:$D$16128=$B$1,ROW(data!$A$3:$A$16128)-ROW($A$3)+1),ROWS(B$4:B76))),"")</f>
        <v>MYPOS Бакалия</v>
      </c>
      <c r="C76" s="19">
        <f t="array" ref="C76">IF(ROWS(C$4:C76)&lt;=$B$2,INDEX(data!B$3:B$16128,SMALL(IF(data!$D$3:$D$16128='Банкя'!$B$1,ROW(data!$A$3:$A$16128)-ROW($A$3)+1),ROWS(C$4:C76))),"")</f>
        <v>-4005.08</v>
      </c>
      <c r="D76" s="7" t="str">
        <f t="array" ref="D76">IF(ROWS(D$4:D76)&lt;=$B$2,INDEX(data!E$3:E$16128,SMALL(IF(data!$D$3:$D$16128='Банкя'!$B$1,ROW(data!$A$3:$A$16128)-ROW($A$3)+1),ROWS(D$4:D76))),"")</f>
        <v/>
      </c>
      <c r="E76" s="11"/>
      <c r="F76" s="11"/>
      <c r="G76" s="11"/>
      <c r="H76" s="14"/>
      <c r="I76" s="14"/>
      <c r="J76" s="14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IF(ROWS(A$4:A77)&lt;=$B$2,INDEX(data!C$3:C$16128,SMALL(IF(data!$D$3:$D$16128='Банкя'!$B$1,ROW(data!$A$3:$A$16128)-ROW($A$3)+1),ROWS(A$4:A77))),"")</f>
        <v>46153</v>
      </c>
      <c r="B77" s="19" t="str">
        <f t="array" ref="B77">IF(ROWS(B$4:B77)&lt;=$B$2,INDEX(data!A$3:A$16128,SMALL(IF(data!$D$3:$D$16128=$B$1,ROW(data!$A$3:$A$16128)-ROW($A$3)+1),ROWS(B$4:B77))),"")</f>
        <v>КАСОВА КНИГА</v>
      </c>
      <c r="C77" s="19">
        <f t="array" ref="C77">IF(ROWS(C$4:C77)&lt;=$B$2,INDEX(data!B$3:B$16128,SMALL(IF(data!$D$3:$D$16128='Банкя'!$B$1,ROW(data!$A$3:$A$16128)-ROW($A$3)+1),ROWS(C$4:C77))),"")</f>
        <v>-1500</v>
      </c>
      <c r="D77" s="7" t="str">
        <f t="array" ref="D77">IF(ROWS(D$4:D77)&lt;=$B$2,INDEX(data!E$3:E$16128,SMALL(IF(data!$D$3:$D$16128='Банкя'!$B$1,ROW(data!$A$3:$A$16128)-ROW($A$3)+1),ROWS(D$4:D77))),"")</f>
        <v/>
      </c>
      <c r="E77" s="11"/>
      <c r="F77" s="11"/>
      <c r="G77" s="11"/>
      <c r="H77" s="14"/>
      <c r="I77" s="14"/>
      <c r="J77" s="14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IF(ROWS(A$4:A78)&lt;=$B$2,INDEX(data!C$3:C$16128,SMALL(IF(data!$D$3:$D$16128='Банкя'!$B$1,ROW(data!$A$3:$A$16128)-ROW($A$3)+1),ROWS(A$4:A78))),"")</f>
        <v>46157</v>
      </c>
      <c r="B78" s="19" t="str">
        <f t="array" ref="B78">IF(ROWS(B$4:B78)&lt;=$B$2,INDEX(data!A$3:A$16128,SMALL(IF(data!$D$3:$D$16128=$B$1,ROW(data!$A$3:$A$16128)-ROW($A$3)+1),ROWS(B$4:B78))),"")</f>
        <v>КАСОВА КНИГА</v>
      </c>
      <c r="C78" s="19">
        <f t="array" ref="C78">IF(ROWS(C$4:C78)&lt;=$B$2,INDEX(data!B$3:B$16128,SMALL(IF(data!$D$3:$D$16128='Банкя'!$B$1,ROW(data!$A$3:$A$16128)-ROW($A$3)+1),ROWS(C$4:C78))),"")</f>
        <v>-500</v>
      </c>
      <c r="D78" s="7" t="str">
        <f t="array" ref="D78">IF(ROWS(D$4:D78)&lt;=$B$2,INDEX(data!E$3:E$16128,SMALL(IF(data!$D$3:$D$16128='Банкя'!$B$1,ROW(data!$A$3:$A$16128)-ROW($A$3)+1),ROWS(D$4:D78))),"")</f>
        <v/>
      </c>
      <c r="E78" s="11"/>
      <c r="F78" s="11"/>
      <c r="G78" s="11"/>
      <c r="H78" s="14"/>
      <c r="I78" s="14"/>
      <c r="J78" s="14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IF(ROWS(A$4:A79)&lt;=$B$2,INDEX(data!C$3:C$16128,SMALL(IF(data!$D$3:$D$16128='Банкя'!$B$1,ROW(data!$A$3:$A$16128)-ROW($A$3)+1),ROWS(A$4:A79))),"")</f>
        <v>46157</v>
      </c>
      <c r="B79" s="19" t="str">
        <f t="array" ref="B79">IF(ROWS(B$4:B79)&lt;=$B$2,INDEX(data!A$3:A$16128,SMALL(IF(data!$D$3:$D$16128=$B$1,ROW(data!$A$3:$A$16128)-ROW($A$3)+1),ROWS(B$4:B79))),"")</f>
        <v>КАСОВА КНИГА</v>
      </c>
      <c r="C79" s="19">
        <f t="array" ref="C79">IF(ROWS(C$4:C79)&lt;=$B$2,INDEX(data!B$3:B$16128,SMALL(IF(data!$D$3:$D$16128='Банкя'!$B$1,ROW(data!$A$3:$A$16128)-ROW($A$3)+1),ROWS(C$4:C79))),"")</f>
        <v>-200</v>
      </c>
      <c r="D79" s="7" t="str">
        <f t="array" ref="D79">IF(ROWS(D$4:D79)&lt;=$B$2,INDEX(data!E$3:E$16128,SMALL(IF(data!$D$3:$D$16128='Банкя'!$B$1,ROW(data!$A$3:$A$16128)-ROW($A$3)+1),ROWS(D$4:D79))),"")</f>
        <v>Заплата Ния</v>
      </c>
      <c r="E79" s="11"/>
      <c r="F79" s="11"/>
      <c r="G79" s="11"/>
      <c r="H79" s="14"/>
      <c r="I79" s="14"/>
      <c r="J79" s="14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IF(ROWS(A$4:A80)&lt;=$B$2,INDEX(data!C$3:C$16128,SMALL(IF(data!$D$3:$D$16128='Банкя'!$B$1,ROW(data!$A$3:$A$16128)-ROW($A$3)+1),ROWS(A$4:A80))),"")</f>
        <v>46160</v>
      </c>
      <c r="B80" s="19" t="str">
        <f t="array" ref="B80">IF(ROWS(B$4:B80)&lt;=$B$2,INDEX(data!A$3:A$16128,SMALL(IF(data!$D$3:$D$16128=$B$1,ROW(data!$A$3:$A$16128)-ROW($A$3)+1),ROWS(B$4:B80))),"")</f>
        <v>MYPOS Бакалия</v>
      </c>
      <c r="C80" s="19">
        <f t="array" ref="C80">IF(ROWS(C$4:C80)&lt;=$B$2,INDEX(data!B$3:B$16128,SMALL(IF(data!$D$3:$D$16128='Банкя'!$B$1,ROW(data!$A$3:$A$16128)-ROW($A$3)+1),ROWS(C$4:C80))),"")</f>
        <v>-3981.5</v>
      </c>
      <c r="D80" s="7" t="str">
        <f t="array" ref="D80">IF(ROWS(D$4:D80)&lt;=$B$2,INDEX(data!E$3:E$16128,SMALL(IF(data!$D$3:$D$16128='Банкя'!$B$1,ROW(data!$A$3:$A$16128)-ROW($A$3)+1),ROWS(D$4:D80))),"")</f>
        <v/>
      </c>
      <c r="E80" s="11"/>
      <c r="F80" s="11"/>
      <c r="G80" s="11"/>
      <c r="H80" s="14"/>
      <c r="I80" s="14"/>
      <c r="J80" s="14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IF(ROWS(A$4:A81)&lt;=$B$2,INDEX(data!C$3:C$16128,SMALL(IF(data!$D$3:$D$16128='Банкя'!$B$1,ROW(data!$A$3:$A$16128)-ROW($A$3)+1),ROWS(A$4:A81))),"")</f>
        <v>46160</v>
      </c>
      <c r="B81" s="19" t="str">
        <f t="array" ref="B81">IF(ROWS(B$4:B81)&lt;=$B$2,INDEX(data!A$3:A$16128,SMALL(IF(data!$D$3:$D$16128=$B$1,ROW(data!$A$3:$A$16128)-ROW($A$3)+1),ROWS(B$4:B81))),"")</f>
        <v>КАСОВА КНИГА</v>
      </c>
      <c r="C81" s="19">
        <f t="array" ref="C81">IF(ROWS(C$4:C81)&lt;=$B$2,INDEX(data!B$3:B$16128,SMALL(IF(data!$D$3:$D$16128='Банкя'!$B$1,ROW(data!$A$3:$A$16128)-ROW($A$3)+1),ROWS(C$4:C81))),"")</f>
        <v>-2000</v>
      </c>
      <c r="D81" s="7" t="str">
        <f t="array" ref="D81">IF(ROWS(D$4:D81)&lt;=$B$2,INDEX(data!E$3:E$16128,SMALL(IF(data!$D$3:$D$16128='Банкя'!$B$1,ROW(data!$A$3:$A$16128)-ROW($A$3)+1),ROWS(D$4:D81))),"")</f>
        <v/>
      </c>
      <c r="E81" s="11"/>
      <c r="F81" s="11"/>
      <c r="G81" s="11"/>
      <c r="H81" s="14"/>
      <c r="I81" s="14"/>
      <c r="J81" s="14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IF(ROWS(A$4:A82)&lt;=$B$2,INDEX(data!C$3:C$16128,SMALL(IF(data!$D$3:$D$16128='Банкя'!$B$1,ROW(data!$A$3:$A$16128)-ROW($A$3)+1),ROWS(A$4:A82))),"")</f>
        <v>46162</v>
      </c>
      <c r="B82" s="19" t="str">
        <f t="array" ref="B82">IF(ROWS(B$4:B82)&lt;=$B$2,INDEX(data!A$3:A$16128,SMALL(IF(data!$D$3:$D$16128=$B$1,ROW(data!$A$3:$A$16128)-ROW($A$3)+1),ROWS(B$4:B82))),"")</f>
        <v>Каса ВАУЧЕРИ</v>
      </c>
      <c r="C82" s="19">
        <f t="array" ref="C82">IF(ROWS(C$4:C82)&lt;=$B$2,INDEX(data!B$3:B$16128,SMALL(IF(data!$D$3:$D$16128='Банкя'!$B$1,ROW(data!$A$3:$A$16128)-ROW($A$3)+1),ROWS(C$4:C82))),"")</f>
        <v>700</v>
      </c>
      <c r="D82" s="7" t="str">
        <f t="array" ref="D82">IF(ROWS(D$4:D82)&lt;=$B$2,INDEX(data!E$3:E$16128,SMALL(IF(data!$D$3:$D$16128='Банкя'!$B$1,ROW(data!$A$3:$A$16128)-ROW($A$3)+1),ROWS(D$4:D82))),"")</f>
        <v>ваучери персонал</v>
      </c>
      <c r="E82" s="11"/>
      <c r="F82" s="11"/>
      <c r="G82" s="11"/>
      <c r="H82" s="14"/>
      <c r="I82" s="14"/>
      <c r="J82" s="14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IF(ROWS(A$4:A83)&lt;=$B$2,INDEX(data!C$3:C$16128,SMALL(IF(data!$D$3:$D$16128='Банкя'!$B$1,ROW(data!$A$3:$A$16128)-ROW($A$3)+1),ROWS(A$4:A83))),"")</f>
        <v>46164</v>
      </c>
      <c r="B83" s="19" t="str">
        <f t="array" ref="B83">IF(ROWS(B$4:B83)&lt;=$B$2,INDEX(data!A$3:A$16128,SMALL(IF(data!$D$3:$D$16128=$B$1,ROW(data!$A$3:$A$16128)-ROW($A$3)+1),ROWS(B$4:B83))),"")</f>
        <v>КАСОВА КНИГА</v>
      </c>
      <c r="C83" s="19">
        <f t="array" ref="C83">IF(ROWS(C$4:C83)&lt;=$B$2,INDEX(data!B$3:B$16128,SMALL(IF(data!$D$3:$D$16128='Банкя'!$B$1,ROW(data!$A$3:$A$16128)-ROW($A$3)+1),ROWS(C$4:C83))),"")</f>
        <v>-500</v>
      </c>
      <c r="D83" s="7" t="str">
        <f t="array" ref="D83">IF(ROWS(D$4:D83)&lt;=$B$2,INDEX(data!E$3:E$16128,SMALL(IF(data!$D$3:$D$16128='Банкя'!$B$1,ROW(data!$A$3:$A$16128)-ROW($A$3)+1),ROWS(D$4:D83))),"")</f>
        <v/>
      </c>
      <c r="E83" s="11"/>
      <c r="F83" s="11"/>
      <c r="G83" s="11"/>
      <c r="H83" s="14"/>
      <c r="I83" s="14"/>
      <c r="J83" s="14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IF(ROWS(A$4:A84)&lt;=$B$2,INDEX(data!C$3:C$16128,SMALL(IF(data!$D$3:$D$16128='Банкя'!$B$1,ROW(data!$A$3:$A$16128)-ROW($A$3)+1),ROWS(A$4:A84))),"")</f>
        <v>46167</v>
      </c>
      <c r="B84" s="19" t="str">
        <f t="array" ref="B84">IF(ROWS(B$4:B84)&lt;=$B$2,INDEX(data!A$3:A$16128,SMALL(IF(data!$D$3:$D$16128=$B$1,ROW(data!$A$3:$A$16128)-ROW($A$3)+1),ROWS(B$4:B84))),"")</f>
        <v>MYPOS Бакалия</v>
      </c>
      <c r="C84" s="19">
        <f t="array" ref="C84">IF(ROWS(C$4:C84)&lt;=$B$2,INDEX(data!B$3:B$16128,SMALL(IF(data!$D$3:$D$16128='Банкя'!$B$1,ROW(data!$A$3:$A$16128)-ROW($A$3)+1),ROWS(C$4:C84))),"")</f>
        <v>-3516.29</v>
      </c>
      <c r="D84" s="7" t="str">
        <f t="array" ref="D84">IF(ROWS(D$4:D84)&lt;=$B$2,INDEX(data!E$3:E$16128,SMALL(IF(data!$D$3:$D$16128='Банкя'!$B$1,ROW(data!$A$3:$A$16128)-ROW($A$3)+1),ROWS(D$4:D84))),"")</f>
        <v/>
      </c>
      <c r="E84" s="11"/>
      <c r="F84" s="11"/>
      <c r="G84" s="11"/>
      <c r="H84" s="14"/>
      <c r="I84" s="14"/>
      <c r="J84" s="14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IF(ROWS(A$4:A85)&lt;=$B$2,INDEX(data!C$3:C$16128,SMALL(IF(data!$D$3:$D$16128='Банкя'!$B$1,ROW(data!$A$3:$A$16128)-ROW($A$3)+1),ROWS(A$4:A85))),"")</f>
        <v>46168</v>
      </c>
      <c r="B85" s="19" t="str">
        <f t="array" ref="B85">IF(ROWS(B$4:B85)&lt;=$B$2,INDEX(data!A$3:A$16128,SMALL(IF(data!$D$3:$D$16128=$B$1,ROW(data!$A$3:$A$16128)-ROW($A$3)+1),ROWS(B$4:B85))),"")</f>
        <v>КАСОВА КНИГА</v>
      </c>
      <c r="C85" s="19">
        <f t="array" ref="C85">IF(ROWS(C$4:C85)&lt;=$B$2,INDEX(data!B$3:B$16128,SMALL(IF(data!$D$3:$D$16128='Банкя'!$B$1,ROW(data!$A$3:$A$16128)-ROW($A$3)+1),ROWS(C$4:C85))),"")</f>
        <v>-1000</v>
      </c>
      <c r="D85" s="7" t="str">
        <f t="array" ref="D85">IF(ROWS(D$4:D85)&lt;=$B$2,INDEX(data!E$3:E$16128,SMALL(IF(data!$D$3:$D$16128='Банкя'!$B$1,ROW(data!$A$3:$A$16128)-ROW($A$3)+1),ROWS(D$4:D85))),"")</f>
        <v/>
      </c>
      <c r="E85" s="11"/>
      <c r="F85" s="11"/>
      <c r="G85" s="11"/>
      <c r="H85" s="14"/>
      <c r="I85" s="14"/>
      <c r="J85" s="14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IF(ROWS(A$4:A86)&lt;=$B$2,INDEX(data!C$3:C$16128,SMALL(IF(data!$D$3:$D$16128='Банкя'!$B$1,ROW(data!$A$3:$A$16128)-ROW($A$3)+1),ROWS(A$4:A86))),"")</f>
        <v>46174</v>
      </c>
      <c r="B86" s="19" t="str">
        <f t="array" ref="B86">IF(ROWS(B$4:B86)&lt;=$B$2,INDEX(data!A$3:A$16128,SMALL(IF(data!$D$3:$D$16128=$B$1,ROW(data!$A$3:$A$16128)-ROW($A$3)+1),ROWS(B$4:B86))),"")</f>
        <v>MYPOS Бакалия</v>
      </c>
      <c r="C86" s="19">
        <f t="array" ref="C86">IF(ROWS(C$4:C86)&lt;=$B$2,INDEX(data!B$3:B$16128,SMALL(IF(data!$D$3:$D$16128='Банкя'!$B$1,ROW(data!$A$3:$A$16128)-ROW($A$3)+1),ROWS(C$4:C86))),"")</f>
        <v>-3573.27</v>
      </c>
      <c r="D86" s="7" t="str">
        <f t="array" ref="D86">IF(ROWS(D$4:D86)&lt;=$B$2,INDEX(data!E$3:E$16128,SMALL(IF(data!$D$3:$D$16128='Банкя'!$B$1,ROW(data!$A$3:$A$16128)-ROW($A$3)+1),ROWS(D$4:D86))),"")</f>
        <v/>
      </c>
      <c r="E86" s="11"/>
      <c r="F86" s="11"/>
      <c r="G86" s="11"/>
      <c r="H86" s="14"/>
      <c r="I86" s="14"/>
      <c r="J86" s="14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IF(ROWS(A$4:A87)&lt;=$B$2,INDEX(data!C$3:C$16128,SMALL(IF(data!$D$3:$D$16128='Банкя'!$B$1,ROW(data!$A$3:$A$16128)-ROW($A$3)+1),ROWS(A$4:A87))),"")</f>
        <v>46174</v>
      </c>
      <c r="B87" s="19" t="str">
        <f t="array" ref="B87">IF(ROWS(B$4:B87)&lt;=$B$2,INDEX(data!A$3:A$16128,SMALL(IF(data!$D$3:$D$16128=$B$1,ROW(data!$A$3:$A$16128)-ROW($A$3)+1),ROWS(B$4:B87))),"")</f>
        <v>КАСОВА КНИГА</v>
      </c>
      <c r="C87" s="19">
        <f t="array" ref="C87">IF(ROWS(C$4:C87)&lt;=$B$2,INDEX(data!B$3:B$16128,SMALL(IF(data!$D$3:$D$16128='Банкя'!$B$1,ROW(data!$A$3:$A$16128)-ROW($A$3)+1),ROWS(C$4:C87))),"")</f>
        <v>-1500</v>
      </c>
      <c r="D87" s="7" t="str">
        <f t="array" ref="D87">IF(ROWS(D$4:D87)&lt;=$B$2,INDEX(data!E$3:E$16128,SMALL(IF(data!$D$3:$D$16128='Банкя'!$B$1,ROW(data!$A$3:$A$16128)-ROW($A$3)+1),ROWS(D$4:D87))),"")</f>
        <v/>
      </c>
      <c r="E87" s="11"/>
      <c r="F87" s="11"/>
      <c r="G87" s="11"/>
      <c r="H87" s="14"/>
      <c r="I87" s="14"/>
      <c r="J87" s="14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IF(ROWS(A$4:A88)&lt;=$B$2,INDEX(data!C$3:C$16128,SMALL(IF(data!$D$3:$D$16128='Банкя'!$B$1,ROW(data!$A$3:$A$16128)-ROW($A$3)+1),ROWS(A$4:A88))),"")</f>
        <v>46176</v>
      </c>
      <c r="B88" s="19" t="str">
        <f t="array" ref="B88">IF(ROWS(B$4:B88)&lt;=$B$2,INDEX(data!A$3:A$16128,SMALL(IF(data!$D$3:$D$16128=$B$1,ROW(data!$A$3:$A$16128)-ROW($A$3)+1),ROWS(B$4:B88))),"")</f>
        <v>Каса ВАУЧЕРИ</v>
      </c>
      <c r="C88" s="19">
        <f t="array" ref="C88">IF(ROWS(C$4:C88)&lt;=$B$2,INDEX(data!B$3:B$16128,SMALL(IF(data!$D$3:$D$16128='Банкя'!$B$1,ROW(data!$A$3:$A$16128)-ROW($A$3)+1),ROWS(C$4:C88))),"")</f>
        <v>-51</v>
      </c>
      <c r="D88" s="7" t="str">
        <f t="array" ref="D88">IF(ROWS(D$4:D88)&lt;=$B$2,INDEX(data!E$3:E$16128,SMALL(IF(data!$D$3:$D$16128='Банкя'!$B$1,ROW(data!$A$3:$A$16128)-ROW($A$3)+1),ROWS(D$4:D88))),"")</f>
        <v>към 25.05</v>
      </c>
      <c r="E88" s="11"/>
      <c r="F88" s="11"/>
      <c r="G88" s="11"/>
      <c r="H88" s="14"/>
      <c r="I88" s="14"/>
      <c r="J88" s="14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IF(ROWS(A$4:A89)&lt;=$B$2,INDEX(data!C$3:C$16128,SMALL(IF(data!$D$3:$D$16128='Банкя'!$B$1,ROW(data!$A$3:$A$16128)-ROW($A$3)+1),ROWS(A$4:A89))),"")</f>
        <v>46181</v>
      </c>
      <c r="B89" s="19" t="str">
        <f t="array" ref="B89">IF(ROWS(B$4:B89)&lt;=$B$2,INDEX(data!A$3:A$16128,SMALL(IF(data!$D$3:$D$16128=$B$1,ROW(data!$A$3:$A$16128)-ROW($A$3)+1),ROWS(B$4:B89))),"")</f>
        <v>КАСОВА КНИГА</v>
      </c>
      <c r="C89" s="19">
        <f t="array" ref="C89">IF(ROWS(C$4:C89)&lt;=$B$2,INDEX(data!B$3:B$16128,SMALL(IF(data!$D$3:$D$16128='Банкя'!$B$1,ROW(data!$A$3:$A$16128)-ROW($A$3)+1),ROWS(C$4:C89))),"")</f>
        <v>-3000</v>
      </c>
      <c r="D89" s="7" t="str">
        <f t="array" ref="D89">IF(ROWS(D$4:D89)&lt;=$B$2,INDEX(data!E$3:E$16128,SMALL(IF(data!$D$3:$D$16128='Банкя'!$B$1,ROW(data!$A$3:$A$16128)-ROW($A$3)+1),ROWS(D$4:D89))),"")</f>
        <v/>
      </c>
      <c r="E89" s="11"/>
      <c r="F89" s="11"/>
      <c r="G89" s="11"/>
      <c r="H89" s="14"/>
      <c r="I89" s="14"/>
      <c r="J89" s="14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IF(ROWS(A$4:A90)&lt;=$B$2,INDEX(data!C$3:C$16128,SMALL(IF(data!$D$3:$D$16128='Банкя'!$B$1,ROW(data!$A$3:$A$16128)-ROW($A$3)+1),ROWS(A$4:A90))),"")</f>
        <v>46181</v>
      </c>
      <c r="B90" s="19" t="str">
        <f t="array" ref="B90">IF(ROWS(B$4:B90)&lt;=$B$2,INDEX(data!A$3:A$16128,SMALL(IF(data!$D$3:$D$16128=$B$1,ROW(data!$A$3:$A$16128)-ROW($A$3)+1),ROWS(B$4:B90))),"")</f>
        <v>КАСОВА КНИГА</v>
      </c>
      <c r="C90" s="19">
        <f t="array" ref="C90">IF(ROWS(C$4:C90)&lt;=$B$2,INDEX(data!B$3:B$16128,SMALL(IF(data!$D$3:$D$16128='Банкя'!$B$1,ROW(data!$A$3:$A$16128)-ROW($A$3)+1),ROWS(C$4:C90))),"")</f>
        <v>-500</v>
      </c>
      <c r="D90" s="7" t="str">
        <f t="array" ref="D90">IF(ROWS(D$4:D90)&lt;=$B$2,INDEX(data!E$3:E$16128,SMALL(IF(data!$D$3:$D$16128='Банкя'!$B$1,ROW(data!$A$3:$A$16128)-ROW($A$3)+1),ROWS(D$4:D90))),"")</f>
        <v>500 от 06.06</v>
      </c>
      <c r="E90" s="11"/>
      <c r="F90" s="11"/>
      <c r="G90" s="11"/>
      <c r="H90" s="14"/>
      <c r="I90" s="14"/>
      <c r="J90" s="14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IF(ROWS(A$4:A91)&lt;=$B$2,INDEX(data!C$3:C$16128,SMALL(IF(data!$D$3:$D$16128='Банкя'!$B$1,ROW(data!$A$3:$A$16128)-ROW($A$3)+1),ROWS(A$4:A91))),"")</f>
        <v>46182</v>
      </c>
      <c r="B91" s="19" t="str">
        <f t="array" ref="B91">IF(ROWS(B$4:B91)&lt;=$B$2,INDEX(data!A$3:A$16128,SMALL(IF(data!$D$3:$D$16128=$B$1,ROW(data!$A$3:$A$16128)-ROW($A$3)+1),ROWS(B$4:B91))),"")</f>
        <v>MYPOS Бакалия</v>
      </c>
      <c r="C91" s="19">
        <f t="array" ref="C91">IF(ROWS(C$4:C91)&lt;=$B$2,INDEX(data!B$3:B$16128,SMALL(IF(data!$D$3:$D$16128='Банкя'!$B$1,ROW(data!$A$3:$A$16128)-ROW($A$3)+1),ROWS(C$4:C91))),"")</f>
        <v>-4257.74</v>
      </c>
      <c r="D91" s="7" t="str">
        <f t="array" ref="D91">IF(ROWS(D$4:D91)&lt;=$B$2,INDEX(data!E$3:E$16128,SMALL(IF(data!$D$3:$D$16128='Банкя'!$B$1,ROW(data!$A$3:$A$16128)-ROW($A$3)+1),ROWS(D$4:D91))),"")</f>
        <v/>
      </c>
      <c r="E91" s="11"/>
      <c r="F91" s="11"/>
      <c r="G91" s="11"/>
      <c r="H91" s="14"/>
      <c r="I91" s="14"/>
      <c r="J91" s="14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IF(ROWS(A$4:A92)&lt;=$B$2,INDEX(data!C$3:C$16128,SMALL(IF(data!$D$3:$D$16128='Банкя'!$B$1,ROW(data!$A$3:$A$16128)-ROW($A$3)+1),ROWS(A$4:A92))),"")</f>
        <v>46182</v>
      </c>
      <c r="B92" s="19" t="str">
        <f t="array" ref="B92">IF(ROWS(B$4:B92)&lt;=$B$2,INDEX(data!A$3:A$16128,SMALL(IF(data!$D$3:$D$16128=$B$1,ROW(data!$A$3:$A$16128)-ROW($A$3)+1),ROWS(B$4:B92))),"")</f>
        <v>каса ФИКТИВНА</v>
      </c>
      <c r="C92" s="19">
        <f t="array" ref="C92">IF(ROWS(C$4:C92)&lt;=$B$2,INDEX(data!B$3:B$16128,SMALL(IF(data!$D$3:$D$16128='Банкя'!$B$1,ROW(data!$A$3:$A$16128)-ROW($A$3)+1),ROWS(C$4:C92))),"")</f>
        <v>-50000</v>
      </c>
      <c r="D92" s="7" t="str">
        <f t="array" ref="D92">IF(ROWS(D$4:D92)&lt;=$B$2,INDEX(data!E$3:E$16128,SMALL(IF(data!$D$3:$D$16128='Банкя'!$B$1,ROW(data!$A$3:$A$16128)-ROW($A$3)+1),ROWS(D$4:D92))),"")</f>
        <v>Прехв салдо</v>
      </c>
      <c r="E92" s="11"/>
      <c r="F92" s="11"/>
      <c r="G92" s="11"/>
      <c r="H92" s="14"/>
      <c r="I92" s="14"/>
      <c r="J92" s="14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IF(ROWS(A$4:A93)&lt;=$B$2,INDEX(data!C$3:C$16128,SMALL(IF(data!$D$3:$D$16128='Банкя'!$B$1,ROW(data!$A$3:$A$16128)-ROW($A$3)+1),ROWS(A$4:A93))),"")</f>
        <v>46183</v>
      </c>
      <c r="B93" s="19" t="str">
        <f t="array" ref="B93">IF(ROWS(B$4:B93)&lt;=$B$2,INDEX(data!A$3:A$16128,SMALL(IF(data!$D$3:$D$16128=$B$1,ROW(data!$A$3:$A$16128)-ROW($A$3)+1),ROWS(B$4:B93))),"")</f>
        <v>КАСОВА КНИГА</v>
      </c>
      <c r="C93" s="19">
        <f t="array" ref="C93">IF(ROWS(C$4:C93)&lt;=$B$2,INDEX(data!B$3:B$16128,SMALL(IF(data!$D$3:$D$16128='Банкя'!$B$1,ROW(data!$A$3:$A$16128)-ROW($A$3)+1),ROWS(C$4:C93))),"")</f>
        <v>-500</v>
      </c>
      <c r="D93" s="7" t="str">
        <f t="array" ref="D93">IF(ROWS(D$4:D93)&lt;=$B$2,INDEX(data!E$3:E$16128,SMALL(IF(data!$D$3:$D$16128='Банкя'!$B$1,ROW(data!$A$3:$A$16128)-ROW($A$3)+1),ROWS(D$4:D93))),"")</f>
        <v/>
      </c>
      <c r="E93" s="11"/>
      <c r="F93" s="11"/>
      <c r="G93" s="11"/>
      <c r="H93" s="14"/>
      <c r="I93" s="14"/>
      <c r="J93" s="14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IF(ROWS(A$4:A94)&lt;=$B$2,INDEX(data!C$3:C$16128,SMALL(IF(data!$D$3:$D$16128='Банкя'!$B$1,ROW(data!$A$3:$A$16128)-ROW($A$3)+1),ROWS(A$4:A94))),"")</f>
        <v>46185</v>
      </c>
      <c r="B94" s="19" t="str">
        <f t="array" ref="B94">IF(ROWS(B$4:B94)&lt;=$B$2,INDEX(data!A$3:A$16128,SMALL(IF(data!$D$3:$D$16128=$B$1,ROW(data!$A$3:$A$16128)-ROW($A$3)+1),ROWS(B$4:B94))),"")</f>
        <v>КАСОВА КНИГА</v>
      </c>
      <c r="C94" s="19">
        <f t="array" ref="C94">IF(ROWS(C$4:C94)&lt;=$B$2,INDEX(data!B$3:B$16128,SMALL(IF(data!$D$3:$D$16128='Банкя'!$B$1,ROW(data!$A$3:$A$16128)-ROW($A$3)+1),ROWS(C$4:C94))),"")</f>
        <v>-500</v>
      </c>
      <c r="D94" s="7" t="str">
        <f t="array" ref="D94">IF(ROWS(D$4:D94)&lt;=$B$2,INDEX(data!E$3:E$16128,SMALL(IF(data!$D$3:$D$16128='Банкя'!$B$1,ROW(data!$A$3:$A$16128)-ROW($A$3)+1),ROWS(D$4:D94))),"")</f>
        <v/>
      </c>
      <c r="E94" s="11"/>
      <c r="F94" s="11"/>
      <c r="G94" s="11"/>
      <c r="H94" s="14"/>
      <c r="I94" s="14"/>
      <c r="J94" s="14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>
        <f t="array" ref="A95">IF(ROWS(A$4:A95)&lt;=$B$2,INDEX(data!C$3:C$16128,SMALL(IF(data!$D$3:$D$16128='Банкя'!$B$1,ROW(data!$A$3:$A$16128)-ROW($A$3)+1),ROWS(A$4:A95))),"")</f>
        <v>46188</v>
      </c>
      <c r="B95" s="19" t="str">
        <f t="array" ref="B95">IF(ROWS(B$4:B95)&lt;=$B$2,INDEX(data!A$3:A$16128,SMALL(IF(data!$D$3:$D$16128=$B$1,ROW(data!$A$3:$A$16128)-ROW($A$3)+1),ROWS(B$4:B95))),"")</f>
        <v>MYPOS Бакалия</v>
      </c>
      <c r="C95" s="19">
        <f t="array" ref="C95">IF(ROWS(C$4:C95)&lt;=$B$2,INDEX(data!B$3:B$16128,SMALL(IF(data!$D$3:$D$16128='Банкя'!$B$1,ROW(data!$A$3:$A$16128)-ROW($A$3)+1),ROWS(C$4:C95))),"")</f>
        <v>-4321.31</v>
      </c>
      <c r="D95" s="7" t="str">
        <f t="array" ref="D95">IF(ROWS(D$4:D95)&lt;=$B$2,INDEX(data!E$3:E$16128,SMALL(IF(data!$D$3:$D$16128='Банкя'!$B$1,ROW(data!$A$3:$A$16128)-ROW($A$3)+1),ROWS(D$4:D95))),"")</f>
        <v/>
      </c>
      <c r="E95" s="11"/>
      <c r="F95" s="11"/>
      <c r="G95" s="11"/>
      <c r="H95" s="14"/>
      <c r="I95" s="14"/>
      <c r="J95" s="14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>
        <f t="array" ref="A96">IF(ROWS(A$4:A96)&lt;=$B$2,INDEX(data!C$3:C$16128,SMALL(IF(data!$D$3:$D$16128='Банкя'!$B$1,ROW(data!$A$3:$A$16128)-ROW($A$3)+1),ROWS(A$4:A96))),"")</f>
        <v>46188</v>
      </c>
      <c r="B96" s="19" t="str">
        <f t="array" ref="B96">IF(ROWS(B$4:B96)&lt;=$B$2,INDEX(data!A$3:A$16128,SMALL(IF(data!$D$3:$D$16128=$B$1,ROW(data!$A$3:$A$16128)-ROW($A$3)+1),ROWS(B$4:B96))),"")</f>
        <v>КАСОВА КНИГА</v>
      </c>
      <c r="C96" s="19">
        <f t="array" ref="C96">IF(ROWS(C$4:C96)&lt;=$B$2,INDEX(data!B$3:B$16128,SMALL(IF(data!$D$3:$D$16128='Банкя'!$B$1,ROW(data!$A$3:$A$16128)-ROW($A$3)+1),ROWS(C$4:C96))),"")</f>
        <v>-2500</v>
      </c>
      <c r="D96" s="7" t="str">
        <f t="array" ref="D96">IF(ROWS(D$4:D96)&lt;=$B$2,INDEX(data!E$3:E$16128,SMALL(IF(data!$D$3:$D$16128='Банкя'!$B$1,ROW(data!$A$3:$A$16128)-ROW($A$3)+1),ROWS(D$4:D96))),"")</f>
        <v/>
      </c>
      <c r="E96" s="11"/>
      <c r="F96" s="11"/>
      <c r="G96" s="11"/>
      <c r="H96" s="14"/>
      <c r="I96" s="14"/>
      <c r="J96" s="14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>
        <f t="array" ref="A97">IF(ROWS(A$4:A97)&lt;=$B$2,INDEX(data!C$3:C$16128,SMALL(IF(data!$D$3:$D$16128='Банкя'!$B$1,ROW(data!$A$3:$A$16128)-ROW($A$3)+1),ROWS(A$4:A97))),"")</f>
        <v>46188</v>
      </c>
      <c r="B97" s="19" t="str">
        <f t="array" ref="B97">IF(ROWS(B$4:B97)&lt;=$B$2,INDEX(data!A$3:A$16128,SMALL(IF(data!$D$3:$D$16128=$B$1,ROW(data!$A$3:$A$16128)-ROW($A$3)+1),ROWS(B$4:B97))),"")</f>
        <v>ЗАЕМ</v>
      </c>
      <c r="C97" s="19">
        <f t="array" ref="C97">IF(ROWS(C$4:C97)&lt;=$B$2,INDEX(data!B$3:B$16128,SMALL(IF(data!$D$3:$D$16128='Банкя'!$B$1,ROW(data!$A$3:$A$16128)-ROW($A$3)+1),ROWS(C$4:C97))),"")</f>
        <v>43692.65</v>
      </c>
      <c r="D97" s="7" t="str">
        <f t="array" ref="D97">IF(ROWS(D$4:D97)&lt;=$B$2,INDEX(data!E$3:E$16128,SMALL(IF(data!$D$3:$D$16128='Банкя'!$B$1,ROW(data!$A$3:$A$16128)-ROW($A$3)+1),ROWS(D$4:D97))),"")</f>
        <v>Салдо склад + вътр. п-не</v>
      </c>
      <c r="E97" s="11"/>
      <c r="F97" s="11"/>
      <c r="G97" s="11"/>
      <c r="H97" s="14"/>
      <c r="I97" s="14"/>
      <c r="J97" s="14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>
        <f t="array" ref="A98">IF(ROWS(A$4:A98)&lt;=$B$2,INDEX(data!C$3:C$16128,SMALL(IF(data!$D$3:$D$16128='Банкя'!$B$1,ROW(data!$A$3:$A$16128)-ROW($A$3)+1),ROWS(A$4:A98))),"")</f>
        <v>46190</v>
      </c>
      <c r="B98" s="19" t="str">
        <f t="array" ref="B98">IF(ROWS(B$4:B98)&lt;=$B$2,INDEX(data!A$3:A$16128,SMALL(IF(data!$D$3:$D$16128=$B$1,ROW(data!$A$3:$A$16128)-ROW($A$3)+1),ROWS(B$4:B98))),"")</f>
        <v>Каса ВАУЧЕРИ</v>
      </c>
      <c r="C98" s="19">
        <f t="array" ref="C98">IF(ROWS(C$4:C98)&lt;=$B$2,INDEX(data!B$3:B$16128,SMALL(IF(data!$D$3:$D$16128='Банкя'!$B$1,ROW(data!$A$3:$A$16128)-ROW($A$3)+1),ROWS(C$4:C98))),"")</f>
        <v>-20</v>
      </c>
      <c r="D98" s="7" t="str">
        <f t="array" ref="D98">IF(ROWS(D$4:D98)&lt;=$B$2,INDEX(data!E$3:E$16128,SMALL(IF(data!$D$3:$D$16128='Банкя'!$B$1,ROW(data!$A$3:$A$16128)-ROW($A$3)+1),ROWS(D$4:D98))),"")</f>
        <v>за 25-31.05</v>
      </c>
      <c r="E98" s="11"/>
      <c r="F98" s="11"/>
      <c r="G98" s="11"/>
      <c r="H98" s="14"/>
      <c r="I98" s="14"/>
      <c r="J98" s="14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>
        <f t="array" ref="A99">IF(ROWS(A$4:A99)&lt;=$B$2,INDEX(data!C$3:C$16128,SMALL(IF(data!$D$3:$D$16128='Банкя'!$B$1,ROW(data!$A$3:$A$16128)-ROW($A$3)+1),ROWS(A$4:A99))),"")</f>
        <v>46192</v>
      </c>
      <c r="B99" s="19" t="str">
        <f t="array" ref="B99">IF(ROWS(B$4:B99)&lt;=$B$2,INDEX(data!A$3:A$16128,SMALL(IF(data!$D$3:$D$16128=$B$1,ROW(data!$A$3:$A$16128)-ROW($A$3)+1),ROWS(B$4:B99))),"")</f>
        <v>Каса ВАУЧЕРИ</v>
      </c>
      <c r="C99" s="19">
        <f t="array" ref="C99">IF(ROWS(C$4:C99)&lt;=$B$2,INDEX(data!B$3:B$16128,SMALL(IF(data!$D$3:$D$16128='Банкя'!$B$1,ROW(data!$A$3:$A$16128)-ROW($A$3)+1),ROWS(C$4:C99))),"")</f>
        <v>700</v>
      </c>
      <c r="D99" s="7" t="str">
        <f t="array" ref="D99">IF(ROWS(D$4:D99)&lt;=$B$2,INDEX(data!E$3:E$16128,SMALL(IF(data!$D$3:$D$16128='Банкя'!$B$1,ROW(data!$A$3:$A$16128)-ROW($A$3)+1),ROWS(D$4:D99))),"")</f>
        <v>ваучери персонал</v>
      </c>
      <c r="E99" s="11"/>
      <c r="F99" s="11"/>
      <c r="G99" s="11"/>
      <c r="H99" s="14"/>
      <c r="I99" s="14"/>
      <c r="J99" s="14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>
        <f t="array" ref="A100">IF(ROWS(A$4:A100)&lt;=$B$2,INDEX(data!C$3:C$16128,SMALL(IF(data!$D$3:$D$16128='Банкя'!$B$1,ROW(data!$A$3:$A$16128)-ROW($A$3)+1),ROWS(A$4:A100))),"")</f>
        <v>46195</v>
      </c>
      <c r="B100" s="19" t="str">
        <f t="array" ref="B100">IF(ROWS(B$4:B100)&lt;=$B$2,INDEX(data!A$3:A$16128,SMALL(IF(data!$D$3:$D$16128=$B$1,ROW(data!$A$3:$A$16128)-ROW($A$3)+1),ROWS(B$4:B100))),"")</f>
        <v>MYPOS Бакалия</v>
      </c>
      <c r="C100" s="19">
        <f t="array" ref="C100">IF(ROWS(C$4:C100)&lt;=$B$2,INDEX(data!B$3:B$16128,SMALL(IF(data!$D$3:$D$16128='Банкя'!$B$1,ROW(data!$A$3:$A$16128)-ROW($A$3)+1),ROWS(C$4:C100))),"")</f>
        <v>-4055.46</v>
      </c>
      <c r="D100" s="7" t="str">
        <f t="array" ref="D100">IF(ROWS(D$4:D100)&lt;=$B$2,INDEX(data!E$3:E$16128,SMALL(IF(data!$D$3:$D$16128='Банкя'!$B$1,ROW(data!$A$3:$A$16128)-ROW($A$3)+1),ROWS(D$4:D100))),"")</f>
        <v/>
      </c>
      <c r="E100" s="11"/>
      <c r="F100" s="11"/>
      <c r="G100" s="11"/>
      <c r="H100" s="14"/>
      <c r="I100" s="14"/>
      <c r="J100" s="14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>
        <f t="array" ref="A101">IF(ROWS(A$4:A101)&lt;=$B$2,INDEX(data!C$3:C$16128,SMALL(IF(data!$D$3:$D$16128='Банкя'!$B$1,ROW(data!$A$3:$A$16128)-ROW($A$3)+1),ROWS(A$4:A101))),"")</f>
        <v>46195</v>
      </c>
      <c r="B101" s="19" t="str">
        <f t="array" ref="B101">IF(ROWS(B$4:B101)&lt;=$B$2,INDEX(data!A$3:A$16128,SMALL(IF(data!$D$3:$D$16128=$B$1,ROW(data!$A$3:$A$16128)-ROW($A$3)+1),ROWS(B$4:B101))),"")</f>
        <v>КАСОВА КНИГА</v>
      </c>
      <c r="C101" s="19">
        <f t="array" ref="C101">IF(ROWS(C$4:C101)&lt;=$B$2,INDEX(data!B$3:B$16128,SMALL(IF(data!$D$3:$D$16128='Банкя'!$B$1,ROW(data!$A$3:$A$16128)-ROW($A$3)+1),ROWS(C$4:C101))),"")</f>
        <v>-2500</v>
      </c>
      <c r="D101" s="7" t="str">
        <f t="array" ref="D101">IF(ROWS(D$4:D101)&lt;=$B$2,INDEX(data!E$3:E$16128,SMALL(IF(data!$D$3:$D$16128='Банкя'!$B$1,ROW(data!$A$3:$A$16128)-ROW($A$3)+1),ROWS(D$4:D101))),"")</f>
        <v/>
      </c>
      <c r="E101" s="11"/>
      <c r="F101" s="11"/>
      <c r="G101" s="11"/>
      <c r="H101" s="14"/>
      <c r="I101" s="14"/>
      <c r="J101" s="14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>
        <f t="array" ref="A102">IF(ROWS(A$4:A102)&lt;=$B$2,INDEX(data!C$3:C$16128,SMALL(IF(data!$D$3:$D$16128='Банкя'!$B$1,ROW(data!$A$3:$A$16128)-ROW($A$3)+1),ROWS(A$4:A102))),"")</f>
        <v>46199</v>
      </c>
      <c r="B102" s="19" t="str">
        <f t="array" ref="B102">IF(ROWS(B$4:B102)&lt;=$B$2,INDEX(data!A$3:A$16128,SMALL(IF(data!$D$3:$D$16128=$B$1,ROW(data!$A$3:$A$16128)-ROW($A$3)+1),ROWS(B$4:B102))),"")</f>
        <v>КАСОВА КНИГА</v>
      </c>
      <c r="C102" s="19">
        <f t="array" ref="C102">IF(ROWS(C$4:C102)&lt;=$B$2,INDEX(data!B$3:B$16128,SMALL(IF(data!$D$3:$D$16128='Банкя'!$B$1,ROW(data!$A$3:$A$16128)-ROW($A$3)+1),ROWS(C$4:C102))),"")</f>
        <v>-500</v>
      </c>
      <c r="D102" s="7" t="str">
        <f t="array" ref="D102">IF(ROWS(D$4:D102)&lt;=$B$2,INDEX(data!E$3:E$16128,SMALL(IF(data!$D$3:$D$16128='Банкя'!$B$1,ROW(data!$A$3:$A$16128)-ROW($A$3)+1),ROWS(D$4:D102))),"")</f>
        <v/>
      </c>
      <c r="E102" s="11"/>
      <c r="F102" s="11"/>
      <c r="G102" s="11"/>
      <c r="H102" s="14"/>
      <c r="I102" s="14"/>
      <c r="J102" s="14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>
        <f t="array" ref="A103">IF(ROWS(A$4:A103)&lt;=$B$2,INDEX(data!C$3:C$16128,SMALL(IF(data!$D$3:$D$16128='Банкя'!$B$1,ROW(data!$A$3:$A$16128)-ROW($A$3)+1),ROWS(A$4:A103))),"")</f>
        <v>46202</v>
      </c>
      <c r="B103" s="19" t="str">
        <f t="array" ref="B103">IF(ROWS(B$4:B103)&lt;=$B$2,INDEX(data!A$3:A$16128,SMALL(IF(data!$D$3:$D$16128=$B$1,ROW(data!$A$3:$A$16128)-ROW($A$3)+1),ROWS(B$4:B103))),"")</f>
        <v>MYPOS Бакалия</v>
      </c>
      <c r="C103" s="19">
        <f t="array" ref="C103">IF(ROWS(C$4:C103)&lt;=$B$2,INDEX(data!B$3:B$16128,SMALL(IF(data!$D$3:$D$16128='Банкя'!$B$1,ROW(data!$A$3:$A$16128)-ROW($A$3)+1),ROWS(C$4:C103))),"")</f>
        <v>-4324.32</v>
      </c>
      <c r="D103" s="7" t="str">
        <f t="array" ref="D103">IF(ROWS(D$4:D103)&lt;=$B$2,INDEX(data!E$3:E$16128,SMALL(IF(data!$D$3:$D$16128='Банкя'!$B$1,ROW(data!$A$3:$A$16128)-ROW($A$3)+1),ROWS(D$4:D103))),"")</f>
        <v/>
      </c>
      <c r="E103" s="11"/>
      <c r="F103" s="11"/>
      <c r="G103" s="11"/>
      <c r="H103" s="14"/>
      <c r="I103" s="14"/>
      <c r="J103" s="14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>
        <f t="array" ref="A104">IF(ROWS(A$4:A104)&lt;=$B$2,INDEX(data!C$3:C$16128,SMALL(IF(data!$D$3:$D$16128='Банкя'!$B$1,ROW(data!$A$3:$A$16128)-ROW($A$3)+1),ROWS(A$4:A104))),"")</f>
        <v>46202</v>
      </c>
      <c r="B104" s="19" t="str">
        <f t="array" ref="B104">IF(ROWS(B$4:B104)&lt;=$B$2,INDEX(data!A$3:A$16128,SMALL(IF(data!$D$3:$D$16128=$B$1,ROW(data!$A$3:$A$16128)-ROW($A$3)+1),ROWS(B$4:B104))),"")</f>
        <v>КАСОВА КНИГА</v>
      </c>
      <c r="C104" s="19">
        <f t="array" ref="C104">IF(ROWS(C$4:C104)&lt;=$B$2,INDEX(data!B$3:B$16128,SMALL(IF(data!$D$3:$D$16128='Банкя'!$B$1,ROW(data!$A$3:$A$16128)-ROW($A$3)+1),ROWS(C$4:C104))),"")</f>
        <v>-2000</v>
      </c>
      <c r="D104" s="7" t="str">
        <f t="array" ref="D104">IF(ROWS(D$4:D104)&lt;=$B$2,INDEX(data!E$3:E$16128,SMALL(IF(data!$D$3:$D$16128='Банкя'!$B$1,ROW(data!$A$3:$A$16128)-ROW($A$3)+1),ROWS(D$4:D104))),"")</f>
        <v/>
      </c>
      <c r="E104" s="11"/>
      <c r="F104" s="11"/>
      <c r="G104" s="11"/>
      <c r="H104" s="14"/>
      <c r="I104" s="14"/>
      <c r="J104" s="14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>
        <f t="array" ref="A105">IF(ROWS(A$4:A105)&lt;=$B$2,INDEX(data!C$3:C$16128,SMALL(IF(data!$D$3:$D$16128='Банкя'!$B$1,ROW(data!$A$3:$A$16128)-ROW($A$3)+1),ROWS(A$4:A105))),"")</f>
        <v>46204</v>
      </c>
      <c r="B105" s="19" t="str">
        <f t="array" ref="B105">IF(ROWS(B$4:B105)&lt;=$B$2,INDEX(data!A$3:A$16128,SMALL(IF(data!$D$3:$D$16128=$B$1,ROW(data!$A$3:$A$16128)-ROW($A$3)+1),ROWS(B$4:B105))),"")</f>
        <v>КАСОВА КНИГА</v>
      </c>
      <c r="C105" s="19">
        <f t="array" ref="C105">IF(ROWS(C$4:C105)&lt;=$B$2,INDEX(data!B$3:B$16128,SMALL(IF(data!$D$3:$D$16128='Банкя'!$B$1,ROW(data!$A$3:$A$16128)-ROW($A$3)+1),ROWS(C$4:C105))),"")</f>
        <v>-1000</v>
      </c>
      <c r="D105" s="7" t="str">
        <f t="array" ref="D105">IF(ROWS(D$4:D105)&lt;=$B$2,INDEX(data!E$3:E$16128,SMALL(IF(data!$D$3:$D$16128='Банкя'!$B$1,ROW(data!$A$3:$A$16128)-ROW($A$3)+1),ROWS(D$4:D105))),"")</f>
        <v/>
      </c>
      <c r="E105" s="11"/>
      <c r="F105" s="11"/>
      <c r="G105" s="11"/>
      <c r="H105" s="14"/>
      <c r="I105" s="14"/>
      <c r="J105" s="14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>
        <f t="array" ref="A106">IF(ROWS(A$4:A106)&lt;=$B$2,INDEX(data!C$3:C$16128,SMALL(IF(data!$D$3:$D$16128='Банкя'!$B$1,ROW(data!$A$3:$A$16128)-ROW($A$3)+1),ROWS(A$4:A106))),"")</f>
        <v>46209</v>
      </c>
      <c r="B106" s="19" t="str">
        <f t="array" ref="B106">IF(ROWS(B$4:B106)&lt;=$B$2,INDEX(data!A$3:A$16128,SMALL(IF(data!$D$3:$D$16128=$B$1,ROW(data!$A$3:$A$16128)-ROW($A$3)+1),ROWS(B$4:B106))),"")</f>
        <v>MYPOS Бакалия</v>
      </c>
      <c r="C106" s="19">
        <f t="array" ref="C106">IF(ROWS(C$4:C106)&lt;=$B$2,INDEX(data!B$3:B$16128,SMALL(IF(data!$D$3:$D$16128='Банкя'!$B$1,ROW(data!$A$3:$A$16128)-ROW($A$3)+1),ROWS(C$4:C106))),"")</f>
        <v>-4012.56</v>
      </c>
      <c r="D106" s="7" t="str">
        <f t="array" ref="D106">IF(ROWS(D$4:D106)&lt;=$B$2,INDEX(data!E$3:E$16128,SMALL(IF(data!$D$3:$D$16128='Банкя'!$B$1,ROW(data!$A$3:$A$16128)-ROW($A$3)+1),ROWS(D$4:D106))),"")</f>
        <v/>
      </c>
      <c r="E106" s="11"/>
      <c r="F106" s="11"/>
      <c r="G106" s="11"/>
      <c r="H106" s="14"/>
      <c r="I106" s="14"/>
      <c r="J106" s="14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>
        <f t="array" ref="A107">IF(ROWS(A$4:A107)&lt;=$B$2,INDEX(data!C$3:C$16128,SMALL(IF(data!$D$3:$D$16128='Банкя'!$B$1,ROW(data!$A$3:$A$16128)-ROW($A$3)+1),ROWS(A$4:A107))),"")</f>
        <v>46209</v>
      </c>
      <c r="B107" s="19" t="str">
        <f t="array" ref="B107">IF(ROWS(B$4:B107)&lt;=$B$2,INDEX(data!A$3:A$16128,SMALL(IF(data!$D$3:$D$16128=$B$1,ROW(data!$A$3:$A$16128)-ROW($A$3)+1),ROWS(B$4:B107))),"")</f>
        <v>КАСОВА КНИГА</v>
      </c>
      <c r="C107" s="19">
        <f t="array" ref="C107">IF(ROWS(C$4:C107)&lt;=$B$2,INDEX(data!B$3:B$16128,SMALL(IF(data!$D$3:$D$16128='Банкя'!$B$1,ROW(data!$A$3:$A$16128)-ROW($A$3)+1),ROWS(C$4:C107))),"")</f>
        <v>-2500</v>
      </c>
      <c r="D107" s="7" t="str">
        <f t="array" ref="D107">IF(ROWS(D$4:D107)&lt;=$B$2,INDEX(data!E$3:E$16128,SMALL(IF(data!$D$3:$D$16128='Банкя'!$B$1,ROW(data!$A$3:$A$16128)-ROW($A$3)+1),ROWS(D$4:D107))),"")</f>
        <v/>
      </c>
      <c r="E107" s="11"/>
      <c r="F107" s="11"/>
      <c r="G107" s="11"/>
      <c r="H107" s="14"/>
      <c r="I107" s="14"/>
      <c r="J107" s="14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>
        <f t="array" ref="A108">IF(ROWS(A$4:A108)&lt;=$B$2,INDEX(data!C$3:C$16128,SMALL(IF(data!$D$3:$D$16128='Банкя'!$B$1,ROW(data!$A$3:$A$16128)-ROW($A$3)+1),ROWS(A$4:A108))),"")</f>
        <v>46211</v>
      </c>
      <c r="B108" s="19" t="str">
        <f t="array" ref="B108">IF(ROWS(B$4:B108)&lt;=$B$2,INDEX(data!A$3:A$16128,SMALL(IF(data!$D$3:$D$16128=$B$1,ROW(data!$A$3:$A$16128)-ROW($A$3)+1),ROWS(B$4:B108))),"")</f>
        <v>КАСОВА КНИГА</v>
      </c>
      <c r="C108" s="19">
        <f t="array" ref="C108">IF(ROWS(C$4:C108)&lt;=$B$2,INDEX(data!B$3:B$16128,SMALL(IF(data!$D$3:$D$16128='Банкя'!$B$1,ROW(data!$A$3:$A$16128)-ROW($A$3)+1),ROWS(C$4:C108))),"")</f>
        <v>-1000</v>
      </c>
      <c r="D108" s="7" t="str">
        <f t="array" ref="D108">IF(ROWS(D$4:D108)&lt;=$B$2,INDEX(data!E$3:E$16128,SMALL(IF(data!$D$3:$D$16128='Банкя'!$B$1,ROW(data!$A$3:$A$16128)-ROW($A$3)+1),ROWS(D$4:D108))),"")</f>
        <v/>
      </c>
      <c r="E108" s="11"/>
      <c r="F108" s="11"/>
      <c r="G108" s="11"/>
      <c r="H108" s="14"/>
      <c r="I108" s="14"/>
      <c r="J108" s="14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>
        <f t="array" ref="A109">IF(ROWS(A$4:A109)&lt;=$B$2,INDEX(data!C$3:C$16128,SMALL(IF(data!$D$3:$D$16128='Банкя'!$B$1,ROW(data!$A$3:$A$16128)-ROW($A$3)+1),ROWS(A$4:A109))),"")</f>
        <v>46213</v>
      </c>
      <c r="B109" s="19" t="str">
        <f t="array" ref="B109">IF(ROWS(B$4:B109)&lt;=$B$2,INDEX(data!A$3:A$16128,SMALL(IF(data!$D$3:$D$16128=$B$1,ROW(data!$A$3:$A$16128)-ROW($A$3)+1),ROWS(B$4:B109))),"")</f>
        <v>КАСОВА КНИГА</v>
      </c>
      <c r="C109" s="19">
        <f t="array" ref="C109">IF(ROWS(C$4:C109)&lt;=$B$2,INDEX(data!B$3:B$16128,SMALL(IF(data!$D$3:$D$16128='Банкя'!$B$1,ROW(data!$A$3:$A$16128)-ROW($A$3)+1),ROWS(C$4:C109))),"")</f>
        <v>-1500</v>
      </c>
      <c r="D109" s="7" t="str">
        <f t="array" ref="D109">IF(ROWS(D$4:D109)&lt;=$B$2,INDEX(data!E$3:E$16128,SMALL(IF(data!$D$3:$D$16128='Банкя'!$B$1,ROW(data!$A$3:$A$16128)-ROW($A$3)+1),ROWS(D$4:D109))),"")</f>
        <v/>
      </c>
      <c r="E109" s="11"/>
      <c r="F109" s="11"/>
      <c r="G109" s="11"/>
      <c r="H109" s="14"/>
      <c r="I109" s="14"/>
      <c r="J109" s="14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>
        <f t="array" ref="A110">IF(ROWS(A$4:A110)&lt;=$B$2,INDEX(data!C$3:C$16128,SMALL(IF(data!$D$3:$D$16128='Банкя'!$B$1,ROW(data!$A$3:$A$16128)-ROW($A$3)+1),ROWS(A$4:A110))),"")</f>
        <v>46216</v>
      </c>
      <c r="B110" s="19" t="str">
        <f t="array" ref="B110">IF(ROWS(B$4:B110)&lt;=$B$2,INDEX(data!A$3:A$16128,SMALL(IF(data!$D$3:$D$16128=$B$1,ROW(data!$A$3:$A$16128)-ROW($A$3)+1),ROWS(B$4:B110))),"")</f>
        <v>КАСОВА КНИГА</v>
      </c>
      <c r="C110" s="19">
        <f t="array" ref="C110">IF(ROWS(C$4:C110)&lt;=$B$2,INDEX(data!B$3:B$16128,SMALL(IF(data!$D$3:$D$16128='Банкя'!$B$1,ROW(data!$A$3:$A$16128)-ROW($A$3)+1),ROWS(C$4:C110))),"")</f>
        <v>-2000</v>
      </c>
      <c r="D110" s="7" t="str">
        <f t="array" ref="D110">IF(ROWS(D$4:D110)&lt;=$B$2,INDEX(data!E$3:E$16128,SMALL(IF(data!$D$3:$D$16128='Банкя'!$B$1,ROW(data!$A$3:$A$16128)-ROW($A$3)+1),ROWS(D$4:D110))),"")</f>
        <v/>
      </c>
      <c r="E110" s="11"/>
      <c r="F110" s="11"/>
      <c r="G110" s="11"/>
      <c r="H110" s="14"/>
      <c r="I110" s="14"/>
      <c r="J110" s="14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>
        <f t="array" ref="A111">IF(ROWS(A$4:A111)&lt;=$B$2,INDEX(data!C$3:C$16128,SMALL(IF(data!$D$3:$D$16128='Банкя'!$B$1,ROW(data!$A$3:$A$16128)-ROW($A$3)+1),ROWS(A$4:A111))),"")</f>
        <v>46216</v>
      </c>
      <c r="B111" s="19" t="str">
        <f t="array" ref="B111">IF(ROWS(B$4:B111)&lt;=$B$2,INDEX(data!A$3:A$16128,SMALL(IF(data!$D$3:$D$16128=$B$1,ROW(data!$A$3:$A$16128)-ROW($A$3)+1),ROWS(B$4:B111))),"")</f>
        <v>каса ФИКТИВНА</v>
      </c>
      <c r="C111" s="19">
        <f t="array" ref="C111">IF(ROWS(C$4:C111)&lt;=$B$2,INDEX(data!B$3:B$16128,SMALL(IF(data!$D$3:$D$16128='Банкя'!$B$1,ROW(data!$A$3:$A$16128)-ROW($A$3)+1),ROWS(C$4:C111))),"")</f>
        <v>-100</v>
      </c>
      <c r="D111" s="7" t="str">
        <f t="array" ref="D111">IF(ROWS(D$4:D111)&lt;=$B$2,INDEX(data!E$3:E$16128,SMALL(IF(data!$D$3:$D$16128='Банкя'!$B$1,ROW(data!$A$3:$A$16128)-ROW($A$3)+1),ROWS(D$4:D111))),"")</f>
        <v>Гери от премиите</v>
      </c>
      <c r="E111" s="11"/>
      <c r="F111" s="11"/>
      <c r="G111" s="11"/>
      <c r="H111" s="14"/>
      <c r="I111" s="14"/>
      <c r="J111" s="14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>
        <f t="array" ref="A112">IF(ROWS(A$4:A112)&lt;=$B$2,INDEX(data!C$3:C$16128,SMALL(IF(data!$D$3:$D$16128='Банкя'!$B$1,ROW(data!$A$3:$A$16128)-ROW($A$3)+1),ROWS(A$4:A112))),"")</f>
        <v>46219</v>
      </c>
      <c r="B112" s="19" t="str">
        <f t="array" ref="B112">IF(ROWS(B$4:B112)&lt;=$B$2,INDEX(data!A$3:A$16128,SMALL(IF(data!$D$3:$D$16128=$B$1,ROW(data!$A$3:$A$16128)-ROW($A$3)+1),ROWS(B$4:B112))),"")</f>
        <v>Каса ВАУЧЕРИ</v>
      </c>
      <c r="C112" s="19">
        <f t="array" ref="C112">IF(ROWS(C$4:C112)&lt;=$B$2,INDEX(data!B$3:B$16128,SMALL(IF(data!$D$3:$D$16128='Банкя'!$B$1,ROW(data!$A$3:$A$16128)-ROW($A$3)+1),ROWS(C$4:C112))),"")</f>
        <v>-10</v>
      </c>
      <c r="D112" s="7" t="str">
        <f t="array" ref="D112">IF(ROWS(D$4:D112)&lt;=$B$2,INDEX(data!E$3:E$16128,SMALL(IF(data!$D$3:$D$16128='Банкя'!$B$1,ROW(data!$A$3:$A$16128)-ROW($A$3)+1),ROWS(D$4:D112))),"")</f>
        <v>за 22-28.06</v>
      </c>
      <c r="E112" s="11"/>
      <c r="F112" s="11"/>
      <c r="G112" s="11"/>
      <c r="H112" s="14"/>
      <c r="I112" s="14"/>
      <c r="J112" s="14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3">
        <f t="array" ref="A113">IF(ROWS(A$4:A113)&lt;=$B$2,INDEX(data!C$3:C$16128,SMALL(IF(data!$D$3:$D$16128='Банкя'!$B$1,ROW(data!$A$3:$A$16128)-ROW($A$3)+1),ROWS(A$4:A113))),"")</f>
        <v>46220</v>
      </c>
      <c r="B113" s="19" t="str">
        <f t="array" ref="B113">IF(ROWS(B$4:B113)&lt;=$B$2,INDEX(data!A$3:A$16128,SMALL(IF(data!$D$3:$D$16128=$B$1,ROW(data!$A$3:$A$16128)-ROW($A$3)+1),ROWS(B$4:B113))),"")</f>
        <v>КАСОВА КНИГА</v>
      </c>
      <c r="C113" s="19">
        <f t="array" ref="C113">IF(ROWS(C$4:C113)&lt;=$B$2,INDEX(data!B$3:B$16128,SMALL(IF(data!$D$3:$D$16128='Банкя'!$B$1,ROW(data!$A$3:$A$16128)-ROW($A$3)+1),ROWS(C$4:C113))),"")</f>
        <v>-500</v>
      </c>
      <c r="D113" s="7" t="str">
        <f t="array" ref="D113">IF(ROWS(D$4:D113)&lt;=$B$2,INDEX(data!E$3:E$16128,SMALL(IF(data!$D$3:$D$16128='Банкя'!$B$1,ROW(data!$A$3:$A$16128)-ROW($A$3)+1),ROWS(D$4:D113))),"")</f>
        <v/>
      </c>
      <c r="E113" s="11"/>
      <c r="F113" s="11"/>
      <c r="G113" s="11"/>
      <c r="H113" s="14"/>
      <c r="I113" s="14"/>
      <c r="J113" s="14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3">
        <f t="array" ref="A114">IF(ROWS(A$4:A114)&lt;=$B$2,INDEX(data!C$3:C$16128,SMALL(IF(data!$D$3:$D$16128='Банкя'!$B$1,ROW(data!$A$3:$A$16128)-ROW($A$3)+1),ROWS(A$4:A114))),"")</f>
        <v>46223</v>
      </c>
      <c r="B114" s="19" t="str">
        <f t="array" ref="B114">IF(ROWS(B$4:B114)&lt;=$B$2,INDEX(data!A$3:A$16128,SMALL(IF(data!$D$3:$D$16128=$B$1,ROW(data!$A$3:$A$16128)-ROW($A$3)+1),ROWS(B$4:B114))),"")</f>
        <v>КАСОВА КНИГА</v>
      </c>
      <c r="C114" s="19">
        <f t="array" ref="C114">IF(ROWS(C$4:C114)&lt;=$B$2,INDEX(data!B$3:B$16128,SMALL(IF(data!$D$3:$D$16128='Банкя'!$B$1,ROW(data!$A$3:$A$16128)-ROW($A$3)+1),ROWS(C$4:C114))),"")</f>
        <v>-2000</v>
      </c>
      <c r="D114" s="7" t="str">
        <f t="array" ref="D114">IF(ROWS(D$4:D114)&lt;=$B$2,INDEX(data!E$3:E$16128,SMALL(IF(data!$D$3:$D$16128='Банкя'!$B$1,ROW(data!$A$3:$A$16128)-ROW($A$3)+1),ROWS(D$4:D114))),"")</f>
        <v/>
      </c>
      <c r="E114" s="11"/>
      <c r="F114" s="11"/>
      <c r="G114" s="11"/>
      <c r="H114" s="14"/>
      <c r="I114" s="14"/>
      <c r="J114" s="14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>
        <f t="array" ref="A115">IF(ROWS(A$4:A115)&lt;=$B$2,INDEX(data!C$3:C$16128,SMALL(IF(data!$D$3:$D$16128='Банкя'!$B$1,ROW(data!$A$3:$A$16128)-ROW($A$3)+1),ROWS(A$4:A115))),"")</f>
        <v>46223</v>
      </c>
      <c r="B115" s="19" t="str">
        <f t="array" ref="B115">IF(ROWS(B$4:B115)&lt;=$B$2,INDEX(data!A$3:A$16128,SMALL(IF(data!$D$3:$D$16128=$B$1,ROW(data!$A$3:$A$16128)-ROW($A$3)+1),ROWS(B$4:B115))),"")</f>
        <v>Каса ВАУЧЕРИ</v>
      </c>
      <c r="C115" s="19">
        <f t="array" ref="C115">IF(ROWS(C$4:C115)&lt;=$B$2,INDEX(data!B$3:B$16128,SMALL(IF(data!$D$3:$D$16128='Банкя'!$B$1,ROW(data!$A$3:$A$16128)-ROW($A$3)+1),ROWS(C$4:C115))),"")</f>
        <v>700</v>
      </c>
      <c r="D115" s="7" t="str">
        <f t="array" ref="D115">IF(ROWS(D$4:D115)&lt;=$B$2,INDEX(data!E$3:E$16128,SMALL(IF(data!$D$3:$D$16128='Банкя'!$B$1,ROW(data!$A$3:$A$16128)-ROW($A$3)+1),ROWS(D$4:D115))),"")</f>
        <v>ваучери персонал</v>
      </c>
      <c r="E115" s="11"/>
      <c r="F115" s="11"/>
      <c r="G115" s="11"/>
      <c r="H115" s="14"/>
      <c r="I115" s="14"/>
      <c r="J115" s="14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>
        <f t="array" ref="A116">IF(ROWS(A$4:A116)&lt;=$B$2,INDEX(data!C$3:C$16128,SMALL(IF(data!$D$3:$D$16128='Банкя'!$B$1,ROW(data!$A$3:$A$16128)-ROW($A$3)+1),ROWS(A$4:A116))),"")</f>
        <v>46223</v>
      </c>
      <c r="B116" s="19" t="str">
        <f t="array" ref="B116">IF(ROWS(B$4:B116)&lt;=$B$2,INDEX(data!A$3:A$16128,SMALL(IF(data!$D$3:$D$16128=$B$1,ROW(data!$A$3:$A$16128)-ROW($A$3)+1),ROWS(B$4:B116))),"")</f>
        <v>MYPOS Бакалия</v>
      </c>
      <c r="C116" s="19">
        <f t="array" ref="C116">IF(ROWS(C$4:C116)&lt;=$B$2,INDEX(data!B$3:B$16128,SMALL(IF(data!$D$3:$D$16128='Банкя'!$B$1,ROW(data!$A$3:$A$16128)-ROW($A$3)+1),ROWS(C$4:C116))),"")</f>
        <v>-10029.62</v>
      </c>
      <c r="D116" s="7" t="str">
        <f t="array" ref="D116">IF(ROWS(D$4:D116)&lt;=$B$2,INDEX(data!E$3:E$16128,SMALL(IF(data!$D$3:$D$16128='Банкя'!$B$1,ROW(data!$A$3:$A$16128)-ROW($A$3)+1),ROWS(D$4:D116))),"")</f>
        <v/>
      </c>
      <c r="E116" s="11"/>
      <c r="F116" s="11"/>
      <c r="G116" s="11"/>
      <c r="H116" s="14"/>
      <c r="I116" s="14"/>
      <c r="J116" s="14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>
        <f t="array" ref="A117">IF(ROWS(A$4:A117)&lt;=$B$2,INDEX(data!C$3:C$16128,SMALL(IF(data!$D$3:$D$16128='Банкя'!$B$1,ROW(data!$A$3:$A$16128)-ROW($A$3)+1),ROWS(A$4:A117))),"")</f>
        <v>46224</v>
      </c>
      <c r="B117" s="19" t="str">
        <f t="array" ref="B117">IF(ROWS(B$4:B117)&lt;=$B$2,INDEX(data!A$3:A$16128,SMALL(IF(data!$D$3:$D$16128=$B$1,ROW(data!$A$3:$A$16128)-ROW($A$3)+1),ROWS(B$4:B117))),"")</f>
        <v>ЗАЕМ</v>
      </c>
      <c r="C117" s="19">
        <f t="array" ref="C117">IF(ROWS(C$4:C117)&lt;=$B$2,INDEX(data!B$3:B$16128,SMALL(IF(data!$D$3:$D$16128='Банкя'!$B$1,ROW(data!$A$3:$A$16128)-ROW($A$3)+1),ROWS(C$4:C117))),"")</f>
        <v>41946.46</v>
      </c>
      <c r="D117" s="7" t="str">
        <f t="array" ref="D117">IF(ROWS(D$4:D117)&lt;=$B$2,INDEX(data!E$3:E$16128,SMALL(IF(data!$D$3:$D$16128='Банкя'!$B$1,ROW(data!$A$3:$A$16128)-ROW($A$3)+1),ROWS(D$4:D117))),"")</f>
        <v>Салдо склад + вътр. п-не</v>
      </c>
      <c r="E117" s="11"/>
      <c r="F117" s="11"/>
      <c r="G117" s="11"/>
      <c r="H117" s="14"/>
      <c r="I117" s="14"/>
      <c r="J117" s="14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>
        <f t="array" ref="A118">IF(ROWS(A$4:A118)&lt;=$B$2,INDEX(data!C$3:C$16128,SMALL(IF(data!$D$3:$D$16128='Банкя'!$B$1,ROW(data!$A$3:$A$16128)-ROW($A$3)+1),ROWS(A$4:A118))),"")</f>
        <v>46227</v>
      </c>
      <c r="B118" s="19" t="str">
        <f t="array" ref="B118">IF(ROWS(B$4:B118)&lt;=$B$2,INDEX(data!A$3:A$16128,SMALL(IF(data!$D$3:$D$16128=$B$1,ROW(data!$A$3:$A$16128)-ROW($A$3)+1),ROWS(B$4:B118))),"")</f>
        <v>каса ФИКТИВНА</v>
      </c>
      <c r="C118" s="19">
        <f t="array" ref="C118">IF(ROWS(C$4:C118)&lt;=$B$2,INDEX(data!B$3:B$16128,SMALL(IF(data!$D$3:$D$16128='Банкя'!$B$1,ROW(data!$A$3:$A$16128)-ROW($A$3)+1),ROWS(C$4:C118))),"")</f>
        <v>-33</v>
      </c>
      <c r="D118" s="7" t="str">
        <f t="array" ref="D118">IF(ROWS(D$4:D118)&lt;=$B$2,INDEX(data!E$3:E$16128,SMALL(IF(data!$D$3:$D$16128='Банкя'!$B$1,ROW(data!$A$3:$A$16128)-ROW($A$3)+1),ROWS(D$4:D118))),"")</f>
        <v>платени пердета</v>
      </c>
      <c r="E118" s="11"/>
      <c r="F118" s="11"/>
      <c r="G118" s="11"/>
      <c r="H118" s="14"/>
      <c r="I118" s="14"/>
      <c r="J118" s="14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>
        <f t="array" ref="A119">IF(ROWS(A$4:A119)&lt;=$B$2,INDEX(data!C$3:C$16128,SMALL(IF(data!$D$3:$D$16128='Банкя'!$B$1,ROW(data!$A$3:$A$16128)-ROW($A$3)+1),ROWS(A$4:A119))),"")</f>
        <v>46230</v>
      </c>
      <c r="B119" s="19" t="str">
        <f t="array" ref="B119">IF(ROWS(B$4:B119)&lt;=$B$2,INDEX(data!A$3:A$16128,SMALL(IF(data!$D$3:$D$16128=$B$1,ROW(data!$A$3:$A$16128)-ROW($A$3)+1),ROWS(B$4:B119))),"")</f>
        <v>КАСОВА КНИГА</v>
      </c>
      <c r="C119" s="19">
        <f t="array" ref="C119">IF(ROWS(C$4:C119)&lt;=$B$2,INDEX(data!B$3:B$16128,SMALL(IF(data!$D$3:$D$16128='Банкя'!$B$1,ROW(data!$A$3:$A$16128)-ROW($A$3)+1),ROWS(C$4:C119))),"")</f>
        <v>-1500</v>
      </c>
      <c r="D119" s="7" t="str">
        <f t="array" ref="D119">IF(ROWS(D$4:D119)&lt;=$B$2,INDEX(data!E$3:E$16128,SMALL(IF(data!$D$3:$D$16128='Банкя'!$B$1,ROW(data!$A$3:$A$16128)-ROW($A$3)+1),ROWS(D$4:D119))),"")</f>
        <v/>
      </c>
      <c r="E119" s="11"/>
      <c r="F119" s="11"/>
      <c r="G119" s="11"/>
      <c r="H119" s="14"/>
      <c r="I119" s="14"/>
      <c r="J119" s="14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>
        <f t="array" ref="A120">IF(ROWS(A$4:A120)&lt;=$B$2,INDEX(data!C$3:C$16128,SMALL(IF(data!$D$3:$D$16128='Банкя'!$B$1,ROW(data!$A$3:$A$16128)-ROW($A$3)+1),ROWS(A$4:A120))),"")</f>
        <v>46231</v>
      </c>
      <c r="B120" s="19" t="str">
        <f t="array" ref="B120">IF(ROWS(B$4:B120)&lt;=$B$2,INDEX(data!A$3:A$16128,SMALL(IF(data!$D$3:$D$16128=$B$1,ROW(data!$A$3:$A$16128)-ROW($A$3)+1),ROWS(B$4:B120))),"")</f>
        <v>MYPOS Бакалия</v>
      </c>
      <c r="C120" s="19">
        <f t="array" ref="C120">IF(ROWS(C$4:C120)&lt;=$B$2,INDEX(data!B$3:B$16128,SMALL(IF(data!$D$3:$D$16128='Банкя'!$B$1,ROW(data!$A$3:$A$16128)-ROW($A$3)+1),ROWS(C$4:C120))),"")</f>
        <v>-5230.98</v>
      </c>
      <c r="D120" s="7" t="str">
        <f t="array" ref="D120">IF(ROWS(D$4:D120)&lt;=$B$2,INDEX(data!E$3:E$16128,SMALL(IF(data!$D$3:$D$16128='Банкя'!$B$1,ROW(data!$A$3:$A$16128)-ROW($A$3)+1),ROWS(D$4:D120))),"")</f>
        <v/>
      </c>
      <c r="E120" s="11"/>
      <c r="F120" s="11"/>
      <c r="G120" s="11"/>
      <c r="H120" s="14"/>
      <c r="I120" s="14"/>
      <c r="J120" s="14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3">
        <f t="array" ref="A121">IF(ROWS(A$4:A121)&lt;=$B$2,INDEX(data!C$3:C$16128,SMALL(IF(data!$D$3:$D$16128='Банкя'!$B$1,ROW(data!$A$3:$A$16128)-ROW($A$3)+1),ROWS(A$4:A121))),"")</f>
        <v>46234</v>
      </c>
      <c r="B121" s="19" t="str">
        <f t="array" ref="B121">IF(ROWS(B$4:B121)&lt;=$B$2,INDEX(data!A$3:A$16128,SMALL(IF(data!$D$3:$D$16128=$B$1,ROW(data!$A$3:$A$16128)-ROW($A$3)+1),ROWS(B$4:B121))),"")</f>
        <v>Каса ВАУЧЕРИ</v>
      </c>
      <c r="C121" s="19">
        <f t="array" ref="C121">IF(ROWS(C$4:C121)&lt;=$B$2,INDEX(data!B$3:B$16128,SMALL(IF(data!$D$3:$D$16128='Банкя'!$B$1,ROW(data!$A$3:$A$16128)-ROW($A$3)+1),ROWS(C$4:C121))),"")</f>
        <v>-20</v>
      </c>
      <c r="D121" s="7" t="str">
        <f t="array" ref="D121">IF(ROWS(D$4:D121)&lt;=$B$2,INDEX(data!E$3:E$16128,SMALL(IF(data!$D$3:$D$16128='Банкя'!$B$1,ROW(data!$A$3:$A$16128)-ROW($A$3)+1),ROWS(D$4:D121))),"")</f>
        <v/>
      </c>
      <c r="E121" s="11"/>
      <c r="F121" s="11"/>
      <c r="G121" s="11"/>
      <c r="H121" s="14"/>
      <c r="I121" s="14"/>
      <c r="J121" s="14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3">
        <f t="array" ref="A122">IF(ROWS(A$4:A122)&lt;=$B$2,INDEX(data!C$3:C$16128,SMALL(IF(data!$D$3:$D$16128='Банкя'!$B$1,ROW(data!$A$3:$A$16128)-ROW($A$3)+1),ROWS(A$4:A122))),"")</f>
        <v>46237</v>
      </c>
      <c r="B122" s="19" t="str">
        <f t="array" ref="B122">IF(ROWS(B$4:B122)&lt;=$B$2,INDEX(data!A$3:A$16128,SMALL(IF(data!$D$3:$D$16128=$B$1,ROW(data!$A$3:$A$16128)-ROW($A$3)+1),ROWS(B$4:B122))),"")</f>
        <v>MYPOS Бакалия</v>
      </c>
      <c r="C122" s="19">
        <f t="array" ref="C122">IF(ROWS(C$4:C122)&lt;=$B$2,INDEX(data!B$3:B$16128,SMALL(IF(data!$D$3:$D$16128='Банкя'!$B$1,ROW(data!$A$3:$A$16128)-ROW($A$3)+1),ROWS(C$4:C122))),"")</f>
        <v>-6127.02</v>
      </c>
      <c r="D122" s="7" t="str">
        <f t="array" ref="D122">IF(ROWS(D$4:D122)&lt;=$B$2,INDEX(data!E$3:E$16128,SMALL(IF(data!$D$3:$D$16128='Банкя'!$B$1,ROW(data!$A$3:$A$16128)-ROW($A$3)+1),ROWS(D$4:D122))),"")</f>
        <v/>
      </c>
      <c r="E122" s="11"/>
      <c r="F122" s="11"/>
      <c r="G122" s="11"/>
      <c r="H122" s="14"/>
      <c r="I122" s="14"/>
      <c r="J122" s="14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>
        <f t="array" ref="A123">IF(ROWS(A$4:A123)&lt;=$B$2,INDEX(data!C$3:C$16128,SMALL(IF(data!$D$3:$D$16128='Банкя'!$B$1,ROW(data!$A$3:$A$16128)-ROW($A$3)+1),ROWS(A$4:A123))),"")</f>
        <v>46237</v>
      </c>
      <c r="B123" s="19" t="str">
        <f t="array" ref="B123">IF(ROWS(B$4:B123)&lt;=$B$2,INDEX(data!A$3:A$16128,SMALL(IF(data!$D$3:$D$16128=$B$1,ROW(data!$A$3:$A$16128)-ROW($A$3)+1),ROWS(B$4:B123))),"")</f>
        <v>КАСОВА КНИГА</v>
      </c>
      <c r="C123" s="19">
        <f t="array" ref="C123">IF(ROWS(C$4:C123)&lt;=$B$2,INDEX(data!B$3:B$16128,SMALL(IF(data!$D$3:$D$16128='Банкя'!$B$1,ROW(data!$A$3:$A$16128)-ROW($A$3)+1),ROWS(C$4:C123))),"")</f>
        <v>-3000</v>
      </c>
      <c r="D123" s="7" t="str">
        <f t="array" ref="D123">IF(ROWS(D$4:D123)&lt;=$B$2,INDEX(data!E$3:E$16128,SMALL(IF(data!$D$3:$D$16128='Банкя'!$B$1,ROW(data!$A$3:$A$16128)-ROW($A$3)+1),ROWS(D$4:D123))),"")</f>
        <v/>
      </c>
      <c r="E123" s="11"/>
      <c r="F123" s="11"/>
      <c r="G123" s="11"/>
      <c r="H123" s="14"/>
      <c r="I123" s="14"/>
      <c r="J123" s="14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>
        <f t="array" ref="A124">IF(ROWS(A$4:A124)&lt;=$B$2,INDEX(data!C$3:C$16128,SMALL(IF(data!$D$3:$D$16128='Банкя'!$B$1,ROW(data!$A$3:$A$16128)-ROW($A$3)+1),ROWS(A$4:A124))),"")</f>
        <v>46239</v>
      </c>
      <c r="B124" s="19" t="str">
        <f t="array" ref="B124">IF(ROWS(B$4:B124)&lt;=$B$2,INDEX(data!A$3:A$16128,SMALL(IF(data!$D$3:$D$16128=$B$1,ROW(data!$A$3:$A$16128)-ROW($A$3)+1),ROWS(B$4:B124))),"")</f>
        <v>КАСОВА КНИГА</v>
      </c>
      <c r="C124" s="19">
        <f t="array" ref="C124">IF(ROWS(C$4:C124)&lt;=$B$2,INDEX(data!B$3:B$16128,SMALL(IF(data!$D$3:$D$16128='Банкя'!$B$1,ROW(data!$A$3:$A$16128)-ROW($A$3)+1),ROWS(C$4:C124))),"")</f>
        <v>-1000</v>
      </c>
      <c r="D124" s="7" t="str">
        <f t="array" ref="D124">IF(ROWS(D$4:D124)&lt;=$B$2,INDEX(data!E$3:E$16128,SMALL(IF(data!$D$3:$D$16128='Банкя'!$B$1,ROW(data!$A$3:$A$16128)-ROW($A$3)+1),ROWS(D$4:D124))),"")</f>
        <v/>
      </c>
      <c r="E124" s="11"/>
      <c r="F124" s="11"/>
      <c r="G124" s="11"/>
      <c r="H124" s="14"/>
      <c r="I124" s="14"/>
      <c r="J124" s="14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>
        <f t="array" ref="A125">IF(ROWS(A$4:A125)&lt;=$B$2,INDEX(data!C$3:C$16128,SMALL(IF(data!$D$3:$D$16128='Банкя'!$B$1,ROW(data!$A$3:$A$16128)-ROW($A$3)+1),ROWS(A$4:A125))),"")</f>
        <v>46241</v>
      </c>
      <c r="B125" s="19" t="str">
        <f t="array" ref="B125">IF(ROWS(B$4:B125)&lt;=$B$2,INDEX(data!A$3:A$16128,SMALL(IF(data!$D$3:$D$16128=$B$1,ROW(data!$A$3:$A$16128)-ROW($A$3)+1),ROWS(B$4:B125))),"")</f>
        <v>КАСОВА КНИГА</v>
      </c>
      <c r="C125" s="19">
        <f t="array" ref="C125">IF(ROWS(C$4:C125)&lt;=$B$2,INDEX(data!B$3:B$16128,SMALL(IF(data!$D$3:$D$16128='Банкя'!$B$1,ROW(data!$A$3:$A$16128)-ROW($A$3)+1),ROWS(C$4:C125))),"")</f>
        <v>-1500</v>
      </c>
      <c r="D125" s="7" t="str">
        <f t="array" ref="D125">IF(ROWS(D$4:D125)&lt;=$B$2,INDEX(data!E$3:E$16128,SMALL(IF(data!$D$3:$D$16128='Банкя'!$B$1,ROW(data!$A$3:$A$16128)-ROW($A$3)+1),ROWS(D$4:D125))),"")</f>
        <v/>
      </c>
      <c r="E125" s="11"/>
      <c r="F125" s="11"/>
      <c r="G125" s="11"/>
      <c r="H125" s="14"/>
      <c r="I125" s="14"/>
      <c r="J125" s="14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3">
        <f t="array" ref="A126">IF(ROWS(A$4:A126)&lt;=$B$2,INDEX(data!C$3:C$16128,SMALL(IF(data!$D$3:$D$16128='Банкя'!$B$1,ROW(data!$A$3:$A$16128)-ROW($A$3)+1),ROWS(A$4:A126))),"")</f>
        <v>46244</v>
      </c>
      <c r="B126" s="19" t="str">
        <f t="array" ref="B126">IF(ROWS(B$4:B126)&lt;=$B$2,INDEX(data!A$3:A$16128,SMALL(IF(data!$D$3:$D$16128=$B$1,ROW(data!$A$3:$A$16128)-ROW($A$3)+1),ROWS(B$4:B126))),"")</f>
        <v>MYPOS Бакалия</v>
      </c>
      <c r="C126" s="19">
        <f t="array" ref="C126">IF(ROWS(C$4:C126)&lt;=$B$2,INDEX(data!B$3:B$16128,SMALL(IF(data!$D$3:$D$16128='Банкя'!$B$1,ROW(data!$A$3:$A$16128)-ROW($A$3)+1),ROWS(C$4:C126))),"")</f>
        <v>-6264.83</v>
      </c>
      <c r="D126" s="7" t="str">
        <f t="array" ref="D126">IF(ROWS(D$4:D126)&lt;=$B$2,INDEX(data!E$3:E$16128,SMALL(IF(data!$D$3:$D$16128='Банкя'!$B$1,ROW(data!$A$3:$A$16128)-ROW($A$3)+1),ROWS(D$4:D126))),"")</f>
        <v/>
      </c>
      <c r="E126" s="11"/>
      <c r="F126" s="11"/>
      <c r="G126" s="11"/>
      <c r="H126" s="14"/>
      <c r="I126" s="14"/>
      <c r="J126" s="14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3">
        <f t="array" ref="A127">IF(ROWS(A$4:A127)&lt;=$B$2,INDEX(data!C$3:C$16128,SMALL(IF(data!$D$3:$D$16128='Банкя'!$B$1,ROW(data!$A$3:$A$16128)-ROW($A$3)+1),ROWS(A$4:A127))),"")</f>
        <v>46244</v>
      </c>
      <c r="B127" s="19" t="str">
        <f t="array" ref="B127">IF(ROWS(B$4:B127)&lt;=$B$2,INDEX(data!A$3:A$16128,SMALL(IF(data!$D$3:$D$16128=$B$1,ROW(data!$A$3:$A$16128)-ROW($A$3)+1),ROWS(B$4:B127))),"")</f>
        <v>КАСОВА КНИГА</v>
      </c>
      <c r="C127" s="19">
        <f t="array" ref="C127">IF(ROWS(C$4:C127)&lt;=$B$2,INDEX(data!B$3:B$16128,SMALL(IF(data!$D$3:$D$16128='Банкя'!$B$1,ROW(data!$A$3:$A$16128)-ROW($A$3)+1),ROWS(C$4:C127))),"")</f>
        <v>-2400</v>
      </c>
      <c r="D127" s="7" t="str">
        <f t="array" ref="D127">IF(ROWS(D$4:D127)&lt;=$B$2,INDEX(data!E$3:E$16128,SMALL(IF(data!$D$3:$D$16128='Банкя'!$B$1,ROW(data!$A$3:$A$16128)-ROW($A$3)+1),ROWS(D$4:D127))),"")</f>
        <v/>
      </c>
      <c r="E127" s="11"/>
      <c r="F127" s="11"/>
      <c r="G127" s="11"/>
      <c r="H127" s="14"/>
      <c r="I127" s="14"/>
      <c r="J127" s="14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3">
        <f t="array" ref="A128">IF(ROWS(A$4:A128)&lt;=$B$2,INDEX(data!C$3:C$16128,SMALL(IF(data!$D$3:$D$16128='Банкя'!$B$1,ROW(data!$A$3:$A$16128)-ROW($A$3)+1),ROWS(A$4:A128))),"")</f>
        <v>46246</v>
      </c>
      <c r="B128" s="19" t="str">
        <f t="array" ref="B128">IF(ROWS(B$4:B128)&lt;=$B$2,INDEX(data!A$3:A$16128,SMALL(IF(data!$D$3:$D$16128=$B$1,ROW(data!$A$3:$A$16128)-ROW($A$3)+1),ROWS(B$4:B128))),"")</f>
        <v>КАСОВА КНИГА</v>
      </c>
      <c r="C128" s="19">
        <f t="array" ref="C128">IF(ROWS(C$4:C128)&lt;=$B$2,INDEX(data!B$3:B$16128,SMALL(IF(data!$D$3:$D$16128='Банкя'!$B$1,ROW(data!$A$3:$A$16128)-ROW($A$3)+1),ROWS(C$4:C128))),"")</f>
        <v>-2500</v>
      </c>
      <c r="D128" s="7" t="str">
        <f t="array" ref="D128">IF(ROWS(D$4:D128)&lt;=$B$2,INDEX(data!E$3:E$16128,SMALL(IF(data!$D$3:$D$16128='Банкя'!$B$1,ROW(data!$A$3:$A$16128)-ROW($A$3)+1),ROWS(D$4:D128))),"")</f>
        <v/>
      </c>
      <c r="E128" s="11"/>
      <c r="F128" s="11"/>
      <c r="G128" s="11"/>
      <c r="H128" s="14"/>
      <c r="I128" s="14"/>
      <c r="J128" s="14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3">
        <f t="array" ref="A129">IF(ROWS(A$4:A129)&lt;=$B$2,INDEX(data!C$3:C$16128,SMALL(IF(data!$D$3:$D$16128='Банкя'!$B$1,ROW(data!$A$3:$A$16128)-ROW($A$3)+1),ROWS(A$4:A129))),"")</f>
        <v>46248</v>
      </c>
      <c r="B129" s="19" t="str">
        <f t="array" ref="B129">IF(ROWS(B$4:B129)&lt;=$B$2,INDEX(data!A$3:A$16128,SMALL(IF(data!$D$3:$D$16128=$B$1,ROW(data!$A$3:$A$16128)-ROW($A$3)+1),ROWS(B$4:B129))),"")</f>
        <v>Каса ВАУЧЕРИ</v>
      </c>
      <c r="C129" s="19">
        <f t="array" ref="C129">IF(ROWS(C$4:C129)&lt;=$B$2,INDEX(data!B$3:B$16128,SMALL(IF(data!$D$3:$D$16128='Банкя'!$B$1,ROW(data!$A$3:$A$16128)-ROW($A$3)+1),ROWS(C$4:C129))),"")</f>
        <v>-2</v>
      </c>
      <c r="D129" s="7" t="str">
        <f t="array" ref="D129">IF(ROWS(D$4:D129)&lt;=$B$2,INDEX(data!E$3:E$16128,SMALL(IF(data!$D$3:$D$16128='Банкя'!$B$1,ROW(data!$A$3:$A$16128)-ROW($A$3)+1),ROWS(D$4:D129))),"")</f>
        <v>към 03.08</v>
      </c>
      <c r="E129" s="11"/>
      <c r="F129" s="11"/>
      <c r="G129" s="11"/>
      <c r="H129" s="14"/>
      <c r="I129" s="14"/>
      <c r="J129" s="14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3">
        <f t="array" ref="A130">IF(ROWS(A$4:A130)&lt;=$B$2,INDEX(data!C$3:C$16128,SMALL(IF(data!$D$3:$D$16128='Банкя'!$B$1,ROW(data!$A$3:$A$16128)-ROW($A$3)+1),ROWS(A$4:A130))),"")</f>
        <v>46251</v>
      </c>
      <c r="B130" s="19" t="str">
        <f t="array" ref="B130">IF(ROWS(B$4:B130)&lt;=$B$2,INDEX(data!A$3:A$16128,SMALL(IF(data!$D$3:$D$16128=$B$1,ROW(data!$A$3:$A$16128)-ROW($A$3)+1),ROWS(B$4:B130))),"")</f>
        <v>MYPOS Бакалия</v>
      </c>
      <c r="C130" s="19">
        <f t="array" ref="C130">IF(ROWS(C$4:C130)&lt;=$B$2,INDEX(data!B$3:B$16128,SMALL(IF(data!$D$3:$D$16128='Банкя'!$B$1,ROW(data!$A$3:$A$16128)-ROW($A$3)+1),ROWS(C$4:C130))),"")</f>
        <v>-6033.05</v>
      </c>
      <c r="D130" s="7" t="str">
        <f t="array" ref="D130">IF(ROWS(D$4:D130)&lt;=$B$2,INDEX(data!E$3:E$16128,SMALL(IF(data!$D$3:$D$16128='Банкя'!$B$1,ROW(data!$A$3:$A$16128)-ROW($A$3)+1),ROWS(D$4:D130))),"")</f>
        <v/>
      </c>
      <c r="E130" s="11"/>
      <c r="F130" s="11"/>
      <c r="G130" s="11"/>
      <c r="H130" s="14"/>
      <c r="I130" s="14"/>
      <c r="J130" s="14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3">
        <f t="array" ref="A131">IF(ROWS(A$4:A131)&lt;=$B$2,INDEX(data!C$3:C$16128,SMALL(IF(data!$D$3:$D$16128='Банкя'!$B$1,ROW(data!$A$3:$A$16128)-ROW($A$3)+1),ROWS(A$4:A131))),"")</f>
        <v>46251</v>
      </c>
      <c r="B131" s="19" t="str">
        <f t="array" ref="B131">IF(ROWS(B$4:B131)&lt;=$B$2,INDEX(data!A$3:A$16128,SMALL(IF(data!$D$3:$D$16128=$B$1,ROW(data!$A$3:$A$16128)-ROW($A$3)+1),ROWS(B$4:B131))),"")</f>
        <v>КАСОВА КНИГА</v>
      </c>
      <c r="C131" s="19">
        <f t="array" ref="C131">IF(ROWS(C$4:C131)&lt;=$B$2,INDEX(data!B$3:B$16128,SMALL(IF(data!$D$3:$D$16128='Банкя'!$B$1,ROW(data!$A$3:$A$16128)-ROW($A$3)+1),ROWS(C$4:C131))),"")</f>
        <v>-3000</v>
      </c>
      <c r="D131" s="7" t="str">
        <f t="array" ref="D131">IF(ROWS(D$4:D131)&lt;=$B$2,INDEX(data!E$3:E$16128,SMALL(IF(data!$D$3:$D$16128='Банкя'!$B$1,ROW(data!$A$3:$A$16128)-ROW($A$3)+1),ROWS(D$4:D131))),"")</f>
        <v/>
      </c>
      <c r="E131" s="11"/>
      <c r="F131" s="11"/>
      <c r="G131" s="11"/>
      <c r="H131" s="14"/>
      <c r="I131" s="14"/>
      <c r="J131" s="14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3">
        <f t="array" ref="A132">IF(ROWS(A$4:A132)&lt;=$B$2,INDEX(data!C$3:C$16128,SMALL(IF(data!$D$3:$D$16128='Банкя'!$B$1,ROW(data!$A$3:$A$16128)-ROW($A$3)+1),ROWS(A$4:A132))),"")</f>
        <v>46253</v>
      </c>
      <c r="B132" s="19" t="str">
        <f t="array" ref="B132">IF(ROWS(B$4:B132)&lt;=$B$2,INDEX(data!A$3:A$16128,SMALL(IF(data!$D$3:$D$16128=$B$1,ROW(data!$A$3:$A$16128)-ROW($A$3)+1),ROWS(B$4:B132))),"")</f>
        <v>каса ФИКТИВНА</v>
      </c>
      <c r="C132" s="19">
        <f t="array" ref="C132">IF(ROWS(C$4:C132)&lt;=$B$2,INDEX(data!B$3:B$16128,SMALL(IF(data!$D$3:$D$16128='Банкя'!$B$1,ROW(data!$A$3:$A$16128)-ROW($A$3)+1),ROWS(C$4:C132))),"")</f>
        <v>-300</v>
      </c>
      <c r="D132" s="7" t="str">
        <f t="array" ref="D132">IF(ROWS(D$4:D132)&lt;=$B$2,INDEX(data!E$3:E$16128,SMALL(IF(data!$D$3:$D$16128='Банкя'!$B$1,ROW(data!$A$3:$A$16128)-ROW($A$3)+1),ROWS(D$4:D132))),"")</f>
        <v>Гергана от премиите</v>
      </c>
      <c r="E132" s="11"/>
      <c r="F132" s="11"/>
      <c r="G132" s="11"/>
      <c r="H132" s="14"/>
      <c r="I132" s="14"/>
      <c r="J132" s="14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3">
        <f t="array" ref="A133">IF(ROWS(A$4:A133)&lt;=$B$2,INDEX(data!C$3:C$16128,SMALL(IF(data!$D$3:$D$16128='Банкя'!$B$1,ROW(data!$A$3:$A$16128)-ROW($A$3)+1),ROWS(A$4:A133))),"")</f>
        <v>46254</v>
      </c>
      <c r="B133" s="19" t="str">
        <f t="array" ref="B133">IF(ROWS(B$4:B133)&lt;=$B$2,INDEX(data!A$3:A$16128,SMALL(IF(data!$D$3:$D$16128=$B$1,ROW(data!$A$3:$A$16128)-ROW($A$3)+1),ROWS(B$4:B133))),"")</f>
        <v>каса ФИКТИВНА</v>
      </c>
      <c r="C133" s="19">
        <f t="array" ref="C133">IF(ROWS(C$4:C133)&lt;=$B$2,INDEX(data!B$3:B$16128,SMALL(IF(data!$D$3:$D$16128='Банкя'!$B$1,ROW(data!$A$3:$A$16128)-ROW($A$3)+1),ROWS(C$4:C133))),"")</f>
        <v>-50</v>
      </c>
      <c r="D133" s="7" t="str">
        <f t="array" ref="D133">IF(ROWS(D$4:D133)&lt;=$B$2,INDEX(data!E$3:E$16128,SMALL(IF(data!$D$3:$D$16128='Банкя'!$B$1,ROW(data!$A$3:$A$16128)-ROW($A$3)+1),ROWS(D$4:D133))),"")</f>
        <v>Гери от премиите</v>
      </c>
      <c r="E133" s="11"/>
      <c r="F133" s="11"/>
      <c r="G133" s="11"/>
      <c r="H133" s="14"/>
      <c r="I133" s="14"/>
      <c r="J133" s="14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3">
        <f t="array" ref="A134">IF(ROWS(A$4:A134)&lt;=$B$2,INDEX(data!C$3:C$16128,SMALL(IF(data!$D$3:$D$16128='Банкя'!$B$1,ROW(data!$A$3:$A$16128)-ROW($A$3)+1),ROWS(A$4:A134))),"")</f>
        <v>46254</v>
      </c>
      <c r="B134" s="19" t="str">
        <f t="array" ref="B134">IF(ROWS(B$4:B134)&lt;=$B$2,INDEX(data!A$3:A$16128,SMALL(IF(data!$D$3:$D$16128=$B$1,ROW(data!$A$3:$A$16128)-ROW($A$3)+1),ROWS(B$4:B134))),"")</f>
        <v>каса ФИКТИВНА</v>
      </c>
      <c r="C134" s="19">
        <f t="array" ref="C134">IF(ROWS(C$4:C134)&lt;=$B$2,INDEX(data!B$3:B$16128,SMALL(IF(data!$D$3:$D$16128='Банкя'!$B$1,ROW(data!$A$3:$A$16128)-ROW($A$3)+1),ROWS(C$4:C134))),"")</f>
        <v>-400</v>
      </c>
      <c r="D134" s="7" t="str">
        <f t="array" ref="D134">IF(ROWS(D$4:D134)&lt;=$B$2,INDEX(data!E$3:E$16128,SMALL(IF(data!$D$3:$D$16128='Банкя'!$B$1,ROW(data!$A$3:$A$16128)-ROW($A$3)+1),ROWS(D$4:D134))),"")</f>
        <v>Мимето от заплатата</v>
      </c>
      <c r="E134" s="11"/>
      <c r="F134" s="11"/>
      <c r="G134" s="11"/>
      <c r="H134" s="14"/>
      <c r="I134" s="14"/>
      <c r="J134" s="14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3">
        <f t="array" ref="A135">IF(ROWS(A$4:A135)&lt;=$B$2,INDEX(data!C$3:C$16128,SMALL(IF(data!$D$3:$D$16128='Банкя'!$B$1,ROW(data!$A$3:$A$16128)-ROW($A$3)+1),ROWS(A$4:A135))),"")</f>
        <v>46255</v>
      </c>
      <c r="B135" s="19" t="str">
        <f t="array" ref="B135">IF(ROWS(B$4:B135)&lt;=$B$2,INDEX(data!A$3:A$16128,SMALL(IF(data!$D$3:$D$16128=$B$1,ROW(data!$A$3:$A$16128)-ROW($A$3)+1),ROWS(B$4:B135))),"")</f>
        <v>КАСОВА КНИГА</v>
      </c>
      <c r="C135" s="19">
        <f t="array" ref="C135">IF(ROWS(C$4:C135)&lt;=$B$2,INDEX(data!B$3:B$16128,SMALL(IF(data!$D$3:$D$16128='Банкя'!$B$1,ROW(data!$A$3:$A$16128)-ROW($A$3)+1),ROWS(C$4:C135))),"")</f>
        <v>-500</v>
      </c>
      <c r="D135" s="7" t="str">
        <f t="array" ref="D135">IF(ROWS(D$4:D135)&lt;=$B$2,INDEX(data!E$3:E$16128,SMALL(IF(data!$D$3:$D$16128='Банкя'!$B$1,ROW(data!$A$3:$A$16128)-ROW($A$3)+1),ROWS(D$4:D135))),"")</f>
        <v/>
      </c>
      <c r="E135" s="11"/>
      <c r="F135" s="11"/>
      <c r="G135" s="11"/>
      <c r="H135" s="14"/>
      <c r="I135" s="14"/>
      <c r="J135" s="14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3">
        <f t="array" ref="A136">IF(ROWS(A$4:A136)&lt;=$B$2,INDEX(data!C$3:C$16128,SMALL(IF(data!$D$3:$D$16128='Банкя'!$B$1,ROW(data!$A$3:$A$16128)-ROW($A$3)+1),ROWS(A$4:A136))),"")</f>
        <v>46255</v>
      </c>
      <c r="B136" s="19" t="str">
        <f t="array" ref="B136">IF(ROWS(B$4:B136)&lt;=$B$2,INDEX(data!A$3:A$16128,SMALL(IF(data!$D$3:$D$16128=$B$1,ROW(data!$A$3:$A$16128)-ROW($A$3)+1),ROWS(B$4:B136))),"")</f>
        <v>Каса ВАУЧЕРИ</v>
      </c>
      <c r="C136" s="19">
        <f t="array" ref="C136">IF(ROWS(C$4:C136)&lt;=$B$2,INDEX(data!B$3:B$16128,SMALL(IF(data!$D$3:$D$16128='Банкя'!$B$1,ROW(data!$A$3:$A$16128)-ROW($A$3)+1),ROWS(C$4:C136))),"")</f>
        <v>700</v>
      </c>
      <c r="D136" s="7" t="str">
        <f t="array" ref="D136">IF(ROWS(D$4:D136)&lt;=$B$2,INDEX(data!E$3:E$16128,SMALL(IF(data!$D$3:$D$16128='Банкя'!$B$1,ROW(data!$A$3:$A$16128)-ROW($A$3)+1),ROWS(D$4:D136))),"")</f>
        <v>ваучери персонал</v>
      </c>
      <c r="E136" s="11"/>
      <c r="F136" s="11"/>
      <c r="G136" s="11"/>
      <c r="H136" s="14"/>
      <c r="I136" s="14"/>
      <c r="J136" s="14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3">
        <f t="array" ref="A137">IF(ROWS(A$4:A137)&lt;=$B$2,INDEX(data!C$3:C$16128,SMALL(IF(data!$D$3:$D$16128='Банкя'!$B$1,ROW(data!$A$3:$A$16128)-ROW($A$3)+1),ROWS(A$4:A137))),"")</f>
        <v>46258</v>
      </c>
      <c r="B137" s="19" t="str">
        <f t="array" ref="B137">IF(ROWS(B$4:B137)&lt;=$B$2,INDEX(data!A$3:A$16128,SMALL(IF(data!$D$3:$D$16128=$B$1,ROW(data!$A$3:$A$16128)-ROW($A$3)+1),ROWS(B$4:B137))),"")</f>
        <v>MYPOS Бакалия</v>
      </c>
      <c r="C137" s="19">
        <f t="array" ref="C137">IF(ROWS(C$4:C137)&lt;=$B$2,INDEX(data!B$3:B$16128,SMALL(IF(data!$D$3:$D$16128='Банкя'!$B$1,ROW(data!$A$3:$A$16128)-ROW($A$3)+1),ROWS(C$4:C137))),"")</f>
        <v>-5873.82</v>
      </c>
      <c r="D137" s="7" t="str">
        <f t="array" ref="D137">IF(ROWS(D$4:D137)&lt;=$B$2,INDEX(data!E$3:E$16128,SMALL(IF(data!$D$3:$D$16128='Банкя'!$B$1,ROW(data!$A$3:$A$16128)-ROW($A$3)+1),ROWS(D$4:D137))),"")</f>
        <v/>
      </c>
      <c r="E137" s="11"/>
      <c r="F137" s="11"/>
      <c r="G137" s="11"/>
      <c r="H137" s="14"/>
      <c r="I137" s="14"/>
      <c r="J137" s="14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3">
        <f t="array" ref="A138">IF(ROWS(A$4:A138)&lt;=$B$2,INDEX(data!C$3:C$16128,SMALL(IF(data!$D$3:$D$16128='Банкя'!$B$1,ROW(data!$A$3:$A$16128)-ROW($A$3)+1),ROWS(A$4:A138))),"")</f>
        <v>46258</v>
      </c>
      <c r="B138" s="19" t="str">
        <f t="array" ref="B138">IF(ROWS(B$4:B138)&lt;=$B$2,INDEX(data!A$3:A$16128,SMALL(IF(data!$D$3:$D$16128=$B$1,ROW(data!$A$3:$A$16128)-ROW($A$3)+1),ROWS(B$4:B138))),"")</f>
        <v>КАСОВА КНИГА</v>
      </c>
      <c r="C138" s="19">
        <f t="array" ref="C138">IF(ROWS(C$4:C138)&lt;=$B$2,INDEX(data!B$3:B$16128,SMALL(IF(data!$D$3:$D$16128='Банкя'!$B$1,ROW(data!$A$3:$A$16128)-ROW($A$3)+1),ROWS(C$4:C138))),"")</f>
        <v>-2000</v>
      </c>
      <c r="D138" s="7" t="str">
        <f t="array" ref="D138">IF(ROWS(D$4:D138)&lt;=$B$2,INDEX(data!E$3:E$16128,SMALL(IF(data!$D$3:$D$16128='Банкя'!$B$1,ROW(data!$A$3:$A$16128)-ROW($A$3)+1),ROWS(D$4:D138))),"")</f>
        <v/>
      </c>
      <c r="E138" s="11"/>
      <c r="F138" s="11"/>
      <c r="G138" s="11"/>
      <c r="H138" s="14"/>
      <c r="I138" s="14"/>
      <c r="J138" s="14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3" t="str">
        <f t="array" ref="A139">IF(ROWS(A$4:A139)&lt;=$B$2,INDEX(data!C$3:C$16128,SMALL(IF(data!$D$3:$D$16128='Банкя'!$B$1,ROW(data!$A$3:$A$16128)-ROW($A$3)+1),ROWS(A$4:A139))),"")</f>
        <v/>
      </c>
      <c r="B139" s="19" t="str">
        <f t="array" ref="B139">IF(ROWS(B$4:B139)&lt;=$B$2,INDEX(data!A$3:A$16128,SMALL(IF(data!$D$3:$D$16128=$B$1,ROW(data!$A$3:$A$16128)-ROW($A$3)+1),ROWS(B$4:B139))),"")</f>
        <v/>
      </c>
      <c r="C139" s="19" t="str">
        <f t="array" ref="C139">IF(ROWS(C$4:C139)&lt;=$B$2,INDEX(data!B$3:B$16128,SMALL(IF(data!$D$3:$D$16128='Банкя'!$B$1,ROW(data!$A$3:$A$16128)-ROW($A$3)+1),ROWS(C$4:C139))),"")</f>
        <v/>
      </c>
      <c r="D139" s="7" t="str">
        <f t="array" ref="D139">IF(ROWS(D$4:D139)&lt;=$B$2,INDEX(data!E$3:E$16128,SMALL(IF(data!$D$3:$D$16128='Банкя'!$B$1,ROW(data!$A$3:$A$16128)-ROW($A$3)+1),ROWS(D$4:D139))),"")</f>
        <v/>
      </c>
      <c r="E139" s="11"/>
      <c r="F139" s="11"/>
      <c r="G139" s="11"/>
      <c r="H139" s="14"/>
      <c r="I139" s="14"/>
      <c r="J139" s="14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3" t="str">
        <f t="array" ref="A140">IF(ROWS(A$4:A140)&lt;=$B$2,INDEX(data!C$3:C$16128,SMALL(IF(data!$D$3:$D$16128='Банкя'!$B$1,ROW(data!$A$3:$A$16128)-ROW($A$3)+1),ROWS(A$4:A140))),"")</f>
        <v/>
      </c>
      <c r="B140" s="19" t="str">
        <f t="array" ref="B140">IF(ROWS(B$4:B140)&lt;=$B$2,INDEX(data!A$3:A$16128,SMALL(IF(data!$D$3:$D$16128=$B$1,ROW(data!$A$3:$A$16128)-ROW($A$3)+1),ROWS(B$4:B140))),"")</f>
        <v/>
      </c>
      <c r="C140" s="19" t="str">
        <f t="array" ref="C140">IF(ROWS(C$4:C140)&lt;=$B$2,INDEX(data!B$3:B$16128,SMALL(IF(data!$D$3:$D$16128='Банкя'!$B$1,ROW(data!$A$3:$A$16128)-ROW($A$3)+1),ROWS(C$4:C140))),"")</f>
        <v/>
      </c>
      <c r="D140" s="7" t="str">
        <f t="array" ref="D140">IF(ROWS(D$4:D140)&lt;=$B$2,INDEX(data!E$3:E$16128,SMALL(IF(data!$D$3:$D$16128='Банкя'!$B$1,ROW(data!$A$3:$A$16128)-ROW($A$3)+1),ROWS(D$4:D140))),"")</f>
        <v/>
      </c>
      <c r="E140" s="11"/>
      <c r="F140" s="11"/>
      <c r="G140" s="11"/>
      <c r="H140" s="14"/>
      <c r="I140" s="14"/>
      <c r="J140" s="14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3" t="str">
        <f t="array" ref="A141">IF(ROWS(A$4:A141)&lt;=$B$2,INDEX(data!C$3:C$16128,SMALL(IF(data!$D$3:$D$16128='Банкя'!$B$1,ROW(data!$A$3:$A$16128)-ROW($A$3)+1),ROWS(A$4:A141))),"")</f>
        <v/>
      </c>
      <c r="B141" s="19" t="str">
        <f t="array" ref="B141">IF(ROWS(B$4:B141)&lt;=$B$2,INDEX(data!A$3:A$16128,SMALL(IF(data!$D$3:$D$16128=$B$1,ROW(data!$A$3:$A$16128)-ROW($A$3)+1),ROWS(B$4:B141))),"")</f>
        <v/>
      </c>
      <c r="C141" s="19" t="str">
        <f t="array" ref="C141">IF(ROWS(C$4:C141)&lt;=$B$2,INDEX(data!B$3:B$16128,SMALL(IF(data!$D$3:$D$16128='Банкя'!$B$1,ROW(data!$A$3:$A$16128)-ROW($A$3)+1),ROWS(C$4:C141))),"")</f>
        <v/>
      </c>
      <c r="D141" s="7" t="str">
        <f t="array" ref="D141">IF(ROWS(D$4:D141)&lt;=$B$2,INDEX(data!E$3:E$16128,SMALL(IF(data!$D$3:$D$16128='Банкя'!$B$1,ROW(data!$A$3:$A$16128)-ROW($A$3)+1),ROWS(D$4:D141))),"")</f>
        <v/>
      </c>
      <c r="E141" s="11"/>
      <c r="F141" s="11"/>
      <c r="G141" s="11"/>
      <c r="H141" s="14"/>
      <c r="I141" s="14"/>
      <c r="J141" s="14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3" t="str">
        <f t="array" ref="A142">IF(ROWS(A$4:A142)&lt;=$B$2,INDEX(data!C$3:C$16128,SMALL(IF(data!$D$3:$D$16128='Банкя'!$B$1,ROW(data!$A$3:$A$16128)-ROW($A$3)+1),ROWS(A$4:A142))),"")</f>
        <v/>
      </c>
      <c r="B142" s="19" t="str">
        <f t="array" ref="B142">IF(ROWS(B$4:B142)&lt;=$B$2,INDEX(data!A$3:A$16128,SMALL(IF(data!$D$3:$D$16128=$B$1,ROW(data!$A$3:$A$16128)-ROW($A$3)+1),ROWS(B$4:B142))),"")</f>
        <v/>
      </c>
      <c r="C142" s="19" t="str">
        <f t="array" ref="C142">IF(ROWS(C$4:C142)&lt;=$B$2,INDEX(data!B$3:B$16128,SMALL(IF(data!$D$3:$D$16128='Банкя'!$B$1,ROW(data!$A$3:$A$16128)-ROW($A$3)+1),ROWS(C$4:C142))),"")</f>
        <v/>
      </c>
      <c r="D142" s="7" t="str">
        <f t="array" ref="D142">IF(ROWS(D$4:D142)&lt;=$B$2,INDEX(data!E$3:E$16128,SMALL(IF(data!$D$3:$D$16128='Банкя'!$B$1,ROW(data!$A$3:$A$16128)-ROW($A$3)+1),ROWS(D$4:D142))),"")</f>
        <v/>
      </c>
      <c r="E142" s="11"/>
      <c r="F142" s="11"/>
      <c r="G142" s="11"/>
      <c r="H142" s="14"/>
      <c r="I142" s="14"/>
      <c r="J142" s="14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3" t="str">
        <f t="array" ref="A143">IF(ROWS(A$4:A143)&lt;=$B$2,INDEX(data!C$3:C$16128,SMALL(IF(data!$D$3:$D$16128='Банкя'!$B$1,ROW(data!$A$3:$A$16128)-ROW($A$3)+1),ROWS(A$4:A143))),"")</f>
        <v/>
      </c>
      <c r="B143" s="19" t="str">
        <f t="array" ref="B143">IF(ROWS(B$4:B143)&lt;=$B$2,INDEX(data!A$3:A$16128,SMALL(IF(data!$D$3:$D$16128=$B$1,ROW(data!$A$3:$A$16128)-ROW($A$3)+1),ROWS(B$4:B143))),"")</f>
        <v/>
      </c>
      <c r="C143" s="19" t="str">
        <f t="array" ref="C143">IF(ROWS(C$4:C143)&lt;=$B$2,INDEX(data!B$3:B$16128,SMALL(IF(data!$D$3:$D$16128='Банкя'!$B$1,ROW(data!$A$3:$A$16128)-ROW($A$3)+1),ROWS(C$4:C143))),"")</f>
        <v/>
      </c>
      <c r="D143" s="7" t="str">
        <f t="array" ref="D143">IF(ROWS(D$4:D143)&lt;=$B$2,INDEX(data!E$3:E$16128,SMALL(IF(data!$D$3:$D$16128='Банкя'!$B$1,ROW(data!$A$3:$A$16128)-ROW($A$3)+1),ROWS(D$4:D143))),"")</f>
        <v/>
      </c>
      <c r="E143" s="11"/>
      <c r="F143" s="11"/>
      <c r="G143" s="11"/>
      <c r="H143" s="14"/>
      <c r="I143" s="14"/>
      <c r="J143" s="14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3" t="str">
        <f t="array" ref="A144">IF(ROWS(A$4:A144)&lt;=$B$2,INDEX(data!C$3:C$16128,SMALL(IF(data!$D$3:$D$16128='Банкя'!$B$1,ROW(data!$A$3:$A$16128)-ROW($A$3)+1),ROWS(A$4:A144))),"")</f>
        <v/>
      </c>
      <c r="B144" s="19" t="str">
        <f t="array" ref="B144">IF(ROWS(B$4:B144)&lt;=$B$2,INDEX(data!A$3:A$16128,SMALL(IF(data!$D$3:$D$16128=$B$1,ROW(data!$A$3:$A$16128)-ROW($A$3)+1),ROWS(B$4:B144))),"")</f>
        <v/>
      </c>
      <c r="C144" s="19" t="str">
        <f t="array" ref="C144">IF(ROWS(C$4:C144)&lt;=$B$2,INDEX(data!B$3:B$16128,SMALL(IF(data!$D$3:$D$16128='Банкя'!$B$1,ROW(data!$A$3:$A$16128)-ROW($A$3)+1),ROWS(C$4:C144))),"")</f>
        <v/>
      </c>
      <c r="D144" s="7" t="str">
        <f t="array" ref="D144">IF(ROWS(D$4:D144)&lt;=$B$2,INDEX(data!E$3:E$16128,SMALL(IF(data!$D$3:$D$16128='Банкя'!$B$1,ROW(data!$A$3:$A$16128)-ROW($A$3)+1),ROWS(D$4:D144))),"")</f>
        <v/>
      </c>
      <c r="E144" s="11"/>
      <c r="F144" s="11"/>
      <c r="G144" s="11"/>
      <c r="H144" s="14"/>
      <c r="I144" s="14"/>
      <c r="J144" s="14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3" t="str">
        <f t="array" ref="A145">IF(ROWS(A$4:A145)&lt;=$B$2,INDEX(data!C$3:C$16128,SMALL(IF(data!$D$3:$D$16128='Банкя'!$B$1,ROW(data!$A$3:$A$16128)-ROW($A$3)+1),ROWS(A$4:A145))),"")</f>
        <v/>
      </c>
      <c r="B145" s="19" t="str">
        <f t="array" ref="B145">IF(ROWS(B$4:B145)&lt;=$B$2,INDEX(data!A$3:A$16128,SMALL(IF(data!$D$3:$D$16128=$B$1,ROW(data!$A$3:$A$16128)-ROW($A$3)+1),ROWS(B$4:B145))),"")</f>
        <v/>
      </c>
      <c r="C145" s="19" t="str">
        <f t="array" ref="C145">IF(ROWS(C$4:C145)&lt;=$B$2,INDEX(data!B$3:B$16128,SMALL(IF(data!$D$3:$D$16128='Банкя'!$B$1,ROW(data!$A$3:$A$16128)-ROW($A$3)+1),ROWS(C$4:C145))),"")</f>
        <v/>
      </c>
      <c r="D145" s="7" t="str">
        <f t="array" ref="D145">IF(ROWS(D$4:D145)&lt;=$B$2,INDEX(data!E$3:E$16128,SMALL(IF(data!$D$3:$D$16128='Банкя'!$B$1,ROW(data!$A$3:$A$16128)-ROW($A$3)+1),ROWS(D$4:D145))),"")</f>
        <v/>
      </c>
      <c r="E145" s="11"/>
      <c r="F145" s="11"/>
      <c r="G145" s="11"/>
      <c r="H145" s="14"/>
      <c r="I145" s="14"/>
      <c r="J145" s="14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3" t="str">
        <f t="array" ref="A146">IF(ROWS(A$4:A146)&lt;=$B$2,INDEX(data!C$3:C$16128,SMALL(IF(data!$D$3:$D$16128='Банкя'!$B$1,ROW(data!$A$3:$A$16128)-ROW($A$3)+1),ROWS(A$4:A146))),"")</f>
        <v/>
      </c>
      <c r="B146" s="19" t="str">
        <f t="array" ref="B146">IF(ROWS(B$4:B146)&lt;=$B$2,INDEX(data!A$3:A$16128,SMALL(IF(data!$D$3:$D$16128=$B$1,ROW(data!$A$3:$A$16128)-ROW($A$3)+1),ROWS(B$4:B146))),"")</f>
        <v/>
      </c>
      <c r="C146" s="19" t="str">
        <f t="array" ref="C146">IF(ROWS(C$4:C146)&lt;=$B$2,INDEX(data!B$3:B$16128,SMALL(IF(data!$D$3:$D$16128='Банкя'!$B$1,ROW(data!$A$3:$A$16128)-ROW($A$3)+1),ROWS(C$4:C146))),"")</f>
        <v/>
      </c>
      <c r="D146" s="7" t="str">
        <f t="array" ref="D146">IF(ROWS(D$4:D146)&lt;=$B$2,INDEX(data!E$3:E$16128,SMALL(IF(data!$D$3:$D$16128='Банкя'!$B$1,ROW(data!$A$3:$A$16128)-ROW($A$3)+1),ROWS(D$4:D146))),"")</f>
        <v/>
      </c>
      <c r="E146" s="11"/>
      <c r="F146" s="11"/>
      <c r="G146" s="11"/>
      <c r="H146" s="14"/>
      <c r="I146" s="14"/>
      <c r="J146" s="14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3" t="str">
        <f t="array" ref="A147">IF(ROWS(A$4:A147)&lt;=$B$2,INDEX(data!C$3:C$16128,SMALL(IF(data!$D$3:$D$16128='Банкя'!$B$1,ROW(data!$A$3:$A$16128)-ROW($A$3)+1),ROWS(A$4:A147))),"")</f>
        <v/>
      </c>
      <c r="B147" s="19" t="str">
        <f t="array" ref="B147">IF(ROWS(B$4:B147)&lt;=$B$2,INDEX(data!A$3:A$16128,SMALL(IF(data!$D$3:$D$16128=$B$1,ROW(data!$A$3:$A$16128)-ROW($A$3)+1),ROWS(B$4:B147))),"")</f>
        <v/>
      </c>
      <c r="C147" s="19" t="str">
        <f t="array" ref="C147">IF(ROWS(C$4:C147)&lt;=$B$2,INDEX(data!B$3:B$16128,SMALL(IF(data!$D$3:$D$16128='Банкя'!$B$1,ROW(data!$A$3:$A$16128)-ROW($A$3)+1),ROWS(C$4:C147))),"")</f>
        <v/>
      </c>
      <c r="D147" s="7" t="str">
        <f t="array" ref="D147">IF(ROWS(D$4:D147)&lt;=$B$2,INDEX(data!E$3:E$16128,SMALL(IF(data!$D$3:$D$16128='Банкя'!$B$1,ROW(data!$A$3:$A$16128)-ROW($A$3)+1),ROWS(D$4:D147))),"")</f>
        <v/>
      </c>
      <c r="E147" s="11"/>
      <c r="F147" s="11"/>
      <c r="G147" s="11"/>
      <c r="H147" s="14"/>
      <c r="I147" s="14"/>
      <c r="J147" s="14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9"/>
      <c r="B148" s="40"/>
      <c r="C148" s="40"/>
      <c r="D148" s="40"/>
      <c r="E148" s="11"/>
      <c r="F148" s="11"/>
      <c r="G148" s="11"/>
      <c r="H148" s="14"/>
      <c r="I148" s="14"/>
      <c r="J148" s="14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9"/>
      <c r="B149" s="40"/>
      <c r="C149" s="40"/>
      <c r="D149" s="40"/>
      <c r="E149" s="11"/>
      <c r="F149" s="11"/>
      <c r="G149" s="11"/>
      <c r="H149" s="14"/>
      <c r="I149" s="14"/>
      <c r="J149" s="14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9"/>
      <c r="B150" s="40"/>
      <c r="C150" s="40"/>
      <c r="D150" s="40"/>
      <c r="E150" s="11"/>
      <c r="F150" s="11"/>
      <c r="G150" s="11"/>
      <c r="H150" s="14"/>
      <c r="I150" s="14"/>
      <c r="J150" s="14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9"/>
      <c r="B151" s="40"/>
      <c r="C151" s="40"/>
      <c r="D151" s="40"/>
      <c r="E151" s="11"/>
      <c r="F151" s="11"/>
      <c r="G151" s="11"/>
      <c r="H151" s="14"/>
      <c r="I151" s="14"/>
      <c r="J151" s="14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9"/>
      <c r="B152" s="40"/>
      <c r="C152" s="40"/>
      <c r="D152" s="40"/>
      <c r="E152" s="11"/>
      <c r="F152" s="11"/>
      <c r="G152" s="11"/>
      <c r="H152" s="14"/>
      <c r="I152" s="14"/>
      <c r="J152" s="14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9"/>
      <c r="B153" s="40"/>
      <c r="C153" s="40"/>
      <c r="D153" s="40"/>
      <c r="E153" s="11"/>
      <c r="F153" s="11"/>
      <c r="G153" s="11"/>
      <c r="H153" s="14"/>
      <c r="I153" s="14"/>
      <c r="J153" s="14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9"/>
      <c r="B154" s="40"/>
      <c r="C154" s="40"/>
      <c r="D154" s="40"/>
      <c r="E154" s="11"/>
      <c r="F154" s="11"/>
      <c r="G154" s="11"/>
      <c r="H154" s="14"/>
      <c r="I154" s="14"/>
      <c r="J154" s="14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9"/>
      <c r="B155" s="40"/>
      <c r="C155" s="40"/>
      <c r="D155" s="40"/>
      <c r="E155" s="11"/>
      <c r="F155" s="11"/>
      <c r="G155" s="11"/>
      <c r="H155" s="14"/>
      <c r="I155" s="14"/>
      <c r="J155" s="14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9"/>
      <c r="B156" s="40"/>
      <c r="C156" s="40"/>
      <c r="D156" s="40"/>
      <c r="E156" s="11"/>
      <c r="F156" s="11"/>
      <c r="G156" s="11"/>
      <c r="H156" s="14"/>
      <c r="I156" s="14"/>
      <c r="J156" s="14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9"/>
      <c r="B157" s="40"/>
      <c r="C157" s="40"/>
      <c r="D157" s="40"/>
      <c r="E157" s="11"/>
      <c r="F157" s="11"/>
      <c r="G157" s="11"/>
      <c r="H157" s="14"/>
      <c r="I157" s="14"/>
      <c r="J157" s="14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9"/>
      <c r="B158" s="40"/>
      <c r="C158" s="40"/>
      <c r="D158" s="40"/>
      <c r="E158" s="11"/>
      <c r="F158" s="11"/>
      <c r="G158" s="11"/>
      <c r="H158" s="14"/>
      <c r="I158" s="14"/>
      <c r="J158" s="14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9"/>
      <c r="B159" s="40"/>
      <c r="C159" s="40"/>
      <c r="D159" s="40"/>
      <c r="E159" s="11"/>
      <c r="F159" s="11"/>
      <c r="G159" s="11"/>
      <c r="H159" s="14"/>
      <c r="I159" s="14"/>
      <c r="J159" s="14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9"/>
      <c r="B160" s="40"/>
      <c r="C160" s="40"/>
      <c r="D160" s="40"/>
      <c r="E160" s="11"/>
      <c r="F160" s="11"/>
      <c r="G160" s="11"/>
      <c r="H160" s="14"/>
      <c r="I160" s="14"/>
      <c r="J160" s="14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9"/>
      <c r="B161" s="40"/>
      <c r="C161" s="40"/>
      <c r="D161" s="40"/>
      <c r="E161" s="11"/>
      <c r="F161" s="11"/>
      <c r="G161" s="11"/>
      <c r="H161" s="14"/>
      <c r="I161" s="14"/>
      <c r="J161" s="14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9"/>
      <c r="B162" s="40"/>
      <c r="C162" s="40"/>
      <c r="D162" s="40"/>
      <c r="E162" s="11"/>
      <c r="F162" s="11"/>
      <c r="G162" s="11"/>
      <c r="H162" s="14"/>
      <c r="I162" s="14"/>
      <c r="J162" s="14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9"/>
      <c r="B163" s="40"/>
      <c r="C163" s="40"/>
      <c r="D163" s="40"/>
      <c r="E163" s="11"/>
      <c r="F163" s="11"/>
      <c r="G163" s="11"/>
      <c r="H163" s="14"/>
      <c r="I163" s="14"/>
      <c r="J163" s="14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9"/>
      <c r="B164" s="40"/>
      <c r="C164" s="40"/>
      <c r="D164" s="40"/>
      <c r="E164" s="11"/>
      <c r="F164" s="11"/>
      <c r="G164" s="11"/>
      <c r="H164" s="14"/>
      <c r="I164" s="14"/>
      <c r="J164" s="14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9"/>
      <c r="B165" s="40"/>
      <c r="C165" s="40"/>
      <c r="D165" s="40"/>
      <c r="E165" s="11"/>
      <c r="F165" s="11"/>
      <c r="G165" s="11"/>
      <c r="H165" s="14"/>
      <c r="I165" s="14"/>
      <c r="J165" s="14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9"/>
      <c r="B166" s="40"/>
      <c r="C166" s="40"/>
      <c r="D166" s="40"/>
      <c r="E166" s="11"/>
      <c r="F166" s="11"/>
      <c r="G166" s="11"/>
      <c r="H166" s="14"/>
      <c r="I166" s="14"/>
      <c r="J166" s="14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9"/>
      <c r="B167" s="40"/>
      <c r="C167" s="40"/>
      <c r="D167" s="40"/>
      <c r="E167" s="11"/>
      <c r="F167" s="11"/>
      <c r="G167" s="11"/>
      <c r="H167" s="14"/>
      <c r="I167" s="14"/>
      <c r="J167" s="14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9"/>
      <c r="B168" s="40"/>
      <c r="C168" s="40"/>
      <c r="D168" s="40"/>
      <c r="E168" s="11"/>
      <c r="F168" s="11"/>
      <c r="G168" s="11"/>
      <c r="H168" s="14"/>
      <c r="I168" s="14"/>
      <c r="J168" s="14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9"/>
      <c r="B169" s="40"/>
      <c r="C169" s="40"/>
      <c r="D169" s="40"/>
      <c r="E169" s="11"/>
      <c r="F169" s="11"/>
      <c r="G169" s="11"/>
      <c r="H169" s="14"/>
      <c r="I169" s="14"/>
      <c r="J169" s="14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9"/>
      <c r="B170" s="40"/>
      <c r="C170" s="40"/>
      <c r="D170" s="40"/>
      <c r="E170" s="11"/>
      <c r="F170" s="11"/>
      <c r="G170" s="11"/>
      <c r="H170" s="14"/>
      <c r="I170" s="14"/>
      <c r="J170" s="14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9"/>
      <c r="B171" s="40"/>
      <c r="C171" s="40"/>
      <c r="D171" s="40"/>
      <c r="E171" s="11"/>
      <c r="F171" s="11"/>
      <c r="G171" s="11"/>
      <c r="H171" s="14"/>
      <c r="I171" s="14"/>
      <c r="J171" s="14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9"/>
      <c r="B172" s="40"/>
      <c r="C172" s="40"/>
      <c r="D172" s="40"/>
      <c r="E172" s="11"/>
      <c r="F172" s="11"/>
      <c r="G172" s="11"/>
      <c r="H172" s="14"/>
      <c r="I172" s="14"/>
      <c r="J172" s="14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9"/>
      <c r="B173" s="40"/>
      <c r="C173" s="40"/>
      <c r="D173" s="40"/>
      <c r="E173" s="11"/>
      <c r="F173" s="11"/>
      <c r="G173" s="11"/>
      <c r="H173" s="14"/>
      <c r="I173" s="14"/>
      <c r="J173" s="14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9"/>
      <c r="B174" s="40"/>
      <c r="C174" s="40"/>
      <c r="D174" s="40"/>
      <c r="E174" s="11"/>
      <c r="F174" s="11"/>
      <c r="G174" s="11"/>
      <c r="H174" s="14"/>
      <c r="I174" s="14"/>
      <c r="J174" s="14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9"/>
      <c r="B175" s="40"/>
      <c r="C175" s="40"/>
      <c r="D175" s="40"/>
      <c r="E175" s="11"/>
      <c r="F175" s="11"/>
      <c r="G175" s="11"/>
      <c r="H175" s="14"/>
      <c r="I175" s="14"/>
      <c r="J175" s="14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9"/>
      <c r="B176" s="40"/>
      <c r="C176" s="40"/>
      <c r="D176" s="40"/>
      <c r="E176" s="11"/>
      <c r="F176" s="11"/>
      <c r="G176" s="11"/>
      <c r="H176" s="14"/>
      <c r="I176" s="14"/>
      <c r="J176" s="14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9"/>
      <c r="B177" s="40"/>
      <c r="C177" s="40"/>
      <c r="D177" s="40"/>
      <c r="E177" s="11"/>
      <c r="F177" s="11"/>
      <c r="G177" s="11"/>
      <c r="H177" s="14"/>
      <c r="I177" s="14"/>
      <c r="J177" s="14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9"/>
      <c r="B178" s="40"/>
      <c r="C178" s="40"/>
      <c r="D178" s="40"/>
      <c r="E178" s="11"/>
      <c r="F178" s="11"/>
      <c r="G178" s="11"/>
      <c r="H178" s="14"/>
      <c r="I178" s="14"/>
      <c r="J178" s="14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9"/>
      <c r="B179" s="40"/>
      <c r="C179" s="40"/>
      <c r="D179" s="40"/>
      <c r="E179" s="11"/>
      <c r="F179" s="11"/>
      <c r="G179" s="11"/>
      <c r="H179" s="14"/>
      <c r="I179" s="14"/>
      <c r="J179" s="14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9"/>
      <c r="B180" s="40"/>
      <c r="C180" s="40"/>
      <c r="D180" s="40"/>
      <c r="E180" s="11"/>
      <c r="F180" s="11"/>
      <c r="G180" s="11"/>
      <c r="H180" s="14"/>
      <c r="I180" s="14"/>
      <c r="J180" s="14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9"/>
      <c r="B181" s="40"/>
      <c r="C181" s="40"/>
      <c r="D181" s="40"/>
      <c r="E181" s="11"/>
      <c r="F181" s="11"/>
      <c r="G181" s="11"/>
      <c r="H181" s="14"/>
      <c r="I181" s="14"/>
      <c r="J181" s="14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9"/>
      <c r="B182" s="40"/>
      <c r="C182" s="40"/>
      <c r="D182" s="40"/>
      <c r="E182" s="11"/>
      <c r="F182" s="11"/>
      <c r="G182" s="11"/>
      <c r="H182" s="14"/>
      <c r="I182" s="14"/>
      <c r="J182" s="14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9"/>
      <c r="B183" s="40"/>
      <c r="C183" s="40"/>
      <c r="D183" s="40"/>
      <c r="E183" s="11"/>
      <c r="F183" s="11"/>
      <c r="G183" s="11"/>
      <c r="H183" s="14"/>
      <c r="I183" s="14"/>
      <c r="J183" s="14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9"/>
      <c r="B184" s="40"/>
      <c r="C184" s="40"/>
      <c r="D184" s="40"/>
      <c r="E184" s="11"/>
      <c r="F184" s="11"/>
      <c r="G184" s="11"/>
      <c r="H184" s="14"/>
      <c r="I184" s="14"/>
      <c r="J184" s="14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9"/>
      <c r="B185" s="40"/>
      <c r="C185" s="40"/>
      <c r="D185" s="40"/>
      <c r="E185" s="11"/>
      <c r="F185" s="11"/>
      <c r="G185" s="11"/>
      <c r="H185" s="14"/>
      <c r="I185" s="14"/>
      <c r="J185" s="14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9"/>
      <c r="B186" s="40"/>
      <c r="C186" s="40"/>
      <c r="D186" s="40"/>
      <c r="E186" s="11"/>
      <c r="F186" s="11"/>
      <c r="G186" s="11"/>
      <c r="H186" s="14"/>
      <c r="I186" s="14"/>
      <c r="J186" s="14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9"/>
      <c r="B187" s="40"/>
      <c r="C187" s="40"/>
      <c r="D187" s="40"/>
      <c r="E187" s="11"/>
      <c r="F187" s="11"/>
      <c r="G187" s="11"/>
      <c r="H187" s="14"/>
      <c r="I187" s="14"/>
      <c r="J187" s="14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9"/>
      <c r="B188" s="40"/>
      <c r="C188" s="40"/>
      <c r="D188" s="40"/>
      <c r="E188" s="11"/>
      <c r="F188" s="11"/>
      <c r="G188" s="11"/>
      <c r="H188" s="14"/>
      <c r="I188" s="14"/>
      <c r="J188" s="14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9"/>
      <c r="B189" s="40"/>
      <c r="C189" s="40"/>
      <c r="D189" s="40"/>
      <c r="E189" s="11"/>
      <c r="F189" s="11"/>
      <c r="G189" s="11"/>
      <c r="H189" s="14"/>
      <c r="I189" s="14"/>
      <c r="J189" s="14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9"/>
      <c r="B190" s="40"/>
      <c r="C190" s="40"/>
      <c r="D190" s="40"/>
      <c r="E190" s="11"/>
      <c r="F190" s="11"/>
      <c r="G190" s="11"/>
      <c r="H190" s="14"/>
      <c r="I190" s="14"/>
      <c r="J190" s="14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9"/>
      <c r="B191" s="40"/>
      <c r="C191" s="40"/>
      <c r="D191" s="40"/>
      <c r="E191" s="11"/>
      <c r="F191" s="11"/>
      <c r="G191" s="11"/>
      <c r="H191" s="14"/>
      <c r="I191" s="14"/>
      <c r="J191" s="14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9"/>
      <c r="B192" s="40"/>
      <c r="C192" s="40"/>
      <c r="D192" s="40"/>
      <c r="E192" s="11"/>
      <c r="F192" s="11"/>
      <c r="G192" s="11"/>
      <c r="H192" s="14"/>
      <c r="I192" s="14"/>
      <c r="J192" s="14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9"/>
      <c r="B193" s="40"/>
      <c r="C193" s="40"/>
      <c r="D193" s="40"/>
      <c r="E193" s="11"/>
      <c r="F193" s="11"/>
      <c r="G193" s="11"/>
      <c r="H193" s="14"/>
      <c r="I193" s="14"/>
      <c r="J193" s="14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9"/>
      <c r="B194" s="40"/>
      <c r="C194" s="40"/>
      <c r="D194" s="40"/>
      <c r="E194" s="11"/>
      <c r="F194" s="11"/>
      <c r="G194" s="11"/>
      <c r="H194" s="14"/>
      <c r="I194" s="14"/>
      <c r="J194" s="14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9"/>
      <c r="B195" s="40"/>
      <c r="C195" s="40"/>
      <c r="D195" s="40"/>
      <c r="E195" s="11"/>
      <c r="F195" s="11"/>
      <c r="G195" s="11"/>
      <c r="H195" s="14"/>
      <c r="I195" s="14"/>
      <c r="J195" s="14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9"/>
      <c r="B196" s="40"/>
      <c r="C196" s="40"/>
      <c r="D196" s="40"/>
      <c r="E196" s="11"/>
      <c r="F196" s="11"/>
      <c r="G196" s="11"/>
      <c r="H196" s="14"/>
      <c r="I196" s="14"/>
      <c r="J196" s="14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9"/>
      <c r="B197" s="40"/>
      <c r="C197" s="40"/>
      <c r="D197" s="40"/>
      <c r="E197" s="11"/>
      <c r="F197" s="11"/>
      <c r="G197" s="11"/>
      <c r="H197" s="14"/>
      <c r="I197" s="14"/>
      <c r="J197" s="14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9"/>
      <c r="B198" s="40"/>
      <c r="C198" s="40"/>
      <c r="D198" s="40"/>
      <c r="E198" s="11"/>
      <c r="F198" s="11"/>
      <c r="G198" s="11"/>
      <c r="H198" s="14"/>
      <c r="I198" s="14"/>
      <c r="J198" s="14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9"/>
      <c r="B199" s="40"/>
      <c r="C199" s="40"/>
      <c r="D199" s="40"/>
      <c r="E199" s="11"/>
      <c r="F199" s="11"/>
      <c r="G199" s="11"/>
      <c r="H199" s="14"/>
      <c r="I199" s="14"/>
      <c r="J199" s="14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9"/>
      <c r="B200" s="40"/>
      <c r="C200" s="40"/>
      <c r="D200" s="40"/>
      <c r="E200" s="11"/>
      <c r="F200" s="11"/>
      <c r="G200" s="11"/>
      <c r="H200" s="14"/>
      <c r="I200" s="14"/>
      <c r="J200" s="14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9"/>
      <c r="B201" s="40"/>
      <c r="C201" s="40"/>
      <c r="D201" s="40"/>
      <c r="E201" s="11"/>
      <c r="F201" s="11"/>
      <c r="G201" s="11"/>
      <c r="H201" s="14"/>
      <c r="I201" s="14"/>
      <c r="J201" s="14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9"/>
      <c r="B202" s="40"/>
      <c r="C202" s="40"/>
      <c r="D202" s="40"/>
      <c r="E202" s="11"/>
      <c r="F202" s="11"/>
      <c r="G202" s="11"/>
      <c r="H202" s="14"/>
      <c r="I202" s="14"/>
      <c r="J202" s="14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9"/>
      <c r="B203" s="40"/>
      <c r="C203" s="40"/>
      <c r="D203" s="40"/>
      <c r="E203" s="11"/>
      <c r="F203" s="11"/>
      <c r="G203" s="11"/>
      <c r="H203" s="14"/>
      <c r="I203" s="14"/>
      <c r="J203" s="14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9"/>
      <c r="B204" s="40"/>
      <c r="C204" s="40"/>
      <c r="D204" s="40"/>
      <c r="E204" s="11"/>
      <c r="F204" s="11"/>
      <c r="G204" s="11"/>
      <c r="H204" s="14"/>
      <c r="I204" s="14"/>
      <c r="J204" s="14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9"/>
      <c r="B205" s="40"/>
      <c r="C205" s="40"/>
      <c r="D205" s="40"/>
      <c r="E205" s="11"/>
      <c r="F205" s="11"/>
      <c r="G205" s="11"/>
      <c r="H205" s="14"/>
      <c r="I205" s="14"/>
      <c r="J205" s="14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9"/>
      <c r="B206" s="40"/>
      <c r="C206" s="40"/>
      <c r="D206" s="40"/>
      <c r="E206" s="11"/>
      <c r="F206" s="11"/>
      <c r="G206" s="11"/>
      <c r="H206" s="14"/>
      <c r="I206" s="14"/>
      <c r="J206" s="14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9"/>
      <c r="B207" s="40"/>
      <c r="C207" s="40"/>
      <c r="D207" s="40"/>
      <c r="E207" s="11"/>
      <c r="F207" s="11"/>
      <c r="G207" s="11"/>
      <c r="H207" s="14"/>
      <c r="I207" s="14"/>
      <c r="J207" s="14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9"/>
      <c r="B208" s="40"/>
      <c r="C208" s="40"/>
      <c r="D208" s="40"/>
      <c r="E208" s="11"/>
      <c r="F208" s="11"/>
      <c r="G208" s="11"/>
      <c r="H208" s="14"/>
      <c r="I208" s="14"/>
      <c r="J208" s="14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9"/>
      <c r="B209" s="40"/>
      <c r="C209" s="40"/>
      <c r="D209" s="40"/>
      <c r="E209" s="11"/>
      <c r="F209" s="11"/>
      <c r="G209" s="11"/>
      <c r="H209" s="14"/>
      <c r="I209" s="14"/>
      <c r="J209" s="14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9"/>
      <c r="B210" s="40"/>
      <c r="C210" s="40"/>
      <c r="D210" s="40"/>
      <c r="E210" s="11"/>
      <c r="F210" s="11"/>
      <c r="G210" s="11"/>
      <c r="H210" s="14"/>
      <c r="I210" s="14"/>
      <c r="J210" s="14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9"/>
      <c r="B211" s="40"/>
      <c r="C211" s="40"/>
      <c r="D211" s="40"/>
      <c r="E211" s="11"/>
      <c r="F211" s="11"/>
      <c r="G211" s="11"/>
      <c r="H211" s="14"/>
      <c r="I211" s="14"/>
      <c r="J211" s="14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9"/>
      <c r="B212" s="40"/>
      <c r="C212" s="40"/>
      <c r="D212" s="40"/>
      <c r="E212" s="11"/>
      <c r="F212" s="11"/>
      <c r="G212" s="11"/>
      <c r="H212" s="14"/>
      <c r="I212" s="14"/>
      <c r="J212" s="14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9"/>
      <c r="B213" s="40"/>
      <c r="C213" s="40"/>
      <c r="D213" s="40"/>
      <c r="E213" s="11"/>
      <c r="F213" s="11"/>
      <c r="G213" s="11"/>
      <c r="H213" s="14"/>
      <c r="I213" s="14"/>
      <c r="J213" s="14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9"/>
      <c r="B214" s="40"/>
      <c r="C214" s="40"/>
      <c r="D214" s="40"/>
      <c r="E214" s="11"/>
      <c r="F214" s="11"/>
      <c r="G214" s="11"/>
      <c r="H214" s="14"/>
      <c r="I214" s="14"/>
      <c r="J214" s="14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9"/>
      <c r="B215" s="40"/>
      <c r="C215" s="40"/>
      <c r="D215" s="40"/>
      <c r="E215" s="11"/>
      <c r="F215" s="11"/>
      <c r="G215" s="11"/>
      <c r="H215" s="14"/>
      <c r="I215" s="14"/>
      <c r="J215" s="14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9"/>
      <c r="B216" s="40"/>
      <c r="C216" s="40"/>
      <c r="D216" s="40"/>
      <c r="E216" s="11"/>
      <c r="F216" s="11"/>
      <c r="G216" s="11"/>
      <c r="H216" s="14"/>
      <c r="I216" s="14"/>
      <c r="J216" s="14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9"/>
      <c r="B217" s="40"/>
      <c r="C217" s="40"/>
      <c r="D217" s="40"/>
      <c r="E217" s="11"/>
      <c r="F217" s="11"/>
      <c r="G217" s="11"/>
      <c r="H217" s="14"/>
      <c r="I217" s="14"/>
      <c r="J217" s="14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9"/>
      <c r="B218" s="40"/>
      <c r="C218" s="40"/>
      <c r="D218" s="40"/>
      <c r="E218" s="11"/>
      <c r="F218" s="11"/>
      <c r="G218" s="11"/>
      <c r="H218" s="14"/>
      <c r="I218" s="14"/>
      <c r="J218" s="14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9"/>
      <c r="B219" s="40"/>
      <c r="C219" s="40"/>
      <c r="D219" s="40"/>
      <c r="E219" s="11"/>
      <c r="F219" s="11"/>
      <c r="G219" s="11"/>
      <c r="H219" s="14"/>
      <c r="I219" s="14"/>
      <c r="J219" s="14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9"/>
      <c r="B220" s="40"/>
      <c r="C220" s="40"/>
      <c r="D220" s="40"/>
      <c r="E220" s="11"/>
      <c r="F220" s="11"/>
      <c r="G220" s="11"/>
      <c r="H220" s="14"/>
      <c r="I220" s="14"/>
      <c r="J220" s="14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9"/>
      <c r="B221" s="40"/>
      <c r="C221" s="40"/>
      <c r="D221" s="40"/>
      <c r="E221" s="11"/>
      <c r="F221" s="11"/>
      <c r="G221" s="11"/>
      <c r="H221" s="14"/>
      <c r="I221" s="14"/>
      <c r="J221" s="14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9"/>
      <c r="B222" s="40"/>
      <c r="C222" s="40"/>
      <c r="D222" s="40"/>
      <c r="E222" s="11"/>
      <c r="F222" s="11"/>
      <c r="G222" s="11"/>
      <c r="H222" s="14"/>
      <c r="I222" s="14"/>
      <c r="J222" s="14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9"/>
      <c r="B223" s="40"/>
      <c r="C223" s="40"/>
      <c r="D223" s="40"/>
      <c r="E223" s="11"/>
      <c r="F223" s="11"/>
      <c r="G223" s="11"/>
      <c r="H223" s="14"/>
      <c r="I223" s="14"/>
      <c r="J223" s="14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9"/>
      <c r="B224" s="40"/>
      <c r="C224" s="40"/>
      <c r="D224" s="40"/>
      <c r="E224" s="11"/>
      <c r="F224" s="11"/>
      <c r="G224" s="11"/>
      <c r="H224" s="14"/>
      <c r="I224" s="14"/>
      <c r="J224" s="14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9"/>
      <c r="B225" s="40"/>
      <c r="C225" s="40"/>
      <c r="D225" s="40"/>
      <c r="E225" s="11"/>
      <c r="F225" s="11"/>
      <c r="G225" s="11"/>
      <c r="H225" s="14"/>
      <c r="I225" s="14"/>
      <c r="J225" s="14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9"/>
      <c r="B226" s="40"/>
      <c r="C226" s="40"/>
      <c r="D226" s="40"/>
      <c r="E226" s="11"/>
      <c r="F226" s="11"/>
      <c r="G226" s="11"/>
      <c r="H226" s="14"/>
      <c r="I226" s="14"/>
      <c r="J226" s="14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9"/>
      <c r="B227" s="40"/>
      <c r="C227" s="40"/>
      <c r="D227" s="40"/>
      <c r="E227" s="11"/>
      <c r="F227" s="11"/>
      <c r="G227" s="11"/>
      <c r="H227" s="14"/>
      <c r="I227" s="14"/>
      <c r="J227" s="14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9"/>
      <c r="B228" s="40"/>
      <c r="C228" s="40"/>
      <c r="D228" s="40"/>
      <c r="E228" s="11"/>
      <c r="F228" s="11"/>
      <c r="G228" s="11"/>
      <c r="H228" s="14"/>
      <c r="I228" s="14"/>
      <c r="J228" s="14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9"/>
      <c r="B229" s="40"/>
      <c r="C229" s="40"/>
      <c r="D229" s="40"/>
      <c r="E229" s="11"/>
      <c r="F229" s="11"/>
      <c r="G229" s="11"/>
      <c r="H229" s="14"/>
      <c r="I229" s="14"/>
      <c r="J229" s="14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9"/>
      <c r="B230" s="40"/>
      <c r="C230" s="40"/>
      <c r="D230" s="40"/>
      <c r="E230" s="11"/>
      <c r="F230" s="11"/>
      <c r="G230" s="11"/>
      <c r="H230" s="14"/>
      <c r="I230" s="14"/>
      <c r="J230" s="14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9"/>
      <c r="B231" s="40"/>
      <c r="C231" s="40"/>
      <c r="D231" s="40"/>
      <c r="E231" s="11"/>
      <c r="F231" s="11"/>
      <c r="G231" s="11"/>
      <c r="H231" s="14"/>
      <c r="I231" s="14"/>
      <c r="J231" s="14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9"/>
      <c r="B232" s="40"/>
      <c r="C232" s="40"/>
      <c r="D232" s="40"/>
      <c r="E232" s="11"/>
      <c r="F232" s="11"/>
      <c r="G232" s="11"/>
      <c r="H232" s="14"/>
      <c r="I232" s="14"/>
      <c r="J232" s="14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9"/>
      <c r="B233" s="40"/>
      <c r="C233" s="40"/>
      <c r="D233" s="40"/>
      <c r="E233" s="11"/>
      <c r="F233" s="11"/>
      <c r="G233" s="11"/>
      <c r="H233" s="14"/>
      <c r="I233" s="14"/>
      <c r="J233" s="14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9"/>
      <c r="B234" s="40"/>
      <c r="C234" s="40"/>
      <c r="D234" s="40"/>
      <c r="E234" s="11"/>
      <c r="F234" s="11"/>
      <c r="G234" s="11"/>
      <c r="H234" s="14"/>
      <c r="I234" s="14"/>
      <c r="J234" s="14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9"/>
      <c r="B235" s="40"/>
      <c r="C235" s="40"/>
      <c r="D235" s="40"/>
      <c r="E235" s="11"/>
      <c r="F235" s="11"/>
      <c r="G235" s="11"/>
      <c r="H235" s="14"/>
      <c r="I235" s="14"/>
      <c r="J235" s="14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9"/>
      <c r="B236" s="40"/>
      <c r="C236" s="40"/>
      <c r="D236" s="40"/>
      <c r="E236" s="11"/>
      <c r="F236" s="11"/>
      <c r="G236" s="11"/>
      <c r="H236" s="14"/>
      <c r="I236" s="14"/>
      <c r="J236" s="14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9"/>
      <c r="B237" s="40"/>
      <c r="C237" s="40"/>
      <c r="D237" s="40"/>
      <c r="E237" s="11"/>
      <c r="F237" s="11"/>
      <c r="G237" s="11"/>
      <c r="H237" s="14"/>
      <c r="I237" s="14"/>
      <c r="J237" s="14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9"/>
      <c r="B238" s="40"/>
      <c r="C238" s="40"/>
      <c r="D238" s="40"/>
      <c r="E238" s="11"/>
      <c r="F238" s="11"/>
      <c r="G238" s="11"/>
      <c r="H238" s="14"/>
      <c r="I238" s="14"/>
      <c r="J238" s="14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9"/>
      <c r="B239" s="40"/>
      <c r="C239" s="40"/>
      <c r="D239" s="40"/>
      <c r="E239" s="11"/>
      <c r="F239" s="11"/>
      <c r="G239" s="11"/>
      <c r="H239" s="14"/>
      <c r="I239" s="14"/>
      <c r="J239" s="14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9"/>
      <c r="B240" s="40"/>
      <c r="C240" s="40"/>
      <c r="D240" s="40"/>
      <c r="E240" s="11"/>
      <c r="F240" s="11"/>
      <c r="G240" s="11"/>
      <c r="H240" s="14"/>
      <c r="I240" s="14"/>
      <c r="J240" s="14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9"/>
      <c r="B241" s="40"/>
      <c r="C241" s="40"/>
      <c r="D241" s="40"/>
      <c r="E241" s="11"/>
      <c r="F241" s="11"/>
      <c r="G241" s="11"/>
      <c r="H241" s="14"/>
      <c r="I241" s="14"/>
      <c r="J241" s="14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9"/>
      <c r="B242" s="40"/>
      <c r="C242" s="40"/>
      <c r="D242" s="40"/>
      <c r="E242" s="11"/>
      <c r="F242" s="11"/>
      <c r="G242" s="11"/>
      <c r="H242" s="14"/>
      <c r="I242" s="14"/>
      <c r="J242" s="14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9"/>
      <c r="B243" s="40"/>
      <c r="C243" s="40"/>
      <c r="D243" s="40"/>
      <c r="E243" s="11"/>
      <c r="F243" s="11"/>
      <c r="G243" s="11"/>
      <c r="H243" s="14"/>
      <c r="I243" s="14"/>
      <c r="J243" s="14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9"/>
      <c r="B244" s="40"/>
      <c r="C244" s="40"/>
      <c r="D244" s="40"/>
      <c r="E244" s="11"/>
      <c r="F244" s="11"/>
      <c r="G244" s="11"/>
      <c r="H244" s="14"/>
      <c r="I244" s="14"/>
      <c r="J244" s="14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9"/>
      <c r="B245" s="40"/>
      <c r="C245" s="40"/>
      <c r="D245" s="40"/>
      <c r="E245" s="11"/>
      <c r="F245" s="11"/>
      <c r="G245" s="11"/>
      <c r="H245" s="14"/>
      <c r="I245" s="14"/>
      <c r="J245" s="14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9"/>
      <c r="B246" s="40"/>
      <c r="C246" s="40"/>
      <c r="D246" s="40"/>
      <c r="E246" s="11"/>
      <c r="F246" s="11"/>
      <c r="G246" s="11"/>
      <c r="H246" s="14"/>
      <c r="I246" s="14"/>
      <c r="J246" s="14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9"/>
      <c r="B247" s="40"/>
      <c r="C247" s="40"/>
      <c r="D247" s="40"/>
      <c r="E247" s="11"/>
      <c r="F247" s="11"/>
      <c r="G247" s="11"/>
      <c r="H247" s="14"/>
      <c r="I247" s="14"/>
      <c r="J247" s="14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9"/>
      <c r="B248" s="40"/>
      <c r="C248" s="40"/>
      <c r="D248" s="40"/>
      <c r="E248" s="11"/>
      <c r="F248" s="11"/>
      <c r="G248" s="11"/>
      <c r="H248" s="14"/>
      <c r="I248" s="14"/>
      <c r="J248" s="14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9"/>
      <c r="B249" s="40"/>
      <c r="C249" s="40"/>
      <c r="D249" s="40"/>
      <c r="E249" s="11"/>
      <c r="F249" s="11"/>
      <c r="G249" s="11"/>
      <c r="H249" s="14"/>
      <c r="I249" s="14"/>
      <c r="J249" s="14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9"/>
      <c r="B250" s="40"/>
      <c r="C250" s="40"/>
      <c r="D250" s="40"/>
      <c r="E250" s="11"/>
      <c r="F250" s="11"/>
      <c r="G250" s="11"/>
      <c r="H250" s="14"/>
      <c r="I250" s="14"/>
      <c r="J250" s="14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9"/>
      <c r="B251" s="40"/>
      <c r="C251" s="40"/>
      <c r="D251" s="40"/>
      <c r="E251" s="11"/>
      <c r="F251" s="11"/>
      <c r="G251" s="11"/>
      <c r="H251" s="14"/>
      <c r="I251" s="14"/>
      <c r="J251" s="14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9"/>
      <c r="B252" s="40"/>
      <c r="C252" s="40"/>
      <c r="D252" s="40"/>
      <c r="E252" s="11"/>
      <c r="F252" s="11"/>
      <c r="G252" s="11"/>
      <c r="H252" s="14"/>
      <c r="I252" s="14"/>
      <c r="J252" s="14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9"/>
      <c r="B253" s="40"/>
      <c r="C253" s="40"/>
      <c r="D253" s="40"/>
      <c r="E253" s="11"/>
      <c r="F253" s="11"/>
      <c r="G253" s="11"/>
      <c r="H253" s="14"/>
      <c r="I253" s="14"/>
      <c r="J253" s="14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9"/>
      <c r="B254" s="40"/>
      <c r="C254" s="40"/>
      <c r="D254" s="40"/>
      <c r="E254" s="11"/>
      <c r="F254" s="11"/>
      <c r="G254" s="11"/>
      <c r="H254" s="14"/>
      <c r="I254" s="14"/>
      <c r="J254" s="14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39"/>
      <c r="B255" s="40"/>
      <c r="C255" s="40"/>
      <c r="D255" s="40"/>
      <c r="E255" s="11"/>
      <c r="F255" s="11"/>
      <c r="G255" s="11"/>
      <c r="H255" s="14"/>
      <c r="I255" s="14"/>
      <c r="J255" s="14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39"/>
      <c r="B256" s="40"/>
      <c r="C256" s="40"/>
      <c r="D256" s="40"/>
      <c r="E256" s="11"/>
      <c r="F256" s="11"/>
      <c r="G256" s="11"/>
      <c r="H256" s="14"/>
      <c r="I256" s="14"/>
      <c r="J256" s="14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39"/>
      <c r="B257" s="40"/>
      <c r="C257" s="40"/>
      <c r="D257" s="40"/>
      <c r="E257" s="11"/>
      <c r="F257" s="11"/>
      <c r="G257" s="11"/>
      <c r="H257" s="14"/>
      <c r="I257" s="14"/>
      <c r="J257" s="14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39"/>
      <c r="B258" s="40"/>
      <c r="C258" s="40"/>
      <c r="D258" s="40"/>
      <c r="E258" s="11"/>
      <c r="F258" s="11"/>
      <c r="G258" s="11"/>
      <c r="H258" s="14"/>
      <c r="I258" s="14"/>
      <c r="J258" s="14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39"/>
      <c r="B259" s="40"/>
      <c r="C259" s="40"/>
      <c r="D259" s="40"/>
      <c r="E259" s="11"/>
      <c r="F259" s="11"/>
      <c r="G259" s="11"/>
      <c r="H259" s="14"/>
      <c r="I259" s="14"/>
      <c r="J259" s="14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39"/>
      <c r="B260" s="40"/>
      <c r="C260" s="40"/>
      <c r="D260" s="40"/>
      <c r="E260" s="11"/>
      <c r="F260" s="11"/>
      <c r="G260" s="11"/>
      <c r="H260" s="14"/>
      <c r="I260" s="14"/>
      <c r="J260" s="14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9"/>
      <c r="B261" s="40"/>
      <c r="C261" s="40"/>
      <c r="D261" s="40"/>
      <c r="E261" s="11"/>
      <c r="F261" s="11"/>
      <c r="G261" s="11"/>
      <c r="H261" s="14"/>
      <c r="I261" s="14"/>
      <c r="J261" s="14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39"/>
      <c r="B262" s="40"/>
      <c r="C262" s="40"/>
      <c r="D262" s="40"/>
      <c r="E262" s="11"/>
      <c r="F262" s="11"/>
      <c r="G262" s="11"/>
      <c r="H262" s="14"/>
      <c r="I262" s="14"/>
      <c r="J262" s="14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39"/>
      <c r="B263" s="40"/>
      <c r="C263" s="40"/>
      <c r="D263" s="40"/>
      <c r="E263" s="11"/>
      <c r="F263" s="11"/>
      <c r="G263" s="11"/>
      <c r="H263" s="14"/>
      <c r="I263" s="14"/>
      <c r="J263" s="14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9"/>
      <c r="B264" s="40"/>
      <c r="C264" s="40"/>
      <c r="D264" s="40"/>
      <c r="E264" s="11"/>
      <c r="F264" s="11"/>
      <c r="G264" s="11"/>
      <c r="H264" s="14"/>
      <c r="I264" s="14"/>
      <c r="J264" s="14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39"/>
      <c r="B265" s="40"/>
      <c r="C265" s="40"/>
      <c r="D265" s="40"/>
      <c r="E265" s="11"/>
      <c r="F265" s="11"/>
      <c r="G265" s="11"/>
      <c r="H265" s="14"/>
      <c r="I265" s="14"/>
      <c r="J265" s="14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39"/>
      <c r="B266" s="40"/>
      <c r="C266" s="40"/>
      <c r="D266" s="40"/>
      <c r="E266" s="11"/>
      <c r="F266" s="11"/>
      <c r="G266" s="11"/>
      <c r="H266" s="14"/>
      <c r="I266" s="14"/>
      <c r="J266" s="14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39"/>
      <c r="B267" s="40"/>
      <c r="C267" s="40"/>
      <c r="D267" s="40"/>
      <c r="E267" s="11"/>
      <c r="F267" s="11"/>
      <c r="G267" s="11"/>
      <c r="H267" s="14"/>
      <c r="I267" s="14"/>
      <c r="J267" s="14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39"/>
      <c r="B268" s="40"/>
      <c r="C268" s="40"/>
      <c r="D268" s="40"/>
      <c r="E268" s="11"/>
      <c r="F268" s="11"/>
      <c r="G268" s="11"/>
      <c r="H268" s="14"/>
      <c r="I268" s="14"/>
      <c r="J268" s="14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39"/>
      <c r="B269" s="40"/>
      <c r="C269" s="40"/>
      <c r="D269" s="40"/>
      <c r="E269" s="11"/>
      <c r="F269" s="11"/>
      <c r="G269" s="11"/>
      <c r="H269" s="14"/>
      <c r="I269" s="14"/>
      <c r="J269" s="14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39"/>
      <c r="B270" s="40"/>
      <c r="C270" s="40"/>
      <c r="D270" s="40"/>
      <c r="E270" s="11"/>
      <c r="F270" s="11"/>
      <c r="G270" s="11"/>
      <c r="H270" s="14"/>
      <c r="I270" s="14"/>
      <c r="J270" s="14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39"/>
      <c r="B271" s="40"/>
      <c r="C271" s="40"/>
      <c r="D271" s="40"/>
      <c r="E271" s="11"/>
      <c r="F271" s="11"/>
      <c r="G271" s="11"/>
      <c r="H271" s="14"/>
      <c r="I271" s="14"/>
      <c r="J271" s="14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39"/>
      <c r="B272" s="40"/>
      <c r="C272" s="40"/>
      <c r="D272" s="40"/>
      <c r="E272" s="11"/>
      <c r="F272" s="11"/>
      <c r="G272" s="11"/>
      <c r="H272" s="14"/>
      <c r="I272" s="14"/>
      <c r="J272" s="14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39"/>
      <c r="B273" s="40"/>
      <c r="C273" s="40"/>
      <c r="D273" s="40"/>
      <c r="E273" s="11"/>
      <c r="F273" s="11"/>
      <c r="G273" s="11"/>
      <c r="H273" s="14"/>
      <c r="I273" s="14"/>
      <c r="J273" s="14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39"/>
      <c r="B274" s="40"/>
      <c r="C274" s="40"/>
      <c r="D274" s="40"/>
      <c r="E274" s="11"/>
      <c r="F274" s="11"/>
      <c r="G274" s="11"/>
      <c r="H274" s="14"/>
      <c r="I274" s="14"/>
      <c r="J274" s="14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9"/>
      <c r="B275" s="40"/>
      <c r="C275" s="40"/>
      <c r="D275" s="40"/>
      <c r="E275" s="11"/>
      <c r="F275" s="11"/>
      <c r="G275" s="11"/>
      <c r="H275" s="14"/>
      <c r="I275" s="14"/>
      <c r="J275" s="14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39"/>
      <c r="B276" s="40"/>
      <c r="C276" s="40"/>
      <c r="D276" s="40"/>
      <c r="E276" s="11"/>
      <c r="F276" s="11"/>
      <c r="G276" s="11"/>
      <c r="H276" s="14"/>
      <c r="I276" s="14"/>
      <c r="J276" s="14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39"/>
      <c r="B277" s="40"/>
      <c r="C277" s="40"/>
      <c r="D277" s="40"/>
      <c r="E277" s="11"/>
      <c r="F277" s="11"/>
      <c r="G277" s="11"/>
      <c r="H277" s="14"/>
      <c r="I277" s="14"/>
      <c r="J277" s="14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39"/>
      <c r="B278" s="40"/>
      <c r="C278" s="40"/>
      <c r="D278" s="40"/>
      <c r="E278" s="11"/>
      <c r="F278" s="11"/>
      <c r="G278" s="11"/>
      <c r="H278" s="14"/>
      <c r="I278" s="14"/>
      <c r="J278" s="14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9"/>
      <c r="B279" s="40"/>
      <c r="C279" s="40"/>
      <c r="D279" s="40"/>
      <c r="E279" s="11"/>
      <c r="F279" s="11"/>
      <c r="G279" s="11"/>
      <c r="H279" s="14"/>
      <c r="I279" s="14"/>
      <c r="J279" s="14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39"/>
      <c r="B280" s="40"/>
      <c r="C280" s="40"/>
      <c r="D280" s="40"/>
      <c r="E280" s="11"/>
      <c r="F280" s="11"/>
      <c r="G280" s="11"/>
      <c r="H280" s="14"/>
      <c r="I280" s="14"/>
      <c r="J280" s="14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39"/>
      <c r="B281" s="40"/>
      <c r="C281" s="40"/>
      <c r="D281" s="40"/>
      <c r="E281" s="11"/>
      <c r="F281" s="11"/>
      <c r="G281" s="11"/>
      <c r="H281" s="14"/>
      <c r="I281" s="14"/>
      <c r="J281" s="14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39"/>
      <c r="B282" s="40"/>
      <c r="C282" s="40"/>
      <c r="D282" s="40"/>
      <c r="E282" s="11"/>
      <c r="F282" s="11"/>
      <c r="G282" s="11"/>
      <c r="H282" s="14"/>
      <c r="I282" s="14"/>
      <c r="J282" s="14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39"/>
      <c r="B283" s="40"/>
      <c r="C283" s="40"/>
      <c r="D283" s="40"/>
      <c r="E283" s="11"/>
      <c r="F283" s="11"/>
      <c r="G283" s="11"/>
      <c r="H283" s="14"/>
      <c r="I283" s="14"/>
      <c r="J283" s="14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39"/>
      <c r="B284" s="40"/>
      <c r="C284" s="40"/>
      <c r="D284" s="40"/>
      <c r="E284" s="11"/>
      <c r="F284" s="11"/>
      <c r="G284" s="11"/>
      <c r="H284" s="14"/>
      <c r="I284" s="14"/>
      <c r="J284" s="14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39"/>
      <c r="B285" s="40"/>
      <c r="C285" s="40"/>
      <c r="D285" s="40"/>
      <c r="E285" s="11"/>
      <c r="F285" s="11"/>
      <c r="G285" s="11"/>
      <c r="H285" s="14"/>
      <c r="I285" s="14"/>
      <c r="J285" s="14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39"/>
      <c r="B286" s="40"/>
      <c r="C286" s="40"/>
      <c r="D286" s="40"/>
      <c r="E286" s="11"/>
      <c r="F286" s="11"/>
      <c r="G286" s="11"/>
      <c r="H286" s="14"/>
      <c r="I286" s="14"/>
      <c r="J286" s="14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39"/>
      <c r="B287" s="40"/>
      <c r="C287" s="40"/>
      <c r="D287" s="40"/>
      <c r="E287" s="11"/>
      <c r="F287" s="11"/>
      <c r="G287" s="11"/>
      <c r="H287" s="14"/>
      <c r="I287" s="14"/>
      <c r="J287" s="14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39"/>
      <c r="B288" s="40"/>
      <c r="C288" s="40"/>
      <c r="D288" s="40"/>
      <c r="E288" s="11"/>
      <c r="F288" s="11"/>
      <c r="G288" s="11"/>
      <c r="H288" s="14"/>
      <c r="I288" s="14"/>
      <c r="J288" s="14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9"/>
      <c r="B289" s="40"/>
      <c r="C289" s="40"/>
      <c r="D289" s="40"/>
      <c r="E289" s="11"/>
      <c r="F289" s="11"/>
      <c r="G289" s="11"/>
      <c r="H289" s="14"/>
      <c r="I289" s="14"/>
      <c r="J289" s="14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39"/>
      <c r="B290" s="40"/>
      <c r="C290" s="40"/>
      <c r="D290" s="40"/>
      <c r="E290" s="11"/>
      <c r="F290" s="11"/>
      <c r="G290" s="11"/>
      <c r="H290" s="14"/>
      <c r="I290" s="14"/>
      <c r="J290" s="14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39"/>
      <c r="B291" s="40"/>
      <c r="C291" s="40"/>
      <c r="D291" s="40"/>
      <c r="E291" s="11"/>
      <c r="F291" s="11"/>
      <c r="G291" s="11"/>
      <c r="H291" s="14"/>
      <c r="I291" s="14"/>
      <c r="J291" s="14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39"/>
      <c r="B292" s="40"/>
      <c r="C292" s="40"/>
      <c r="D292" s="40"/>
      <c r="E292" s="11"/>
      <c r="F292" s="11"/>
      <c r="G292" s="11"/>
      <c r="H292" s="14"/>
      <c r="I292" s="14"/>
      <c r="J292" s="14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39"/>
      <c r="B293" s="40"/>
      <c r="C293" s="40"/>
      <c r="D293" s="40"/>
      <c r="E293" s="11"/>
      <c r="F293" s="11"/>
      <c r="G293" s="11"/>
      <c r="H293" s="14"/>
      <c r="I293" s="14"/>
      <c r="J293" s="14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39"/>
      <c r="B294" s="40"/>
      <c r="C294" s="40"/>
      <c r="D294" s="40"/>
      <c r="E294" s="11"/>
      <c r="F294" s="11"/>
      <c r="G294" s="11"/>
      <c r="H294" s="14"/>
      <c r="I294" s="14"/>
      <c r="J294" s="14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39"/>
      <c r="B295" s="40"/>
      <c r="C295" s="40"/>
      <c r="D295" s="40"/>
      <c r="E295" s="11"/>
      <c r="F295" s="11"/>
      <c r="G295" s="11"/>
      <c r="H295" s="14"/>
      <c r="I295" s="14"/>
      <c r="J295" s="14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39"/>
      <c r="B296" s="40"/>
      <c r="C296" s="40"/>
      <c r="D296" s="40"/>
      <c r="E296" s="11"/>
      <c r="F296" s="11"/>
      <c r="G296" s="11"/>
      <c r="H296" s="14"/>
      <c r="I296" s="14"/>
      <c r="J296" s="14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39"/>
      <c r="B297" s="40"/>
      <c r="C297" s="40"/>
      <c r="D297" s="40"/>
      <c r="E297" s="11"/>
      <c r="F297" s="11"/>
      <c r="G297" s="11"/>
      <c r="H297" s="14"/>
      <c r="I297" s="14"/>
      <c r="J297" s="14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39"/>
      <c r="B298" s="40"/>
      <c r="C298" s="40"/>
      <c r="D298" s="40"/>
      <c r="E298" s="11"/>
      <c r="F298" s="11"/>
      <c r="G298" s="11"/>
      <c r="H298" s="14"/>
      <c r="I298" s="14"/>
      <c r="J298" s="14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39"/>
      <c r="B299" s="40"/>
      <c r="C299" s="40"/>
      <c r="D299" s="40"/>
      <c r="E299" s="11"/>
      <c r="F299" s="11"/>
      <c r="G299" s="11"/>
      <c r="H299" s="14"/>
      <c r="I299" s="14"/>
      <c r="J299" s="14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39"/>
      <c r="B300" s="40"/>
      <c r="C300" s="40"/>
      <c r="D300" s="40"/>
      <c r="E300" s="11"/>
      <c r="F300" s="11"/>
      <c r="G300" s="11"/>
      <c r="H300" s="14"/>
      <c r="I300" s="14"/>
      <c r="J300" s="14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39"/>
      <c r="B301" s="40"/>
      <c r="C301" s="40"/>
      <c r="D301" s="40"/>
      <c r="E301" s="11"/>
      <c r="F301" s="11"/>
      <c r="G301" s="11"/>
      <c r="H301" s="14"/>
      <c r="I301" s="14"/>
      <c r="J301" s="14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9"/>
      <c r="B302" s="40"/>
      <c r="C302" s="40"/>
      <c r="D302" s="40"/>
      <c r="E302" s="11"/>
      <c r="F302" s="11"/>
      <c r="G302" s="11"/>
      <c r="H302" s="14"/>
      <c r="I302" s="14"/>
      <c r="J302" s="14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39"/>
      <c r="B303" s="40"/>
      <c r="C303" s="40"/>
      <c r="D303" s="40"/>
      <c r="E303" s="11"/>
      <c r="F303" s="11"/>
      <c r="G303" s="11"/>
      <c r="H303" s="14"/>
      <c r="I303" s="14"/>
      <c r="J303" s="14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39"/>
      <c r="B304" s="40"/>
      <c r="C304" s="40"/>
      <c r="D304" s="40"/>
      <c r="E304" s="11"/>
      <c r="F304" s="11"/>
      <c r="G304" s="11"/>
      <c r="H304" s="14"/>
      <c r="I304" s="14"/>
      <c r="J304" s="14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39"/>
      <c r="B305" s="40"/>
      <c r="C305" s="40"/>
      <c r="D305" s="40"/>
      <c r="E305" s="11"/>
      <c r="F305" s="11"/>
      <c r="G305" s="11"/>
      <c r="H305" s="14"/>
      <c r="I305" s="14"/>
      <c r="J305" s="14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39"/>
      <c r="B306" s="40"/>
      <c r="C306" s="40"/>
      <c r="D306" s="40"/>
      <c r="E306" s="11"/>
      <c r="F306" s="11"/>
      <c r="G306" s="11"/>
      <c r="H306" s="14"/>
      <c r="I306" s="14"/>
      <c r="J306" s="14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39"/>
      <c r="B307" s="40"/>
      <c r="C307" s="40"/>
      <c r="D307" s="40"/>
      <c r="E307" s="11"/>
      <c r="F307" s="11"/>
      <c r="G307" s="11"/>
      <c r="H307" s="14"/>
      <c r="I307" s="14"/>
      <c r="J307" s="14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39"/>
      <c r="B308" s="40"/>
      <c r="C308" s="40"/>
      <c r="D308" s="40"/>
      <c r="E308" s="11"/>
      <c r="F308" s="11"/>
      <c r="G308" s="11"/>
      <c r="H308" s="14"/>
      <c r="I308" s="14"/>
      <c r="J308" s="14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39"/>
      <c r="B309" s="40"/>
      <c r="C309" s="40"/>
      <c r="D309" s="40"/>
      <c r="E309" s="11"/>
      <c r="F309" s="11"/>
      <c r="G309" s="11"/>
      <c r="H309" s="14"/>
      <c r="I309" s="14"/>
      <c r="J309" s="14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39"/>
      <c r="B310" s="40"/>
      <c r="C310" s="40"/>
      <c r="D310" s="40"/>
      <c r="E310" s="11"/>
      <c r="F310" s="11"/>
      <c r="G310" s="11"/>
      <c r="H310" s="14"/>
      <c r="I310" s="14"/>
      <c r="J310" s="14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39"/>
      <c r="B311" s="40"/>
      <c r="C311" s="40"/>
      <c r="D311" s="40"/>
      <c r="E311" s="11"/>
      <c r="F311" s="11"/>
      <c r="G311" s="11"/>
      <c r="H311" s="14"/>
      <c r="I311" s="14"/>
      <c r="J311" s="14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39"/>
      <c r="B312" s="40"/>
      <c r="C312" s="40"/>
      <c r="D312" s="40"/>
      <c r="E312" s="11"/>
      <c r="F312" s="11"/>
      <c r="G312" s="11"/>
      <c r="H312" s="14"/>
      <c r="I312" s="14"/>
      <c r="J312" s="14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39"/>
      <c r="B313" s="40"/>
      <c r="C313" s="40"/>
      <c r="D313" s="40"/>
      <c r="E313" s="11"/>
      <c r="F313" s="11"/>
      <c r="G313" s="11"/>
      <c r="H313" s="14"/>
      <c r="I313" s="14"/>
      <c r="J313" s="14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39"/>
      <c r="B314" s="40"/>
      <c r="C314" s="40"/>
      <c r="D314" s="40"/>
      <c r="E314" s="11"/>
      <c r="F314" s="11"/>
      <c r="G314" s="11"/>
      <c r="H314" s="14"/>
      <c r="I314" s="14"/>
      <c r="J314" s="14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39"/>
      <c r="B315" s="40"/>
      <c r="C315" s="40"/>
      <c r="D315" s="40"/>
      <c r="E315" s="11"/>
      <c r="F315" s="11"/>
      <c r="G315" s="11"/>
      <c r="H315" s="14"/>
      <c r="I315" s="14"/>
      <c r="J315" s="14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39"/>
      <c r="B316" s="40"/>
      <c r="C316" s="40"/>
      <c r="D316" s="40"/>
      <c r="E316" s="11"/>
      <c r="F316" s="11"/>
      <c r="G316" s="11"/>
      <c r="H316" s="14"/>
      <c r="I316" s="14"/>
      <c r="J316" s="14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39"/>
      <c r="B317" s="40"/>
      <c r="C317" s="40"/>
      <c r="D317" s="40"/>
      <c r="E317" s="11"/>
      <c r="F317" s="11"/>
      <c r="G317" s="11"/>
      <c r="H317" s="14"/>
      <c r="I317" s="14"/>
      <c r="J317" s="14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39"/>
      <c r="B318" s="40"/>
      <c r="C318" s="40"/>
      <c r="D318" s="40"/>
      <c r="E318" s="11"/>
      <c r="F318" s="11"/>
      <c r="G318" s="11"/>
      <c r="H318" s="14"/>
      <c r="I318" s="14"/>
      <c r="J318" s="14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39"/>
      <c r="B319" s="40"/>
      <c r="C319" s="40"/>
      <c r="D319" s="40"/>
      <c r="E319" s="11"/>
      <c r="F319" s="11"/>
      <c r="G319" s="11"/>
      <c r="H319" s="14"/>
      <c r="I319" s="14"/>
      <c r="J319" s="14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39"/>
      <c r="B320" s="40"/>
      <c r="C320" s="40"/>
      <c r="D320" s="40"/>
      <c r="E320" s="11"/>
      <c r="F320" s="11"/>
      <c r="G320" s="11"/>
      <c r="H320" s="14"/>
      <c r="I320" s="14"/>
      <c r="J320" s="14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39"/>
      <c r="B321" s="40"/>
      <c r="C321" s="40"/>
      <c r="D321" s="40"/>
      <c r="E321" s="11"/>
      <c r="F321" s="11"/>
      <c r="G321" s="11"/>
      <c r="H321" s="14"/>
      <c r="I321" s="14"/>
      <c r="J321" s="14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39"/>
      <c r="B322" s="40"/>
      <c r="C322" s="40"/>
      <c r="D322" s="40"/>
      <c r="E322" s="11"/>
      <c r="F322" s="11"/>
      <c r="G322" s="11"/>
      <c r="H322" s="14"/>
      <c r="I322" s="14"/>
      <c r="J322" s="14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39"/>
      <c r="B323" s="40"/>
      <c r="C323" s="40"/>
      <c r="D323" s="40"/>
      <c r="E323" s="11"/>
      <c r="F323" s="11"/>
      <c r="G323" s="11"/>
      <c r="H323" s="14"/>
      <c r="I323" s="14"/>
      <c r="J323" s="14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39"/>
      <c r="B324" s="40"/>
      <c r="C324" s="40"/>
      <c r="D324" s="40"/>
      <c r="E324" s="11"/>
      <c r="F324" s="11"/>
      <c r="G324" s="11"/>
      <c r="H324" s="14"/>
      <c r="I324" s="14"/>
      <c r="J324" s="14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39"/>
      <c r="B325" s="40"/>
      <c r="C325" s="40"/>
      <c r="D325" s="40"/>
      <c r="E325" s="11"/>
      <c r="F325" s="11"/>
      <c r="G325" s="11"/>
      <c r="H325" s="14"/>
      <c r="I325" s="14"/>
      <c r="J325" s="14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39"/>
      <c r="B326" s="40"/>
      <c r="C326" s="40"/>
      <c r="D326" s="40"/>
      <c r="E326" s="11"/>
      <c r="F326" s="11"/>
      <c r="G326" s="11"/>
      <c r="H326" s="14"/>
      <c r="I326" s="14"/>
      <c r="J326" s="14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39"/>
      <c r="B327" s="40"/>
      <c r="C327" s="40"/>
      <c r="D327" s="40"/>
      <c r="E327" s="11"/>
      <c r="F327" s="11"/>
      <c r="G327" s="11"/>
      <c r="H327" s="14"/>
      <c r="I327" s="14"/>
      <c r="J327" s="14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39"/>
      <c r="B328" s="40"/>
      <c r="C328" s="40"/>
      <c r="D328" s="40"/>
      <c r="E328" s="11"/>
      <c r="F328" s="11"/>
      <c r="G328" s="11"/>
      <c r="H328" s="14"/>
      <c r="I328" s="14"/>
      <c r="J328" s="14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39"/>
      <c r="B329" s="40"/>
      <c r="C329" s="40"/>
      <c r="D329" s="40"/>
      <c r="E329" s="11"/>
      <c r="F329" s="11"/>
      <c r="G329" s="11"/>
      <c r="H329" s="14"/>
      <c r="I329" s="14"/>
      <c r="J329" s="14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39"/>
      <c r="B330" s="40"/>
      <c r="C330" s="40"/>
      <c r="D330" s="40"/>
      <c r="E330" s="11"/>
      <c r="F330" s="11"/>
      <c r="G330" s="11"/>
      <c r="H330" s="14"/>
      <c r="I330" s="14"/>
      <c r="J330" s="14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39"/>
      <c r="B331" s="40"/>
      <c r="C331" s="40"/>
      <c r="D331" s="40"/>
      <c r="E331" s="11"/>
      <c r="F331" s="11"/>
      <c r="G331" s="11"/>
      <c r="H331" s="14"/>
      <c r="I331" s="14"/>
      <c r="J331" s="14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9"/>
      <c r="B332" s="40"/>
      <c r="C332" s="40"/>
      <c r="D332" s="40"/>
      <c r="E332" s="11"/>
      <c r="F332" s="11"/>
      <c r="G332" s="11"/>
      <c r="H332" s="14"/>
      <c r="I332" s="14"/>
      <c r="J332" s="14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39"/>
      <c r="B333" s="40"/>
      <c r="C333" s="40"/>
      <c r="D333" s="40"/>
      <c r="E333" s="11"/>
      <c r="F333" s="11"/>
      <c r="G333" s="11"/>
      <c r="H333" s="14"/>
      <c r="I333" s="14"/>
      <c r="J333" s="14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39"/>
      <c r="B334" s="40"/>
      <c r="C334" s="40"/>
      <c r="D334" s="40"/>
      <c r="E334" s="11"/>
      <c r="F334" s="11"/>
      <c r="G334" s="11"/>
      <c r="H334" s="14"/>
      <c r="I334" s="14"/>
      <c r="J334" s="14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39"/>
      <c r="B335" s="40"/>
      <c r="C335" s="40"/>
      <c r="D335" s="40"/>
      <c r="E335" s="11"/>
      <c r="F335" s="11"/>
      <c r="G335" s="11"/>
      <c r="H335" s="14"/>
      <c r="I335" s="14"/>
      <c r="J335" s="14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39"/>
      <c r="B336" s="40"/>
      <c r="C336" s="40"/>
      <c r="D336" s="40"/>
      <c r="E336" s="11"/>
      <c r="F336" s="11"/>
      <c r="G336" s="11"/>
      <c r="H336" s="14"/>
      <c r="I336" s="14"/>
      <c r="J336" s="14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39"/>
      <c r="B337" s="40"/>
      <c r="C337" s="40"/>
      <c r="D337" s="40"/>
      <c r="E337" s="11"/>
      <c r="F337" s="11"/>
      <c r="G337" s="11"/>
      <c r="H337" s="14"/>
      <c r="I337" s="14"/>
      <c r="J337" s="14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39"/>
      <c r="B338" s="40"/>
      <c r="C338" s="40"/>
      <c r="D338" s="40"/>
      <c r="E338" s="11"/>
      <c r="F338" s="11"/>
      <c r="G338" s="11"/>
      <c r="H338" s="14"/>
      <c r="I338" s="14"/>
      <c r="J338" s="14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39"/>
      <c r="B339" s="40"/>
      <c r="C339" s="40"/>
      <c r="D339" s="40"/>
      <c r="E339" s="11"/>
      <c r="F339" s="11"/>
      <c r="G339" s="11"/>
      <c r="H339" s="14"/>
      <c r="I339" s="14"/>
      <c r="J339" s="14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39"/>
      <c r="B340" s="40"/>
      <c r="C340" s="40"/>
      <c r="D340" s="40"/>
      <c r="E340" s="11"/>
      <c r="F340" s="11"/>
      <c r="G340" s="11"/>
      <c r="H340" s="14"/>
      <c r="I340" s="14"/>
      <c r="J340" s="14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39"/>
      <c r="B341" s="40"/>
      <c r="C341" s="40"/>
      <c r="D341" s="40"/>
      <c r="E341" s="11"/>
      <c r="F341" s="11"/>
      <c r="G341" s="11"/>
      <c r="H341" s="14"/>
      <c r="I341" s="14"/>
      <c r="J341" s="14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39"/>
      <c r="B342" s="40"/>
      <c r="C342" s="40"/>
      <c r="D342" s="40"/>
      <c r="E342" s="11"/>
      <c r="F342" s="11"/>
      <c r="G342" s="11"/>
      <c r="H342" s="14"/>
      <c r="I342" s="14"/>
      <c r="J342" s="14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39"/>
      <c r="B343" s="40"/>
      <c r="C343" s="40"/>
      <c r="D343" s="40"/>
      <c r="E343" s="11"/>
      <c r="F343" s="11"/>
      <c r="G343" s="11"/>
      <c r="H343" s="14"/>
      <c r="I343" s="14"/>
      <c r="J343" s="14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39"/>
      <c r="B344" s="40"/>
      <c r="C344" s="40"/>
      <c r="D344" s="40"/>
      <c r="E344" s="11"/>
      <c r="F344" s="11"/>
      <c r="G344" s="11"/>
      <c r="H344" s="14"/>
      <c r="I344" s="14"/>
      <c r="J344" s="14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39"/>
      <c r="B345" s="40"/>
      <c r="C345" s="40"/>
      <c r="D345" s="40"/>
      <c r="E345" s="11"/>
      <c r="F345" s="11"/>
      <c r="G345" s="11"/>
      <c r="H345" s="14"/>
      <c r="I345" s="14"/>
      <c r="J345" s="14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39"/>
      <c r="B346" s="40"/>
      <c r="C346" s="40"/>
      <c r="D346" s="40"/>
      <c r="E346" s="11"/>
      <c r="F346" s="11"/>
      <c r="G346" s="11"/>
      <c r="H346" s="14"/>
      <c r="I346" s="14"/>
      <c r="J346" s="14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39"/>
      <c r="B347" s="40"/>
      <c r="C347" s="40"/>
      <c r="D347" s="40"/>
      <c r="E347" s="11"/>
      <c r="F347" s="11"/>
      <c r="G347" s="11"/>
      <c r="H347" s="14"/>
      <c r="I347" s="14"/>
      <c r="J347" s="14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39"/>
      <c r="B348" s="40"/>
      <c r="C348" s="40"/>
      <c r="D348" s="40"/>
      <c r="E348" s="11"/>
      <c r="F348" s="11"/>
      <c r="G348" s="11"/>
      <c r="H348" s="14"/>
      <c r="I348" s="14"/>
      <c r="J348" s="14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39"/>
      <c r="B349" s="40"/>
      <c r="C349" s="40"/>
      <c r="D349" s="40"/>
      <c r="E349" s="11"/>
      <c r="F349" s="11"/>
      <c r="G349" s="11"/>
      <c r="H349" s="14"/>
      <c r="I349" s="14"/>
      <c r="J349" s="14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39"/>
      <c r="B350" s="40"/>
      <c r="C350" s="40"/>
      <c r="D350" s="40"/>
      <c r="E350" s="11"/>
      <c r="F350" s="11"/>
      <c r="G350" s="11"/>
      <c r="H350" s="14"/>
      <c r="I350" s="14"/>
      <c r="J350" s="14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39"/>
      <c r="B351" s="40"/>
      <c r="C351" s="40"/>
      <c r="D351" s="40"/>
      <c r="E351" s="11"/>
      <c r="F351" s="11"/>
      <c r="G351" s="11"/>
      <c r="H351" s="14"/>
      <c r="I351" s="14"/>
      <c r="J351" s="14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39"/>
      <c r="B352" s="40"/>
      <c r="C352" s="40"/>
      <c r="D352" s="40"/>
      <c r="E352" s="11"/>
      <c r="F352" s="11"/>
      <c r="G352" s="11"/>
      <c r="H352" s="14"/>
      <c r="I352" s="14"/>
      <c r="J352" s="14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39"/>
      <c r="B353" s="40"/>
      <c r="C353" s="40"/>
      <c r="D353" s="40"/>
      <c r="E353" s="11"/>
      <c r="F353" s="11"/>
      <c r="G353" s="11"/>
      <c r="H353" s="14"/>
      <c r="I353" s="14"/>
      <c r="J353" s="14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39"/>
      <c r="B354" s="40"/>
      <c r="C354" s="40"/>
      <c r="D354" s="40"/>
      <c r="E354" s="11"/>
      <c r="F354" s="11"/>
      <c r="G354" s="11"/>
      <c r="H354" s="14"/>
      <c r="I354" s="14"/>
      <c r="J354" s="14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39"/>
      <c r="B355" s="40"/>
      <c r="C355" s="40"/>
      <c r="D355" s="40"/>
      <c r="E355" s="11"/>
      <c r="F355" s="11"/>
      <c r="G355" s="11"/>
      <c r="H355" s="14"/>
      <c r="I355" s="14"/>
      <c r="J355" s="14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39"/>
      <c r="B356" s="40"/>
      <c r="C356" s="40"/>
      <c r="D356" s="40"/>
      <c r="E356" s="11"/>
      <c r="F356" s="11"/>
      <c r="G356" s="11"/>
      <c r="H356" s="14"/>
      <c r="I356" s="14"/>
      <c r="J356" s="14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39"/>
      <c r="B357" s="40"/>
      <c r="C357" s="40"/>
      <c r="D357" s="40"/>
      <c r="E357" s="11"/>
      <c r="F357" s="11"/>
      <c r="G357" s="11"/>
      <c r="H357" s="14"/>
      <c r="I357" s="14"/>
      <c r="J357" s="14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39"/>
      <c r="B358" s="40"/>
      <c r="C358" s="40"/>
      <c r="D358" s="40"/>
      <c r="E358" s="11"/>
      <c r="F358" s="11"/>
      <c r="G358" s="11"/>
      <c r="H358" s="14"/>
      <c r="I358" s="14"/>
      <c r="J358" s="14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39"/>
      <c r="B359" s="40"/>
      <c r="C359" s="40"/>
      <c r="D359" s="40"/>
      <c r="E359" s="11"/>
      <c r="F359" s="11"/>
      <c r="G359" s="11"/>
      <c r="H359" s="14"/>
      <c r="I359" s="14"/>
      <c r="J359" s="14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39"/>
      <c r="B360" s="40"/>
      <c r="C360" s="40"/>
      <c r="D360" s="40"/>
      <c r="E360" s="11"/>
      <c r="F360" s="11"/>
      <c r="G360" s="11"/>
      <c r="H360" s="14"/>
      <c r="I360" s="14"/>
      <c r="J360" s="14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39"/>
      <c r="B361" s="40"/>
      <c r="C361" s="40"/>
      <c r="D361" s="40"/>
      <c r="E361" s="11"/>
      <c r="F361" s="11"/>
      <c r="G361" s="11"/>
      <c r="H361" s="14"/>
      <c r="I361" s="14"/>
      <c r="J361" s="14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39"/>
      <c r="B362" s="40"/>
      <c r="C362" s="40"/>
      <c r="D362" s="40"/>
      <c r="E362" s="11"/>
      <c r="F362" s="11"/>
      <c r="G362" s="11"/>
      <c r="H362" s="14"/>
      <c r="I362" s="14"/>
      <c r="J362" s="14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39"/>
      <c r="B363" s="40"/>
      <c r="C363" s="40"/>
      <c r="D363" s="40"/>
      <c r="E363" s="11"/>
      <c r="F363" s="11"/>
      <c r="G363" s="11"/>
      <c r="H363" s="14"/>
      <c r="I363" s="14"/>
      <c r="J363" s="14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39"/>
      <c r="B364" s="40"/>
      <c r="C364" s="40"/>
      <c r="D364" s="40"/>
      <c r="E364" s="11"/>
      <c r="F364" s="11"/>
      <c r="G364" s="11"/>
      <c r="H364" s="14"/>
      <c r="I364" s="14"/>
      <c r="J364" s="14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39"/>
      <c r="B365" s="40"/>
      <c r="C365" s="40"/>
      <c r="D365" s="40"/>
      <c r="E365" s="11"/>
      <c r="F365" s="11"/>
      <c r="G365" s="11"/>
      <c r="H365" s="14"/>
      <c r="I365" s="14"/>
      <c r="J365" s="14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39"/>
      <c r="B366" s="40"/>
      <c r="C366" s="40"/>
      <c r="D366" s="40"/>
      <c r="E366" s="11"/>
      <c r="F366" s="11"/>
      <c r="G366" s="11"/>
      <c r="H366" s="14"/>
      <c r="I366" s="14"/>
      <c r="J366" s="14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39"/>
      <c r="B367" s="40"/>
      <c r="C367" s="40"/>
      <c r="D367" s="40"/>
      <c r="E367" s="11"/>
      <c r="F367" s="11"/>
      <c r="G367" s="11"/>
      <c r="H367" s="14"/>
      <c r="I367" s="14"/>
      <c r="J367" s="14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39"/>
      <c r="B368" s="40"/>
      <c r="C368" s="40"/>
      <c r="D368" s="40"/>
      <c r="E368" s="11"/>
      <c r="F368" s="11"/>
      <c r="G368" s="11"/>
      <c r="H368" s="14"/>
      <c r="I368" s="14"/>
      <c r="J368" s="14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39"/>
      <c r="B369" s="40"/>
      <c r="C369" s="40"/>
      <c r="D369" s="40"/>
      <c r="E369" s="11"/>
      <c r="F369" s="11"/>
      <c r="G369" s="11"/>
      <c r="H369" s="14"/>
      <c r="I369" s="14"/>
      <c r="J369" s="14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39"/>
      <c r="B370" s="40"/>
      <c r="C370" s="40"/>
      <c r="D370" s="40"/>
      <c r="E370" s="11"/>
      <c r="F370" s="11"/>
      <c r="G370" s="11"/>
      <c r="H370" s="14"/>
      <c r="I370" s="14"/>
      <c r="J370" s="14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39"/>
      <c r="B371" s="40"/>
      <c r="C371" s="40"/>
      <c r="D371" s="40"/>
      <c r="E371" s="11"/>
      <c r="F371" s="11"/>
      <c r="G371" s="11"/>
      <c r="H371" s="14"/>
      <c r="I371" s="14"/>
      <c r="J371" s="14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39"/>
      <c r="B372" s="40"/>
      <c r="C372" s="40"/>
      <c r="D372" s="40"/>
      <c r="E372" s="11"/>
      <c r="F372" s="11"/>
      <c r="G372" s="11"/>
      <c r="H372" s="14"/>
      <c r="I372" s="14"/>
      <c r="J372" s="14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39"/>
      <c r="B373" s="40"/>
      <c r="C373" s="40"/>
      <c r="D373" s="40"/>
      <c r="E373" s="11"/>
      <c r="F373" s="11"/>
      <c r="G373" s="11"/>
      <c r="H373" s="14"/>
      <c r="I373" s="14"/>
      <c r="J373" s="14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39"/>
      <c r="B374" s="40"/>
      <c r="C374" s="40"/>
      <c r="D374" s="40"/>
      <c r="E374" s="11"/>
      <c r="F374" s="11"/>
      <c r="G374" s="11"/>
      <c r="H374" s="14"/>
      <c r="I374" s="14"/>
      <c r="J374" s="14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39"/>
      <c r="B375" s="40"/>
      <c r="C375" s="40"/>
      <c r="D375" s="40"/>
      <c r="E375" s="11"/>
      <c r="F375" s="11"/>
      <c r="G375" s="11"/>
      <c r="H375" s="14"/>
      <c r="I375" s="14"/>
      <c r="J375" s="14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39"/>
      <c r="B376" s="40"/>
      <c r="C376" s="40"/>
      <c r="D376" s="40"/>
      <c r="E376" s="11"/>
      <c r="F376" s="11"/>
      <c r="G376" s="11"/>
      <c r="H376" s="14"/>
      <c r="I376" s="14"/>
      <c r="J376" s="14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39"/>
      <c r="B377" s="40"/>
      <c r="C377" s="40"/>
      <c r="D377" s="40"/>
      <c r="E377" s="11"/>
      <c r="F377" s="11"/>
      <c r="G377" s="11"/>
      <c r="H377" s="14"/>
      <c r="I377" s="14"/>
      <c r="J377" s="14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39"/>
      <c r="B378" s="40"/>
      <c r="C378" s="40"/>
      <c r="D378" s="40"/>
      <c r="E378" s="11"/>
      <c r="F378" s="11"/>
      <c r="G378" s="11"/>
      <c r="H378" s="14"/>
      <c r="I378" s="14"/>
      <c r="J378" s="14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39"/>
      <c r="B379" s="40"/>
      <c r="C379" s="40"/>
      <c r="D379" s="40"/>
      <c r="E379" s="11"/>
      <c r="F379" s="11"/>
      <c r="G379" s="11"/>
      <c r="H379" s="14"/>
      <c r="I379" s="14"/>
      <c r="J379" s="14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39"/>
      <c r="B380" s="40"/>
      <c r="C380" s="40"/>
      <c r="D380" s="40"/>
      <c r="E380" s="11"/>
      <c r="F380" s="11"/>
      <c r="G380" s="11"/>
      <c r="H380" s="14"/>
      <c r="I380" s="14"/>
      <c r="J380" s="14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39"/>
      <c r="B381" s="40"/>
      <c r="C381" s="40"/>
      <c r="D381" s="40"/>
      <c r="E381" s="11"/>
      <c r="F381" s="11"/>
      <c r="G381" s="11"/>
      <c r="H381" s="14"/>
      <c r="I381" s="14"/>
      <c r="J381" s="14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39"/>
      <c r="B382" s="40"/>
      <c r="C382" s="40"/>
      <c r="D382" s="40"/>
      <c r="E382" s="11"/>
      <c r="F382" s="11"/>
      <c r="G382" s="11"/>
      <c r="H382" s="14"/>
      <c r="I382" s="14"/>
      <c r="J382" s="14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39"/>
      <c r="B383" s="40"/>
      <c r="C383" s="40"/>
      <c r="D383" s="40"/>
      <c r="E383" s="11"/>
      <c r="F383" s="11"/>
      <c r="G383" s="11"/>
      <c r="H383" s="14"/>
      <c r="I383" s="14"/>
      <c r="J383" s="14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39"/>
      <c r="B384" s="40"/>
      <c r="C384" s="40"/>
      <c r="D384" s="40"/>
      <c r="E384" s="11"/>
      <c r="F384" s="11"/>
      <c r="G384" s="11"/>
      <c r="H384" s="14"/>
      <c r="I384" s="14"/>
      <c r="J384" s="14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39"/>
      <c r="B385" s="40"/>
      <c r="C385" s="40"/>
      <c r="D385" s="40"/>
      <c r="E385" s="11"/>
      <c r="F385" s="11"/>
      <c r="G385" s="11"/>
      <c r="H385" s="14"/>
      <c r="I385" s="14"/>
      <c r="J385" s="14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39"/>
      <c r="B386" s="40"/>
      <c r="C386" s="40"/>
      <c r="D386" s="40"/>
      <c r="E386" s="11"/>
      <c r="F386" s="11"/>
      <c r="G386" s="11"/>
      <c r="H386" s="14"/>
      <c r="I386" s="14"/>
      <c r="J386" s="14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39"/>
      <c r="B387" s="40"/>
      <c r="C387" s="40"/>
      <c r="D387" s="40"/>
      <c r="E387" s="11"/>
      <c r="F387" s="11"/>
      <c r="G387" s="11"/>
      <c r="H387" s="14"/>
      <c r="I387" s="14"/>
      <c r="J387" s="14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39"/>
      <c r="B388" s="40"/>
      <c r="C388" s="40"/>
      <c r="D388" s="40"/>
      <c r="E388" s="11"/>
      <c r="F388" s="11"/>
      <c r="G388" s="11"/>
      <c r="H388" s="14"/>
      <c r="I388" s="14"/>
      <c r="J388" s="14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39"/>
      <c r="B389" s="40"/>
      <c r="C389" s="40"/>
      <c r="D389" s="40"/>
      <c r="E389" s="11"/>
      <c r="F389" s="11"/>
      <c r="G389" s="11"/>
      <c r="H389" s="14"/>
      <c r="I389" s="14"/>
      <c r="J389" s="14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39"/>
      <c r="B390" s="40"/>
      <c r="C390" s="40"/>
      <c r="D390" s="40"/>
      <c r="E390" s="11"/>
      <c r="F390" s="11"/>
      <c r="G390" s="11"/>
      <c r="H390" s="14"/>
      <c r="I390" s="14"/>
      <c r="J390" s="14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39"/>
      <c r="B391" s="40"/>
      <c r="C391" s="40"/>
      <c r="D391" s="40"/>
      <c r="E391" s="11"/>
      <c r="F391" s="11"/>
      <c r="G391" s="11"/>
      <c r="H391" s="14"/>
      <c r="I391" s="14"/>
      <c r="J391" s="14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39"/>
      <c r="B392" s="40"/>
      <c r="C392" s="40"/>
      <c r="D392" s="40"/>
      <c r="E392" s="11"/>
      <c r="F392" s="11"/>
      <c r="G392" s="11"/>
      <c r="H392" s="14"/>
      <c r="I392" s="14"/>
      <c r="J392" s="14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39"/>
      <c r="B393" s="40"/>
      <c r="C393" s="40"/>
      <c r="D393" s="40"/>
      <c r="E393" s="11"/>
      <c r="F393" s="11"/>
      <c r="G393" s="11"/>
      <c r="H393" s="14"/>
      <c r="I393" s="14"/>
      <c r="J393" s="14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39"/>
      <c r="B394" s="40"/>
      <c r="C394" s="40"/>
      <c r="D394" s="40"/>
      <c r="E394" s="11"/>
      <c r="F394" s="11"/>
      <c r="G394" s="11"/>
      <c r="H394" s="14"/>
      <c r="I394" s="14"/>
      <c r="J394" s="14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39"/>
      <c r="B395" s="40"/>
      <c r="C395" s="40"/>
      <c r="D395" s="40"/>
      <c r="E395" s="11"/>
      <c r="F395" s="11"/>
      <c r="G395" s="11"/>
      <c r="H395" s="14"/>
      <c r="I395" s="14"/>
      <c r="J395" s="14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39"/>
      <c r="B396" s="40"/>
      <c r="C396" s="40"/>
      <c r="D396" s="40"/>
      <c r="E396" s="11"/>
      <c r="F396" s="11"/>
      <c r="G396" s="11"/>
      <c r="H396" s="14"/>
      <c r="I396" s="14"/>
      <c r="J396" s="14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39"/>
      <c r="B397" s="40"/>
      <c r="C397" s="40"/>
      <c r="D397" s="40"/>
      <c r="E397" s="11"/>
      <c r="F397" s="11"/>
      <c r="G397" s="11"/>
      <c r="H397" s="14"/>
      <c r="I397" s="14"/>
      <c r="J397" s="14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39"/>
      <c r="B398" s="40"/>
      <c r="C398" s="40"/>
      <c r="D398" s="40"/>
      <c r="E398" s="11"/>
      <c r="F398" s="11"/>
      <c r="G398" s="11"/>
      <c r="H398" s="14"/>
      <c r="I398" s="14"/>
      <c r="J398" s="14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39"/>
      <c r="B399" s="40"/>
      <c r="C399" s="40"/>
      <c r="D399" s="40"/>
      <c r="E399" s="11"/>
      <c r="F399" s="11"/>
      <c r="G399" s="11"/>
      <c r="H399" s="14"/>
      <c r="I399" s="14"/>
      <c r="J399" s="14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39"/>
      <c r="B400" s="40"/>
      <c r="C400" s="40"/>
      <c r="D400" s="40"/>
      <c r="E400" s="11"/>
      <c r="F400" s="11"/>
      <c r="G400" s="11"/>
      <c r="H400" s="14"/>
      <c r="I400" s="14"/>
      <c r="J400" s="14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39"/>
      <c r="B401" s="40"/>
      <c r="C401" s="40"/>
      <c r="D401" s="40"/>
      <c r="E401" s="11"/>
      <c r="F401" s="11"/>
      <c r="G401" s="11"/>
      <c r="H401" s="14"/>
      <c r="I401" s="14"/>
      <c r="J401" s="14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39"/>
      <c r="B402" s="40"/>
      <c r="C402" s="40"/>
      <c r="D402" s="40"/>
      <c r="E402" s="11"/>
      <c r="F402" s="11"/>
      <c r="G402" s="11"/>
      <c r="H402" s="14"/>
      <c r="I402" s="14"/>
      <c r="J402" s="14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39"/>
      <c r="B403" s="40"/>
      <c r="C403" s="40"/>
      <c r="D403" s="40"/>
      <c r="E403" s="11"/>
      <c r="F403" s="11"/>
      <c r="G403" s="11"/>
      <c r="H403" s="14"/>
      <c r="I403" s="14"/>
      <c r="J403" s="14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39"/>
      <c r="B404" s="40"/>
      <c r="C404" s="40"/>
      <c r="D404" s="40"/>
      <c r="E404" s="11"/>
      <c r="F404" s="11"/>
      <c r="G404" s="11"/>
      <c r="H404" s="14"/>
      <c r="I404" s="14"/>
      <c r="J404" s="14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39"/>
      <c r="B405" s="40"/>
      <c r="C405" s="40"/>
      <c r="D405" s="40"/>
      <c r="E405" s="11"/>
      <c r="F405" s="11"/>
      <c r="G405" s="11"/>
      <c r="H405" s="14"/>
      <c r="I405" s="14"/>
      <c r="J405" s="14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39"/>
      <c r="B406" s="40"/>
      <c r="C406" s="40"/>
      <c r="D406" s="40"/>
      <c r="E406" s="11"/>
      <c r="F406" s="11"/>
      <c r="G406" s="11"/>
      <c r="H406" s="14"/>
      <c r="I406" s="14"/>
      <c r="J406" s="14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39"/>
      <c r="B407" s="40"/>
      <c r="C407" s="40"/>
      <c r="D407" s="40"/>
      <c r="E407" s="11"/>
      <c r="F407" s="11"/>
      <c r="G407" s="11"/>
      <c r="H407" s="14"/>
      <c r="I407" s="14"/>
      <c r="J407" s="14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39"/>
      <c r="B408" s="40"/>
      <c r="C408" s="40"/>
      <c r="D408" s="40"/>
      <c r="E408" s="11"/>
      <c r="F408" s="11"/>
      <c r="G408" s="11"/>
      <c r="H408" s="14"/>
      <c r="I408" s="14"/>
      <c r="J408" s="14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39"/>
      <c r="B409" s="40"/>
      <c r="C409" s="40"/>
      <c r="D409" s="40"/>
      <c r="E409" s="11"/>
      <c r="F409" s="11"/>
      <c r="G409" s="11"/>
      <c r="H409" s="14"/>
      <c r="I409" s="14"/>
      <c r="J409" s="14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39"/>
      <c r="B410" s="40"/>
      <c r="C410" s="40"/>
      <c r="D410" s="40"/>
      <c r="E410" s="11"/>
      <c r="F410" s="11"/>
      <c r="G410" s="11"/>
      <c r="H410" s="14"/>
      <c r="I410" s="14"/>
      <c r="J410" s="14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39"/>
      <c r="B411" s="40"/>
      <c r="C411" s="40"/>
      <c r="D411" s="40"/>
      <c r="E411" s="11"/>
      <c r="F411" s="11"/>
      <c r="G411" s="11"/>
      <c r="H411" s="14"/>
      <c r="I411" s="14"/>
      <c r="J411" s="14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39"/>
      <c r="B412" s="40"/>
      <c r="C412" s="40"/>
      <c r="D412" s="40"/>
      <c r="E412" s="11"/>
      <c r="F412" s="11"/>
      <c r="G412" s="11"/>
      <c r="H412" s="14"/>
      <c r="I412" s="14"/>
      <c r="J412" s="14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39"/>
      <c r="B413" s="40"/>
      <c r="C413" s="40"/>
      <c r="D413" s="40"/>
      <c r="E413" s="11"/>
      <c r="F413" s="11"/>
      <c r="G413" s="11"/>
      <c r="H413" s="14"/>
      <c r="I413" s="14"/>
      <c r="J413" s="14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39"/>
      <c r="B414" s="40"/>
      <c r="C414" s="40"/>
      <c r="D414" s="40"/>
      <c r="E414" s="11"/>
      <c r="F414" s="11"/>
      <c r="G414" s="11"/>
      <c r="H414" s="14"/>
      <c r="I414" s="14"/>
      <c r="J414" s="14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39"/>
      <c r="B415" s="40"/>
      <c r="C415" s="40"/>
      <c r="D415" s="40"/>
      <c r="E415" s="11"/>
      <c r="F415" s="11"/>
      <c r="G415" s="11"/>
      <c r="H415" s="14"/>
      <c r="I415" s="14"/>
      <c r="J415" s="14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39"/>
      <c r="B416" s="40"/>
      <c r="C416" s="40"/>
      <c r="D416" s="40"/>
      <c r="E416" s="11"/>
      <c r="F416" s="11"/>
      <c r="G416" s="11"/>
      <c r="H416" s="14"/>
      <c r="I416" s="14"/>
      <c r="J416" s="14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39"/>
      <c r="B417" s="40"/>
      <c r="C417" s="40"/>
      <c r="D417" s="40"/>
      <c r="E417" s="11"/>
      <c r="F417" s="11"/>
      <c r="G417" s="11"/>
      <c r="H417" s="14"/>
      <c r="I417" s="14"/>
      <c r="J417" s="14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39"/>
      <c r="B418" s="40"/>
      <c r="C418" s="40"/>
      <c r="D418" s="40"/>
      <c r="E418" s="11"/>
      <c r="F418" s="11"/>
      <c r="G418" s="11"/>
      <c r="H418" s="14"/>
      <c r="I418" s="14"/>
      <c r="J418" s="14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39"/>
      <c r="B419" s="40"/>
      <c r="C419" s="40"/>
      <c r="D419" s="40"/>
      <c r="E419" s="11"/>
      <c r="F419" s="11"/>
      <c r="G419" s="11"/>
      <c r="H419" s="14"/>
      <c r="I419" s="14"/>
      <c r="J419" s="14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39"/>
      <c r="B420" s="40"/>
      <c r="C420" s="40"/>
      <c r="D420" s="40"/>
      <c r="E420" s="11"/>
      <c r="F420" s="11"/>
      <c r="G420" s="11"/>
      <c r="H420" s="14"/>
      <c r="I420" s="14"/>
      <c r="J420" s="14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39"/>
      <c r="B421" s="40"/>
      <c r="C421" s="40"/>
      <c r="D421" s="40"/>
      <c r="E421" s="11"/>
      <c r="F421" s="11"/>
      <c r="G421" s="11"/>
      <c r="H421" s="14"/>
      <c r="I421" s="14"/>
      <c r="J421" s="14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39"/>
      <c r="B422" s="40"/>
      <c r="C422" s="40"/>
      <c r="D422" s="40"/>
      <c r="E422" s="11"/>
      <c r="F422" s="11"/>
      <c r="G422" s="11"/>
      <c r="H422" s="14"/>
      <c r="I422" s="14"/>
      <c r="J422" s="14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39"/>
      <c r="B423" s="40"/>
      <c r="C423" s="40"/>
      <c r="D423" s="40"/>
      <c r="E423" s="11"/>
      <c r="F423" s="11"/>
      <c r="G423" s="11"/>
      <c r="H423" s="14"/>
      <c r="I423" s="14"/>
      <c r="J423" s="14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39"/>
      <c r="B424" s="40"/>
      <c r="C424" s="40"/>
      <c r="D424" s="40"/>
      <c r="E424" s="11"/>
      <c r="F424" s="11"/>
      <c r="G424" s="11"/>
      <c r="H424" s="14"/>
      <c r="I424" s="14"/>
      <c r="J424" s="14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39"/>
      <c r="B425" s="40"/>
      <c r="C425" s="40"/>
      <c r="D425" s="40"/>
      <c r="E425" s="11"/>
      <c r="F425" s="11"/>
      <c r="G425" s="11"/>
      <c r="H425" s="14"/>
      <c r="I425" s="14"/>
      <c r="J425" s="14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39"/>
      <c r="B426" s="40"/>
      <c r="C426" s="40"/>
      <c r="D426" s="40"/>
      <c r="E426" s="11"/>
      <c r="F426" s="11"/>
      <c r="G426" s="11"/>
      <c r="H426" s="14"/>
      <c r="I426" s="14"/>
      <c r="J426" s="14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39"/>
      <c r="B427" s="40"/>
      <c r="C427" s="40"/>
      <c r="D427" s="40"/>
      <c r="E427" s="11"/>
      <c r="F427" s="11"/>
      <c r="G427" s="11"/>
      <c r="H427" s="14"/>
      <c r="I427" s="14"/>
      <c r="J427" s="14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39"/>
      <c r="B428" s="40"/>
      <c r="C428" s="40"/>
      <c r="D428" s="40"/>
      <c r="E428" s="11"/>
      <c r="F428" s="11"/>
      <c r="G428" s="11"/>
      <c r="H428" s="14"/>
      <c r="I428" s="14"/>
      <c r="J428" s="14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39"/>
      <c r="B429" s="40"/>
      <c r="C429" s="40"/>
      <c r="D429" s="40"/>
      <c r="E429" s="11"/>
      <c r="F429" s="11"/>
      <c r="G429" s="11"/>
      <c r="H429" s="14"/>
      <c r="I429" s="14"/>
      <c r="J429" s="14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39"/>
      <c r="B430" s="40"/>
      <c r="C430" s="40"/>
      <c r="D430" s="40"/>
      <c r="E430" s="11"/>
      <c r="F430" s="11"/>
      <c r="G430" s="11"/>
      <c r="H430" s="14"/>
      <c r="I430" s="14"/>
      <c r="J430" s="14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39"/>
      <c r="B431" s="40"/>
      <c r="C431" s="40"/>
      <c r="D431" s="40"/>
      <c r="E431" s="11"/>
      <c r="F431" s="11"/>
      <c r="G431" s="11"/>
      <c r="H431" s="14"/>
      <c r="I431" s="14"/>
      <c r="J431" s="14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39"/>
      <c r="B432" s="40"/>
      <c r="C432" s="40"/>
      <c r="D432" s="40"/>
      <c r="E432" s="11"/>
      <c r="F432" s="11"/>
      <c r="G432" s="11"/>
      <c r="H432" s="14"/>
      <c r="I432" s="14"/>
      <c r="J432" s="14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39"/>
      <c r="B433" s="40"/>
      <c r="C433" s="40"/>
      <c r="D433" s="40"/>
      <c r="E433" s="11"/>
      <c r="F433" s="11"/>
      <c r="G433" s="11"/>
      <c r="H433" s="14"/>
      <c r="I433" s="14"/>
      <c r="J433" s="14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39"/>
      <c r="B434" s="40"/>
      <c r="C434" s="40"/>
      <c r="D434" s="40"/>
      <c r="E434" s="11"/>
      <c r="F434" s="11"/>
      <c r="G434" s="11"/>
      <c r="H434" s="14"/>
      <c r="I434" s="14"/>
      <c r="J434" s="14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39"/>
      <c r="B435" s="40"/>
      <c r="C435" s="40"/>
      <c r="D435" s="40"/>
      <c r="E435" s="11"/>
      <c r="F435" s="11"/>
      <c r="G435" s="11"/>
      <c r="H435" s="14"/>
      <c r="I435" s="14"/>
      <c r="J435" s="14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39"/>
      <c r="B436" s="40"/>
      <c r="C436" s="40"/>
      <c r="D436" s="40"/>
      <c r="E436" s="11"/>
      <c r="F436" s="11"/>
      <c r="G436" s="11"/>
      <c r="H436" s="14"/>
      <c r="I436" s="14"/>
      <c r="J436" s="14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39"/>
      <c r="B437" s="40"/>
      <c r="C437" s="40"/>
      <c r="D437" s="40"/>
      <c r="E437" s="11"/>
      <c r="F437" s="11"/>
      <c r="G437" s="11"/>
      <c r="H437" s="14"/>
      <c r="I437" s="14"/>
      <c r="J437" s="14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39"/>
      <c r="B438" s="40"/>
      <c r="C438" s="40"/>
      <c r="D438" s="40"/>
      <c r="E438" s="11"/>
      <c r="F438" s="11"/>
      <c r="G438" s="11"/>
      <c r="H438" s="14"/>
      <c r="I438" s="14"/>
      <c r="J438" s="14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39"/>
      <c r="B439" s="40"/>
      <c r="C439" s="40"/>
      <c r="D439" s="40"/>
      <c r="E439" s="11"/>
      <c r="F439" s="11"/>
      <c r="G439" s="11"/>
      <c r="H439" s="14"/>
      <c r="I439" s="14"/>
      <c r="J439" s="14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39"/>
      <c r="B440" s="40"/>
      <c r="C440" s="40"/>
      <c r="D440" s="40"/>
      <c r="E440" s="11"/>
      <c r="F440" s="11"/>
      <c r="G440" s="11"/>
      <c r="H440" s="14"/>
      <c r="I440" s="14"/>
      <c r="J440" s="14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39"/>
      <c r="B441" s="40"/>
      <c r="C441" s="40"/>
      <c r="D441" s="40"/>
      <c r="E441" s="11"/>
      <c r="F441" s="11"/>
      <c r="G441" s="11"/>
      <c r="H441" s="14"/>
      <c r="I441" s="14"/>
      <c r="J441" s="14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39"/>
      <c r="B442" s="40"/>
      <c r="C442" s="40"/>
      <c r="D442" s="40"/>
      <c r="E442" s="11"/>
      <c r="F442" s="11"/>
      <c r="G442" s="11"/>
      <c r="H442" s="14"/>
      <c r="I442" s="14"/>
      <c r="J442" s="14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39"/>
      <c r="B443" s="40"/>
      <c r="C443" s="40"/>
      <c r="D443" s="40"/>
      <c r="E443" s="11"/>
      <c r="F443" s="11"/>
      <c r="G443" s="11"/>
      <c r="H443" s="14"/>
      <c r="I443" s="14"/>
      <c r="J443" s="14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39"/>
      <c r="B444" s="40"/>
      <c r="C444" s="40"/>
      <c r="D444" s="40"/>
      <c r="E444" s="11"/>
      <c r="F444" s="11"/>
      <c r="G444" s="11"/>
      <c r="H444" s="14"/>
      <c r="I444" s="14"/>
      <c r="J444" s="14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39"/>
      <c r="B445" s="40"/>
      <c r="C445" s="40"/>
      <c r="D445" s="40"/>
      <c r="E445" s="11"/>
      <c r="F445" s="11"/>
      <c r="G445" s="11"/>
      <c r="H445" s="14"/>
      <c r="I445" s="14"/>
      <c r="J445" s="14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39"/>
      <c r="B446" s="40"/>
      <c r="C446" s="40"/>
      <c r="D446" s="40"/>
      <c r="E446" s="11"/>
      <c r="F446" s="11"/>
      <c r="G446" s="11"/>
      <c r="H446" s="14"/>
      <c r="I446" s="14"/>
      <c r="J446" s="14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39"/>
      <c r="B447" s="40"/>
      <c r="C447" s="40"/>
      <c r="D447" s="40"/>
      <c r="E447" s="11"/>
      <c r="F447" s="11"/>
      <c r="G447" s="11"/>
      <c r="H447" s="14"/>
      <c r="I447" s="14"/>
      <c r="J447" s="14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39"/>
      <c r="B448" s="40"/>
      <c r="C448" s="40"/>
      <c r="D448" s="40"/>
      <c r="E448" s="11"/>
      <c r="F448" s="11"/>
      <c r="G448" s="11"/>
      <c r="H448" s="14"/>
      <c r="I448" s="14"/>
      <c r="J448" s="14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39"/>
      <c r="B449" s="40"/>
      <c r="C449" s="40"/>
      <c r="D449" s="40"/>
      <c r="E449" s="11"/>
      <c r="F449" s="11"/>
      <c r="G449" s="11"/>
      <c r="H449" s="14"/>
      <c r="I449" s="14"/>
      <c r="J449" s="14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39"/>
      <c r="B450" s="40"/>
      <c r="C450" s="40"/>
      <c r="D450" s="40"/>
      <c r="E450" s="11"/>
      <c r="F450" s="11"/>
      <c r="G450" s="11"/>
      <c r="H450" s="14"/>
      <c r="I450" s="14"/>
      <c r="J450" s="14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39"/>
      <c r="B451" s="40"/>
      <c r="C451" s="40"/>
      <c r="D451" s="40"/>
      <c r="E451" s="11"/>
      <c r="F451" s="11"/>
      <c r="G451" s="11"/>
      <c r="H451" s="14"/>
      <c r="I451" s="14"/>
      <c r="J451" s="14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39"/>
      <c r="B452" s="40"/>
      <c r="C452" s="40"/>
      <c r="D452" s="40"/>
      <c r="E452" s="11"/>
      <c r="F452" s="11"/>
      <c r="G452" s="11"/>
      <c r="H452" s="14"/>
      <c r="I452" s="14"/>
      <c r="J452" s="14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39"/>
      <c r="B453" s="40"/>
      <c r="C453" s="40"/>
      <c r="D453" s="40"/>
      <c r="E453" s="11"/>
      <c r="F453" s="11"/>
      <c r="G453" s="11"/>
      <c r="H453" s="14"/>
      <c r="I453" s="14"/>
      <c r="J453" s="14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39"/>
      <c r="B454" s="40"/>
      <c r="C454" s="40"/>
      <c r="D454" s="40"/>
      <c r="E454" s="11"/>
      <c r="F454" s="11"/>
      <c r="G454" s="11"/>
      <c r="H454" s="14"/>
      <c r="I454" s="14"/>
      <c r="J454" s="14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</sheetData>
  <conditionalFormatting sqref="A4:D454">
    <cfRule type="cellIs" dxfId="0" priority="1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29.43"/>
    <col customWidth="1" min="3" max="3" width="9.0"/>
    <col customWidth="1" min="4" max="4" width="31.14"/>
    <col customWidth="1" min="5" max="5" width="13.29"/>
    <col customWidth="1" min="6" max="6" width="9.71"/>
    <col customWidth="1" min="7" max="7" width="10.86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2">
        <v>0.0</v>
      </c>
      <c r="B1" s="4" t="s">
        <v>2</v>
      </c>
      <c r="C1" s="6"/>
      <c r="D1" s="7"/>
      <c r="E1" s="8" t="s">
        <v>4</v>
      </c>
      <c r="F1" s="11">
        <f>SUM(C:C)</f>
        <v>-39383.15</v>
      </c>
      <c r="G1" s="13" t="s">
        <v>6</v>
      </c>
      <c r="H1" s="17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141</v>
      </c>
      <c r="C2" s="6"/>
      <c r="D2" s="7"/>
      <c r="E2" s="21" t="s">
        <v>8</v>
      </c>
      <c r="F2" s="22">
        <v>49627.51</v>
      </c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32">
        <f>F1+F2</f>
        <v>10244.36</v>
      </c>
      <c r="G3" s="30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IF(ROWS(A$4:A4)&lt;=$B$2,INDEX(data!C$3:C$16128,SMALL(IF(data!$D$3:$D$16128='Велчо Атанасов'!$B$1,ROW(data!$A$3:$A$16128)-ROW($A$3)+1),ROWS(A$4:A4))),"")</f>
        <v>44557</v>
      </c>
      <c r="B4" s="19" t="str">
        <f t="array" ref="B4">IF(ROWS(B$4:B4)&lt;=$B$2,INDEX(data!A$3:A$16128,SMALL(IF(data!$D$3:$D$16128='Велчо Атанасов'!$B$1,ROW(data!$A$3:$A$16128)-ROW($A$3)+1),ROWS(B$4:B4))),"")</f>
        <v>MYPOS Бакалия</v>
      </c>
      <c r="C4" s="19">
        <f t="array" ref="C4">IF(ROWS(C$4:C4)&lt;=$B$2,INDEX(data!B$3:B$16128,SMALL(IF(data!$D$3:$D$16128='Велчо Атанасов'!$B$1,ROW(data!$A$3:$A$16128)-ROW($A$3)+1),ROWS(C$4:C4))),"")</f>
        <v>-0.01</v>
      </c>
      <c r="D4" s="7" t="str">
        <f t="array" ref="D4">IF(ROWS(D$4:D4)&lt;=$B$2,INDEX(data!E$3:E$16128,SMALL(IF(data!$D$3:$D$16128='Велчо Атанасов'!$B$1,ROW(data!$A$3:$A$16128)-ROW($A$3)+1),ROWS(D$4:D4))),"")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IF(ROWS(A$4:A5)&lt;=$B$2,INDEX(data!C$3:C$16128,SMALL(IF(data!$D$3:$D$16128='Велчо Атанасов'!$B$1,ROW(data!$A$3:$A$16128)-ROW($A$3)+1),ROWS(A$4:A5))),"")</f>
        <v>46025</v>
      </c>
      <c r="B5" s="19" t="str">
        <f t="array" ref="B5">IF(ROWS(B$4:B5)&lt;=$B$2,INDEX(data!A$3:A$16128,SMALL(IF(data!$D$3:$D$16128='Велчо Атанасов'!$B$1,ROW(data!$A$3:$A$16128)-ROW($A$3)+1),ROWS(B$4:B5))),"")</f>
        <v>ЗАЕМ</v>
      </c>
      <c r="C5" s="19">
        <f t="array" ref="C5">IF(ROWS(C$4:C5)&lt;=$B$2,INDEX(data!B$3:B$16128,SMALL(IF(data!$D$3:$D$16128='Велчо Атанасов'!$B$1,ROW(data!$A$3:$A$16128)-ROW($A$3)+1),ROWS(C$4:C5))),"")</f>
        <v>18711.61</v>
      </c>
      <c r="D5" s="7" t="str">
        <f t="array" ref="D5">IF(ROWS(D$4:D5)&lt;=$B$2,INDEX(data!E$3:E$16128,SMALL(IF(data!$D$3:$D$16128='Велчо Атанасов'!$B$1,ROW(data!$A$3:$A$16128)-ROW($A$3)+1),ROWS(D$4:D5))),"")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IF(ROWS(A$4:A6)&lt;=$B$2,INDEX(data!C$3:C$16128,SMALL(IF(data!$D$3:$D$16128='Велчо Атанасов'!$B$1,ROW(data!$A$3:$A$16128)-ROW($A$3)+1),ROWS(A$4:A6))),"")</f>
        <v>46027</v>
      </c>
      <c r="B6" s="19" t="str">
        <f t="array" ref="B6">IF(ROWS(B$4:B6)&lt;=$B$2,INDEX(data!A$3:A$16128,SMALL(IF(data!$D$3:$D$16128='Велчо Атанасов'!$B$1,ROW(data!$A$3:$A$16128)-ROW($A$3)+1),ROWS(B$4:B6))),"")</f>
        <v>КАСОВА КНИГА</v>
      </c>
      <c r="C6" s="19">
        <f t="array" ref="C6">IF(ROWS(C$4:C6)&lt;=$B$2,INDEX(data!B$3:B$16128,SMALL(IF(data!$D$3:$D$16128='Велчо Атанасов'!$B$1,ROW(data!$A$3:$A$16128)-ROW($A$3)+1),ROWS(C$4:C6))),"")</f>
        <v>-2709.847</v>
      </c>
      <c r="D6" s="7" t="str">
        <f t="array" ref="D6">IF(ROWS(D$4:D6)&lt;=$B$2,INDEX(data!E$3:E$16128,SMALL(IF(data!$D$3:$D$16128='Велчо Атанасов'!$B$1,ROW(data!$A$3:$A$16128)-ROW($A$3)+1),ROWS(D$4:D6))),"")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IF(ROWS(A$4:A7)&lt;=$B$2,INDEX(data!C$3:C$16128,SMALL(IF(data!$D$3:$D$16128='Велчо Атанасов'!$B$1,ROW(data!$A$3:$A$16128)-ROW($A$3)+1),ROWS(A$4:A7))),"")</f>
        <v>46027</v>
      </c>
      <c r="B7" s="19" t="str">
        <f t="array" ref="B7">IF(ROWS(B$4:B7)&lt;=$B$2,INDEX(data!A$3:A$16128,SMALL(IF(data!$D$3:$D$16128='Велчо Атанасов'!$B$1,ROW(data!$A$3:$A$16128)-ROW($A$3)+1),ROWS(B$4:B7))),"")</f>
        <v>MYPOS Бакалия</v>
      </c>
      <c r="C7" s="19">
        <f t="array" ref="C7">IF(ROWS(C$4:C7)&lt;=$B$2,INDEX(data!B$3:B$16128,SMALL(IF(data!$D$3:$D$16128='Велчо Атанасов'!$B$1,ROW(data!$A$3:$A$16128)-ROW($A$3)+1),ROWS(C$4:C7))),"")</f>
        <v>-4604.6</v>
      </c>
      <c r="D7" s="7" t="str">
        <f t="array" ref="D7">IF(ROWS(D$4:D7)&lt;=$B$2,INDEX(data!E$3:E$16128,SMALL(IF(data!$D$3:$D$16128='Велчо Атанасов'!$B$1,ROW(data!$A$3:$A$16128)-ROW($A$3)+1),ROWS(D$4:D7))),"")</f>
        <v/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IF(ROWS(A$4:A8)&lt;=$B$2,INDEX(data!C$3:C$16128,SMALL(IF(data!$D$3:$D$16128='Велчо Атанасов'!$B$1,ROW(data!$A$3:$A$16128)-ROW($A$3)+1),ROWS(A$4:A8))),"")</f>
        <v>46027</v>
      </c>
      <c r="B8" s="19" t="str">
        <f t="array" ref="B8">IF(ROWS(B$4:B8)&lt;=$B$2,INDEX(data!A$3:A$16128,SMALL(IF(data!$D$3:$D$16128='Велчо Атанасов'!$B$1,ROW(data!$A$3:$A$16128)-ROW($A$3)+1),ROWS(B$4:B8))),"")</f>
        <v>КАСОВА КНИГА</v>
      </c>
      <c r="C8" s="19">
        <f t="array" ref="C8">IF(ROWS(C$4:C8)&lt;=$B$2,INDEX(data!B$3:B$16128,SMALL(IF(data!$D$3:$D$16128='Велчо Атанасов'!$B$1,ROW(data!$A$3:$A$16128)-ROW($A$3)+1),ROWS(C$4:C8))),"")</f>
        <v>-1533.88</v>
      </c>
      <c r="D8" s="7" t="str">
        <f t="array" ref="D8">IF(ROWS(D$4:D8)&lt;=$B$2,INDEX(data!E$3:E$16128,SMALL(IF(data!$D$3:$D$16128='Велчо Атанасов'!$B$1,ROW(data!$A$3:$A$16128)-ROW($A$3)+1),ROWS(D$4:D8))),"")</f>
        <v/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IF(ROWS(A$4:A9)&lt;=$B$2,INDEX(data!C$3:C$16128,SMALL(IF(data!$D$3:$D$16128='Велчо Атанасов'!$B$1,ROW(data!$A$3:$A$16128)-ROW($A$3)+1),ROWS(A$4:A9))),"")</f>
        <v>46027</v>
      </c>
      <c r="B9" s="19" t="str">
        <f t="array" ref="B9">IF(ROWS(B$4:B9)&lt;=$B$2,INDEX(data!A$3:A$16128,SMALL(IF(data!$D$3:$D$16128='Велчо Атанасов'!$B$1,ROW(data!$A$3:$A$16128)-ROW($A$3)+1),ROWS(B$4:B9))),"")</f>
        <v>MYPOS Бакалия</v>
      </c>
      <c r="C9" s="19">
        <f t="array" ref="C9">IF(ROWS(C$4:C9)&lt;=$B$2,INDEX(data!B$3:B$16128,SMALL(IF(data!$D$3:$D$16128='Велчо Атанасов'!$B$1,ROW(data!$A$3:$A$16128)-ROW($A$3)+1),ROWS(C$4:C9))),"")</f>
        <v>-5534.12</v>
      </c>
      <c r="D9" s="7" t="str">
        <f t="array" ref="D9">IF(ROWS(D$4:D9)&lt;=$B$2,INDEX(data!E$3:E$16128,SMALL(IF(data!$D$3:$D$16128='Велчо Атанасов'!$B$1,ROW(data!$A$3:$A$16128)-ROW($A$3)+1),ROWS(D$4:D9))),"")</f>
        <v>29-31,12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IF(ROWS(A$4:A10)&lt;=$B$2,INDEX(data!C$3:C$16128,SMALL(IF(data!$D$3:$D$16128='Велчо Атанасов'!$B$1,ROW(data!$A$3:$A$16128)-ROW($A$3)+1),ROWS(A$4:A10))),"")</f>
        <v>46027</v>
      </c>
      <c r="B10" s="19" t="str">
        <f t="array" ref="B10">IF(ROWS(B$4:B10)&lt;=$B$2,INDEX(data!A$3:A$16128,SMALL(IF(data!$D$3:$D$16128='Велчо Атанасов'!$B$1,ROW(data!$A$3:$A$16128)-ROW($A$3)+1),ROWS(B$4:B10))),"")</f>
        <v>КАСОВА КНИГА</v>
      </c>
      <c r="C10" s="19">
        <f t="array" ref="C10">IF(ROWS(C$4:C10)&lt;=$B$2,INDEX(data!B$3:B$16128,SMALL(IF(data!$D$3:$D$16128='Велчо Атанасов'!$B$1,ROW(data!$A$3:$A$16128)-ROW($A$3)+1),ROWS(C$4:C10))),"")</f>
        <v>5110</v>
      </c>
      <c r="D10" s="7" t="str">
        <f t="array" ref="D10">IF(ROWS(D$4:D10)&lt;=$B$2,INDEX(data!E$3:E$16128,SMALL(IF(data!$D$3:$D$16128='Велчо Атанасов'!$B$1,ROW(data!$A$3:$A$16128)-ROW($A$3)+1),ROWS(D$4:D10))),"")</f>
        <v>евро</v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IF(ROWS(A$4:A11)&lt;=$B$2,INDEX(data!C$3:C$16128,SMALL(IF(data!$D$3:$D$16128='Велчо Атанасов'!$B$1,ROW(data!$A$3:$A$16128)-ROW($A$3)+1),ROWS(A$4:A11))),"")</f>
        <v>46028</v>
      </c>
      <c r="B11" s="19" t="str">
        <f t="array" ref="B11">IF(ROWS(B$4:B11)&lt;=$B$2,INDEX(data!A$3:A$16128,SMALL(IF(data!$D$3:$D$16128='Велчо Атанасов'!$B$1,ROW(data!$A$3:$A$16128)-ROW($A$3)+1),ROWS(B$4:B11))),"")</f>
        <v>каса ФИКТИВНА</v>
      </c>
      <c r="C11" s="19">
        <f t="array" ref="C11">IF(ROWS(C$4:C11)&lt;=$B$2,INDEX(data!B$3:B$16128,SMALL(IF(data!$D$3:$D$16128='Велчо Атанасов'!$B$1,ROW(data!$A$3:$A$16128)-ROW($A$3)+1),ROWS(C$4:C11))),"")</f>
        <v>-600</v>
      </c>
      <c r="D11" s="7" t="str">
        <f t="array" ref="D11">IF(ROWS(D$4:D11)&lt;=$B$2,INDEX(data!E$3:E$16128,SMALL(IF(data!$D$3:$D$16128='Велчо Атанасов'!$B$1,ROW(data!$A$3:$A$16128)-ROW($A$3)+1),ROWS(D$4:D11))),"")</f>
        <v>Ева от премиите</v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IF(ROWS(A$4:A12)&lt;=$B$2,INDEX(data!C$3:C$16128,SMALL(IF(data!$D$3:$D$16128='Велчо Атанасов'!$B$1,ROW(data!$A$3:$A$16128)-ROW($A$3)+1),ROWS(A$4:A12))),"")</f>
        <v>46030</v>
      </c>
      <c r="B12" s="19" t="str">
        <f t="array" ref="B12">IF(ROWS(B$4:B12)&lt;=$B$2,INDEX(data!A$3:A$16128,SMALL(IF(data!$D$3:$D$16128='Велчо Атанасов'!$B$1,ROW(data!$A$3:$A$16128)-ROW($A$3)+1),ROWS(B$4:B12))),"")</f>
        <v>КАСОВА КНИГА</v>
      </c>
      <c r="C12" s="19">
        <f t="array" ref="C12">IF(ROWS(C$4:C12)&lt;=$B$2,INDEX(data!B$3:B$16128,SMALL(IF(data!$D$3:$D$16128='Велчо Атанасов'!$B$1,ROW(data!$A$3:$A$16128)-ROW($A$3)+1),ROWS(C$4:C12))),"")</f>
        <v>777</v>
      </c>
      <c r="D12" s="7" t="str">
        <f t="array" ref="D12">IF(ROWS(D$4:D12)&lt;=$B$2,INDEX(data!E$3:E$16128,SMALL(IF(data!$D$3:$D$16128='Велчо Атанасов'!$B$1,ROW(data!$A$3:$A$16128)-ROW($A$3)+1),ROWS(D$4:D12))),"")</f>
        <v>заем</v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IF(ROWS(A$4:A13)&lt;=$B$2,INDEX(data!C$3:C$16128,SMALL(IF(data!$D$3:$D$16128='Велчо Атанасов'!$B$1,ROW(data!$A$3:$A$16128)-ROW($A$3)+1),ROWS(A$4:A13))),"")</f>
        <v>46030</v>
      </c>
      <c r="B13" s="19" t="str">
        <f t="array" ref="B13">IF(ROWS(B$4:B13)&lt;=$B$2,INDEX(data!A$3:A$16128,SMALL(IF(data!$D$3:$D$16128='Велчо Атанасов'!$B$1,ROW(data!$A$3:$A$16128)-ROW($A$3)+1),ROWS(B$4:B13))),"")</f>
        <v>Каса ВАУЧЕРИ</v>
      </c>
      <c r="C13" s="19">
        <f t="array" ref="C13">IF(ROWS(C$4:C13)&lt;=$B$2,INDEX(data!B$3:B$16128,SMALL(IF(data!$D$3:$D$16128='Велчо Атанасов'!$B$1,ROW(data!$A$3:$A$16128)-ROW($A$3)+1),ROWS(C$4:C13))),"")</f>
        <v>-250.53</v>
      </c>
      <c r="D13" s="7" t="str">
        <f t="array" ref="D13">IF(ROWS(D$4:D13)&lt;=$B$2,INDEX(data!E$3:E$16128,SMALL(IF(data!$D$3:$D$16128='Велчо Атанасов'!$B$1,ROW(data!$A$3:$A$16128)-ROW($A$3)+1),ROWS(D$4:D13))),"")</f>
        <v>за 22.12</v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IF(ROWS(A$4:A14)&lt;=$B$2,INDEX(data!C$3:C$16128,SMALL(IF(data!$D$3:$D$16128='Велчо Атанасов'!$B$1,ROW(data!$A$3:$A$16128)-ROW($A$3)+1),ROWS(A$4:A14))),"")</f>
        <v>46030</v>
      </c>
      <c r="B14" s="19" t="str">
        <f t="array" ref="B14">IF(ROWS(B$4:B14)&lt;=$B$2,INDEX(data!A$3:A$16128,SMALL(IF(data!$D$3:$D$16128='Велчо Атанасов'!$B$1,ROW(data!$A$3:$A$16128)-ROW($A$3)+1),ROWS(B$4:B14))),"")</f>
        <v>Каса ВАУЧЕРИ</v>
      </c>
      <c r="C14" s="19">
        <f t="array" ref="C14">IF(ROWS(C$4:C14)&lt;=$B$2,INDEX(data!B$3:B$16128,SMALL(IF(data!$D$3:$D$16128='Велчо Атанасов'!$B$1,ROW(data!$A$3:$A$16128)-ROW($A$3)+1),ROWS(C$4:C14))),"")</f>
        <v>-76.69</v>
      </c>
      <c r="D14" s="7" t="str">
        <f t="array" ref="D14">IF(ROWS(D$4:D14)&lt;=$B$2,INDEX(data!E$3:E$16128,SMALL(IF(data!$D$3:$D$16128='Велчо Атанасов'!$B$1,ROW(data!$A$3:$A$16128)-ROW($A$3)+1),ROWS(D$4:D14))),"")</f>
        <v>за 29.12</v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IF(ROWS(A$4:A15)&lt;=$B$2,INDEX(data!C$3:C$16128,SMALL(IF(data!$D$3:$D$16128='Велчо Атанасов'!$B$1,ROW(data!$A$3:$A$16128)-ROW($A$3)+1),ROWS(A$4:A15))),"")</f>
        <v>46031</v>
      </c>
      <c r="B15" s="19" t="str">
        <f t="array" ref="B15">IF(ROWS(B$4:B15)&lt;=$B$2,INDEX(data!A$3:A$16128,SMALL(IF(data!$D$3:$D$16128='Велчо Атанасов'!$B$1,ROW(data!$A$3:$A$16128)-ROW($A$3)+1),ROWS(B$4:B15))),"")</f>
        <v>КАСОВА КНИГА</v>
      </c>
      <c r="C15" s="19">
        <f t="array" ref="C15">IF(ROWS(C$4:C15)&lt;=$B$2,INDEX(data!B$3:B$16128,SMALL(IF(data!$D$3:$D$16128='Велчо Атанасов'!$B$1,ROW(data!$A$3:$A$16128)-ROW($A$3)+1),ROWS(C$4:C15))),"")</f>
        <v>-1000</v>
      </c>
      <c r="D15" s="7" t="str">
        <f t="array" ref="D15">IF(ROWS(D$4:D15)&lt;=$B$2,INDEX(data!E$3:E$16128,SMALL(IF(data!$D$3:$D$16128='Велчо Атанасов'!$B$1,ROW(data!$A$3:$A$16128)-ROW($A$3)+1),ROWS(D$4:D15))),"")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IF(ROWS(A$4:A16)&lt;=$B$2,INDEX(data!C$3:C$16128,SMALL(IF(data!$D$3:$D$16128='Велчо Атанасов'!$B$1,ROW(data!$A$3:$A$16128)-ROW($A$3)+1),ROWS(A$4:A16))),"")</f>
        <v>46031</v>
      </c>
      <c r="B16" s="19" t="str">
        <f t="array" ref="B16">IF(ROWS(B$4:B16)&lt;=$B$2,INDEX(data!A$3:A$16128,SMALL(IF(data!$D$3:$D$16128='Велчо Атанасов'!$B$1,ROW(data!$A$3:$A$16128)-ROW($A$3)+1),ROWS(B$4:B16))),"")</f>
        <v>каса ФИКТИВНА</v>
      </c>
      <c r="C16" s="19">
        <f t="array" ref="C16">IF(ROWS(C$4:C16)&lt;=$B$2,INDEX(data!B$3:B$16128,SMALL(IF(data!$D$3:$D$16128='Велчо Атанасов'!$B$1,ROW(data!$A$3:$A$16128)-ROW($A$3)+1),ROWS(C$4:C16))),"")</f>
        <v>-93.63</v>
      </c>
      <c r="D16" s="7" t="str">
        <f t="array" ref="D16">IF(ROWS(D$4:D16)&lt;=$B$2,INDEX(data!E$3:E$16128,SMALL(IF(data!$D$3:$D$16128='Велчо Атанасов'!$B$1,ROW(data!$A$3:$A$16128)-ROW($A$3)+1),ROWS(D$4:D16))),"")</f>
        <v>платено тото Тихомир</v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IF(ROWS(A$4:A17)&lt;=$B$2,INDEX(data!C$3:C$16128,SMALL(IF(data!$D$3:$D$16128='Велчо Атанасов'!$B$1,ROW(data!$A$3:$A$16128)-ROW($A$3)+1),ROWS(A$4:A17))),"")</f>
        <v>46034</v>
      </c>
      <c r="B17" s="19" t="str">
        <f t="array" ref="B17">IF(ROWS(B$4:B17)&lt;=$B$2,INDEX(data!A$3:A$16128,SMALL(IF(data!$D$3:$D$16128='Велчо Атанасов'!$B$1,ROW(data!$A$3:$A$16128)-ROW($A$3)+1),ROWS(B$4:B17))),"")</f>
        <v>КАСОВА КНИГА</v>
      </c>
      <c r="C17" s="19">
        <f t="array" ref="C17">IF(ROWS(C$4:C17)&lt;=$B$2,INDEX(data!B$3:B$16128,SMALL(IF(data!$D$3:$D$16128='Велчо Атанасов'!$B$1,ROW(data!$A$3:$A$16128)-ROW($A$3)+1),ROWS(C$4:C17))),"")</f>
        <v>-1000</v>
      </c>
      <c r="D17" s="7" t="str">
        <f t="array" ref="D17">IF(ROWS(D$4:D17)&lt;=$B$2,INDEX(data!E$3:E$16128,SMALL(IF(data!$D$3:$D$16128='Велчо Атанасов'!$B$1,ROW(data!$A$3:$A$16128)-ROW($A$3)+1),ROWS(D$4:D17))),"")</f>
        <v/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IF(ROWS(A$4:A18)&lt;=$B$2,INDEX(data!C$3:C$16128,SMALL(IF(data!$D$3:$D$16128='Велчо Атанасов'!$B$1,ROW(data!$A$3:$A$16128)-ROW($A$3)+1),ROWS(A$4:A18))),"")</f>
        <v>46034</v>
      </c>
      <c r="B18" s="19" t="str">
        <f t="array" ref="B18">IF(ROWS(B$4:B18)&lt;=$B$2,INDEX(data!A$3:A$16128,SMALL(IF(data!$D$3:$D$16128='Велчо Атанасов'!$B$1,ROW(data!$A$3:$A$16128)-ROW($A$3)+1),ROWS(B$4:B18))),"")</f>
        <v>КАСОВА КНИГА</v>
      </c>
      <c r="C18" s="19">
        <f t="array" ref="C18">IF(ROWS(C$4:C18)&lt;=$B$2,INDEX(data!B$3:B$16128,SMALL(IF(data!$D$3:$D$16128='Велчо Атанасов'!$B$1,ROW(data!$A$3:$A$16128)-ROW($A$3)+1),ROWS(C$4:C18))),"")</f>
        <v>555</v>
      </c>
      <c r="D18" s="7" t="str">
        <f t="array" ref="D18">IF(ROWS(D$4:D18)&lt;=$B$2,INDEX(data!E$3:E$16128,SMALL(IF(data!$D$3:$D$16128='Велчо Атанасов'!$B$1,ROW(data!$A$3:$A$16128)-ROW($A$3)+1),ROWS(D$4:D18))),"")</f>
        <v>заем</v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IF(ROWS(A$4:A19)&lt;=$B$2,INDEX(data!C$3:C$16128,SMALL(IF(data!$D$3:$D$16128='Велчо Атанасов'!$B$1,ROW(data!$A$3:$A$16128)-ROW($A$3)+1),ROWS(A$4:A19))),"")</f>
        <v>46035</v>
      </c>
      <c r="B19" s="19" t="str">
        <f t="array" ref="B19">IF(ROWS(B$4:B19)&lt;=$B$2,INDEX(data!A$3:A$16128,SMALL(IF(data!$D$3:$D$16128='Велчо Атанасов'!$B$1,ROW(data!$A$3:$A$16128)-ROW($A$3)+1),ROWS(B$4:B19))),"")</f>
        <v>MYPOS Бакалия</v>
      </c>
      <c r="C19" s="19">
        <f t="array" ref="C19">IF(ROWS(C$4:C19)&lt;=$B$2,INDEX(data!B$3:B$16128,SMALL(IF(data!$D$3:$D$16128='Велчо Атанасов'!$B$1,ROW(data!$A$3:$A$16128)-ROW($A$3)+1),ROWS(C$4:C19))),"")</f>
        <v>-12495.02</v>
      </c>
      <c r="D19" s="7" t="str">
        <f t="array" ref="D19">IF(ROWS(D$4:D19)&lt;=$B$2,INDEX(data!E$3:E$16128,SMALL(IF(data!$D$3:$D$16128='Велчо Атанасов'!$B$1,ROW(data!$A$3:$A$16128)-ROW($A$3)+1),ROWS(D$4:D19))),"")</f>
        <v/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IF(ROWS(A$4:A20)&lt;=$B$2,INDEX(data!C$3:C$16128,SMALL(IF(data!$D$3:$D$16128='Велчо Атанасов'!$B$1,ROW(data!$A$3:$A$16128)-ROW($A$3)+1),ROWS(A$4:A20))),"")</f>
        <v>46036</v>
      </c>
      <c r="B20" s="19" t="str">
        <f t="array" ref="B20">IF(ROWS(B$4:B20)&lt;=$B$2,INDEX(data!A$3:A$16128,SMALL(IF(data!$D$3:$D$16128='Велчо Атанасов'!$B$1,ROW(data!$A$3:$A$16128)-ROW($A$3)+1),ROWS(B$4:B20))),"")</f>
        <v>ПОС ДСК Бакалия</v>
      </c>
      <c r="C20" s="19">
        <f t="array" ref="C20">IF(ROWS(C$4:C20)&lt;=$B$2,INDEX(data!B$3:B$16128,SMALL(IF(data!$D$3:$D$16128='Велчо Атанасов'!$B$1,ROW(data!$A$3:$A$16128)-ROW($A$3)+1),ROWS(C$4:C20))),"")</f>
        <v>-407.55</v>
      </c>
      <c r="D20" s="7" t="str">
        <f t="array" ref="D20">IF(ROWS(D$4:D20)&lt;=$B$2,INDEX(data!E$3:E$16128,SMALL(IF(data!$D$3:$D$16128='Велчо Атанасов'!$B$1,ROW(data!$A$3:$A$16128)-ROW($A$3)+1),ROWS(D$4:D20))),"")</f>
        <v/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IF(ROWS(A$4:A21)&lt;=$B$2,INDEX(data!C$3:C$16128,SMALL(IF(data!$D$3:$D$16128='Велчо Атанасов'!$B$1,ROW(data!$A$3:$A$16128)-ROW($A$3)+1),ROWS(A$4:A21))),"")</f>
        <v>46036</v>
      </c>
      <c r="B21" s="19" t="str">
        <f t="array" ref="B21">IF(ROWS(B$4:B21)&lt;=$B$2,INDEX(data!A$3:A$16128,SMALL(IF(data!$D$3:$D$16128='Велчо Атанасов'!$B$1,ROW(data!$A$3:$A$16128)-ROW($A$3)+1),ROWS(B$4:B21))),"")</f>
        <v>каса ФИКТИВНА</v>
      </c>
      <c r="C21" s="19">
        <f t="array" ref="C21">IF(ROWS(C$4:C21)&lt;=$B$2,INDEX(data!B$3:B$16128,SMALL(IF(data!$D$3:$D$16128='Велчо Атанасов'!$B$1,ROW(data!$A$3:$A$16128)-ROW($A$3)+1),ROWS(C$4:C21))),"")</f>
        <v>-370</v>
      </c>
      <c r="D21" s="7" t="str">
        <f t="array" ref="D21">IF(ROWS(D$4:D21)&lt;=$B$2,INDEX(data!E$3:E$16128,SMALL(IF(data!$D$3:$D$16128='Велчо Атанасов'!$B$1,ROW(data!$A$3:$A$16128)-ROW($A$3)+1),ROWS(D$4:D21))),"")</f>
        <v>Ева от премиите</v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IF(ROWS(A$4:A22)&lt;=$B$2,INDEX(data!C$3:C$16128,SMALL(IF(data!$D$3:$D$16128='Велчо Атанасов'!$B$1,ROW(data!$A$3:$A$16128)-ROW($A$3)+1),ROWS(A$4:A22))),"")</f>
        <v>46041</v>
      </c>
      <c r="B22" s="19" t="str">
        <f t="array" ref="B22">IF(ROWS(B$4:B22)&lt;=$B$2,INDEX(data!A$3:A$16128,SMALL(IF(data!$D$3:$D$16128='Велчо Атанасов'!$B$1,ROW(data!$A$3:$A$16128)-ROW($A$3)+1),ROWS(B$4:B22))),"")</f>
        <v>MYPOS Бакалия</v>
      </c>
      <c r="C22" s="19">
        <f t="array" ref="C22">IF(ROWS(C$4:C22)&lt;=$B$2,INDEX(data!B$3:B$16128,SMALL(IF(data!$D$3:$D$16128='Велчо Атанасов'!$B$1,ROW(data!$A$3:$A$16128)-ROW($A$3)+1),ROWS(C$4:C22))),"")</f>
        <v>-14604.54</v>
      </c>
      <c r="D22" s="7" t="str">
        <f t="array" ref="D22">IF(ROWS(D$4:D22)&lt;=$B$2,INDEX(data!E$3:E$16128,SMALL(IF(data!$D$3:$D$16128='Велчо Атанасов'!$B$1,ROW(data!$A$3:$A$16128)-ROW($A$3)+1),ROWS(D$4:D22))),"")</f>
        <v/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IF(ROWS(A$4:A23)&lt;=$B$2,INDEX(data!C$3:C$16128,SMALL(IF(data!$D$3:$D$16128='Велчо Атанасов'!$B$1,ROW(data!$A$3:$A$16128)-ROW($A$3)+1),ROWS(A$4:A23))),"")</f>
        <v>46041</v>
      </c>
      <c r="B23" s="19" t="str">
        <f t="array" ref="B23">IF(ROWS(B$4:B23)&lt;=$B$2,INDEX(data!A$3:A$16128,SMALL(IF(data!$D$3:$D$16128='Велчо Атанасов'!$B$1,ROW(data!$A$3:$A$16128)-ROW($A$3)+1),ROWS(B$4:B23))),"")</f>
        <v>КАСОВА КНИГА</v>
      </c>
      <c r="C23" s="19">
        <f t="array" ref="C23">IF(ROWS(C$4:C23)&lt;=$B$2,INDEX(data!B$3:B$16128,SMALL(IF(data!$D$3:$D$16128='Велчо Атанасов'!$B$1,ROW(data!$A$3:$A$16128)-ROW($A$3)+1),ROWS(C$4:C23))),"")</f>
        <v>222</v>
      </c>
      <c r="D23" s="7" t="str">
        <f t="array" ref="D23">IF(ROWS(D$4:D23)&lt;=$B$2,INDEX(data!E$3:E$16128,SMALL(IF(data!$D$3:$D$16128='Велчо Атанасов'!$B$1,ROW(data!$A$3:$A$16128)-ROW($A$3)+1),ROWS(D$4:D23))),"")</f>
        <v>заем</v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IF(ROWS(A$4:A24)&lt;=$B$2,INDEX(data!C$3:C$16128,SMALL(IF(data!$D$3:$D$16128='Велчо Атанасов'!$B$1,ROW(data!$A$3:$A$16128)-ROW($A$3)+1),ROWS(A$4:A24))),"")</f>
        <v>46043</v>
      </c>
      <c r="B24" s="19" t="str">
        <f t="array" ref="B24">IF(ROWS(B$4:B24)&lt;=$B$2,INDEX(data!A$3:A$16128,SMALL(IF(data!$D$3:$D$16128='Велчо Атанасов'!$B$1,ROW(data!$A$3:$A$16128)-ROW($A$3)+1),ROWS(B$4:B24))),"")</f>
        <v>КАСОВА КНИГА</v>
      </c>
      <c r="C24" s="19">
        <f t="array" ref="C24">IF(ROWS(C$4:C24)&lt;=$B$2,INDEX(data!B$3:B$16128,SMALL(IF(data!$D$3:$D$16128='Велчо Атанасов'!$B$1,ROW(data!$A$3:$A$16128)-ROW($A$3)+1),ROWS(C$4:C24))),"")</f>
        <v>961</v>
      </c>
      <c r="D24" s="7" t="str">
        <f t="array" ref="D24">IF(ROWS(D$4:D24)&lt;=$B$2,INDEX(data!E$3:E$16128,SMALL(IF(data!$D$3:$D$16128='Велчо Атанасов'!$B$1,ROW(data!$A$3:$A$16128)-ROW($A$3)+1),ROWS(D$4:D24))),"")</f>
        <v>заем</v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IF(ROWS(A$4:A25)&lt;=$B$2,INDEX(data!C$3:C$16128,SMALL(IF(data!$D$3:$D$16128='Велчо Атанасов'!$B$1,ROW(data!$A$3:$A$16128)-ROW($A$3)+1),ROWS(A$4:A25))),"")</f>
        <v>46043</v>
      </c>
      <c r="B25" s="19" t="str">
        <f t="array" ref="B25">IF(ROWS(B$4:B25)&lt;=$B$2,INDEX(data!A$3:A$16128,SMALL(IF(data!$D$3:$D$16128='Велчо Атанасов'!$B$1,ROW(data!$A$3:$A$16128)-ROW($A$3)+1),ROWS(B$4:B25))),"")</f>
        <v>Каса ВАУЧЕРИ</v>
      </c>
      <c r="C25" s="19">
        <f t="array" ref="C25">IF(ROWS(C$4:C25)&lt;=$B$2,INDEX(data!B$3:B$16128,SMALL(IF(data!$D$3:$D$16128='Велчо Атанасов'!$B$1,ROW(data!$A$3:$A$16128)-ROW($A$3)+1),ROWS(C$4:C25))),"")</f>
        <v>920.33</v>
      </c>
      <c r="D25" s="7" t="str">
        <f t="array" ref="D25">IF(ROWS(D$4:D25)&lt;=$B$2,INDEX(data!E$3:E$16128,SMALL(IF(data!$D$3:$D$16128='Велчо Атанасов'!$B$1,ROW(data!$A$3:$A$16128)-ROW($A$3)+1),ROWS(D$4:D25))),"")</f>
        <v>ваучери персонал</v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IF(ROWS(A$4:A26)&lt;=$B$2,INDEX(data!C$3:C$16128,SMALL(IF(data!$D$3:$D$16128='Велчо Атанасов'!$B$1,ROW(data!$A$3:$A$16128)-ROW($A$3)+1),ROWS(A$4:A26))),"")</f>
        <v>46048</v>
      </c>
      <c r="B26" s="19" t="str">
        <f t="array" ref="B26">IF(ROWS(B$4:B26)&lt;=$B$2,INDEX(data!A$3:A$16128,SMALL(IF(data!$D$3:$D$16128='Велчо Атанасов'!$B$1,ROW(data!$A$3:$A$16128)-ROW($A$3)+1),ROWS(B$4:B26))),"")</f>
        <v>MYPOS Бакалия</v>
      </c>
      <c r="C26" s="19">
        <f t="array" ref="C26">IF(ROWS(C$4:C26)&lt;=$B$2,INDEX(data!B$3:B$16128,SMALL(IF(data!$D$3:$D$16128='Велчо Атанасов'!$B$1,ROW(data!$A$3:$A$16128)-ROW($A$3)+1),ROWS(C$4:C26))),"")</f>
        <v>-13777.21</v>
      </c>
      <c r="D26" s="7" t="str">
        <f t="array" ref="D26">IF(ROWS(D$4:D26)&lt;=$B$2,INDEX(data!E$3:E$16128,SMALL(IF(data!$D$3:$D$16128='Велчо Атанасов'!$B$1,ROW(data!$A$3:$A$16128)-ROW($A$3)+1),ROWS(D$4:D26))),"")</f>
        <v/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IF(ROWS(A$4:A27)&lt;=$B$2,INDEX(data!C$3:C$16128,SMALL(IF(data!$D$3:$D$16128='Велчо Атанасов'!$B$1,ROW(data!$A$3:$A$16128)-ROW($A$3)+1),ROWS(A$4:A27))),"")</f>
        <v>46048</v>
      </c>
      <c r="B27" s="19" t="str">
        <f t="array" ref="B27">IF(ROWS(B$4:B27)&lt;=$B$2,INDEX(data!A$3:A$16128,SMALL(IF(data!$D$3:$D$16128='Велчо Атанасов'!$B$1,ROW(data!$A$3:$A$16128)-ROW($A$3)+1),ROWS(B$4:B27))),"")</f>
        <v>каса ФИКТИВНА</v>
      </c>
      <c r="C27" s="19">
        <f t="array" ref="C27">IF(ROWS(C$4:C27)&lt;=$B$2,INDEX(data!B$3:B$16128,SMALL(IF(data!$D$3:$D$16128='Велчо Атанасов'!$B$1,ROW(data!$A$3:$A$16128)-ROW($A$3)+1),ROWS(C$4:C27))),"")</f>
        <v>-53.2</v>
      </c>
      <c r="D27" s="7" t="str">
        <f t="array" ref="D27">IF(ROWS(D$4:D27)&lt;=$B$2,INDEX(data!E$3:E$16128,SMALL(IF(data!$D$3:$D$16128='Велчо Атанасов'!$B$1,ROW(data!$A$3:$A$16128)-ROW($A$3)+1),ROWS(D$4:D27))),"")</f>
        <v>платено тото</v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IF(ROWS(A$4:A28)&lt;=$B$2,INDEX(data!C$3:C$16128,SMALL(IF(data!$D$3:$D$16128='Велчо Атанасов'!$B$1,ROW(data!$A$3:$A$16128)-ROW($A$3)+1),ROWS(A$4:A28))),"")</f>
        <v>46049</v>
      </c>
      <c r="B28" s="19" t="str">
        <f t="array" ref="B28">IF(ROWS(B$4:B28)&lt;=$B$2,INDEX(data!A$3:A$16128,SMALL(IF(data!$D$3:$D$16128='Велчо Атанасов'!$B$1,ROW(data!$A$3:$A$16128)-ROW($A$3)+1),ROWS(B$4:B28))),"")</f>
        <v>Каса ВАУЧЕРИ</v>
      </c>
      <c r="C28" s="19">
        <f t="array" ref="C28">IF(ROWS(C$4:C28)&lt;=$B$2,INDEX(data!B$3:B$16128,SMALL(IF(data!$D$3:$D$16128='Велчо Атанасов'!$B$1,ROW(data!$A$3:$A$16128)-ROW($A$3)+1),ROWS(C$4:C28))),"")</f>
        <v>-30.68</v>
      </c>
      <c r="D28" s="7" t="str">
        <f t="array" ref="D28">IF(ROWS(D$4:D28)&lt;=$B$2,INDEX(data!E$3:E$16128,SMALL(IF(data!$D$3:$D$16128='Велчо Атанасов'!$B$1,ROW(data!$A$3:$A$16128)-ROW($A$3)+1),ROWS(D$4:D28))),"")</f>
        <v>ваучери 12,01</v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IF(ROWS(A$4:A29)&lt;=$B$2,INDEX(data!C$3:C$16128,SMALL(IF(data!$D$3:$D$16128='Велчо Атанасов'!$B$1,ROW(data!$A$3:$A$16128)-ROW($A$3)+1),ROWS(A$4:A29))),"")</f>
        <v>46049</v>
      </c>
      <c r="B29" s="19" t="str">
        <f t="array" ref="B29">IF(ROWS(B$4:B29)&lt;=$B$2,INDEX(data!A$3:A$16128,SMALL(IF(data!$D$3:$D$16128='Велчо Атанасов'!$B$1,ROW(data!$A$3:$A$16128)-ROW($A$3)+1),ROWS(B$4:B29))),"")</f>
        <v>Каса ВАУЧЕРИ</v>
      </c>
      <c r="C29" s="19">
        <f t="array" ref="C29">IF(ROWS(C$4:C29)&lt;=$B$2,INDEX(data!B$3:B$16128,SMALL(IF(data!$D$3:$D$16128='Велчо Атанасов'!$B$1,ROW(data!$A$3:$A$16128)-ROW($A$3)+1),ROWS(C$4:C29))),"")</f>
        <v>-20</v>
      </c>
      <c r="D29" s="7" t="str">
        <f t="array" ref="D29">IF(ROWS(D$4:D29)&lt;=$B$2,INDEX(data!E$3:E$16128,SMALL(IF(data!$D$3:$D$16128='Велчо Атанасов'!$B$1,ROW(data!$A$3:$A$16128)-ROW($A$3)+1),ROWS(D$4:D29))),"")</f>
        <v>ваучери 19,01</v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IF(ROWS(A$4:A30)&lt;=$B$2,INDEX(data!C$3:C$16128,SMALL(IF(data!$D$3:$D$16128='Велчо Атанасов'!$B$1,ROW(data!$A$3:$A$16128)-ROW($A$3)+1),ROWS(A$4:A30))),"")</f>
        <v>46055</v>
      </c>
      <c r="B30" s="19" t="str">
        <f t="array" ref="B30">IF(ROWS(B$4:B30)&lt;=$B$2,INDEX(data!A$3:A$16128,SMALL(IF(data!$D$3:$D$16128='Велчо Атанасов'!$B$1,ROW(data!$A$3:$A$16128)-ROW($A$3)+1),ROWS(B$4:B30))),"")</f>
        <v>MYPOS Бакалия</v>
      </c>
      <c r="C30" s="19">
        <f t="array" ref="C30">IF(ROWS(C$4:C30)&lt;=$B$2,INDEX(data!B$3:B$16128,SMALL(IF(data!$D$3:$D$16128='Велчо Атанасов'!$B$1,ROW(data!$A$3:$A$16128)-ROW($A$3)+1),ROWS(C$4:C30))),"")</f>
        <v>-13395.17</v>
      </c>
      <c r="D30" s="7" t="str">
        <f t="array" ref="D30">IF(ROWS(D$4:D30)&lt;=$B$2,INDEX(data!E$3:E$16128,SMALL(IF(data!$D$3:$D$16128='Велчо Атанасов'!$B$1,ROW(data!$A$3:$A$16128)-ROW($A$3)+1),ROWS(D$4:D30))),"")</f>
        <v/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IF(ROWS(A$4:A31)&lt;=$B$2,INDEX(data!C$3:C$16128,SMALL(IF(data!$D$3:$D$16128='Велчо Атанасов'!$B$1,ROW(data!$A$3:$A$16128)-ROW($A$3)+1),ROWS(A$4:A31))),"")</f>
        <v>46055</v>
      </c>
      <c r="B31" s="19" t="str">
        <f t="array" ref="B31">IF(ROWS(B$4:B31)&lt;=$B$2,INDEX(data!A$3:A$16128,SMALL(IF(data!$D$3:$D$16128='Велчо Атанасов'!$B$1,ROW(data!$A$3:$A$16128)-ROW($A$3)+1),ROWS(B$4:B31))),"")</f>
        <v>КАСОВА КНИГА</v>
      </c>
      <c r="C31" s="19">
        <f t="array" ref="C31">IF(ROWS(C$4:C31)&lt;=$B$2,INDEX(data!B$3:B$16128,SMALL(IF(data!$D$3:$D$16128='Велчо Атанасов'!$B$1,ROW(data!$A$3:$A$16128)-ROW($A$3)+1),ROWS(C$4:C31))),"")</f>
        <v>1000</v>
      </c>
      <c r="D31" s="7" t="str">
        <f t="array" ref="D31">IF(ROWS(D$4:D31)&lt;=$B$2,INDEX(data!E$3:E$16128,SMALL(IF(data!$D$3:$D$16128='Велчо Атанасов'!$B$1,ROW(data!$A$3:$A$16128)-ROW($A$3)+1),ROWS(D$4:D31))),"")</f>
        <v>заем</v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IF(ROWS(A$4:A32)&lt;=$B$2,INDEX(data!C$3:C$16128,SMALL(IF(data!$D$3:$D$16128='Велчо Атанасов'!$B$1,ROW(data!$A$3:$A$16128)-ROW($A$3)+1),ROWS(A$4:A32))),"")</f>
        <v>46057</v>
      </c>
      <c r="B32" s="19" t="str">
        <f t="array" ref="B32">IF(ROWS(B$4:B32)&lt;=$B$2,INDEX(data!A$3:A$16128,SMALL(IF(data!$D$3:$D$16128='Велчо Атанасов'!$B$1,ROW(data!$A$3:$A$16128)-ROW($A$3)+1),ROWS(B$4:B32))),"")</f>
        <v>КАСОВА КНИГА</v>
      </c>
      <c r="C32" s="19">
        <f t="array" ref="C32">IF(ROWS(C$4:C32)&lt;=$B$2,INDEX(data!B$3:B$16128,SMALL(IF(data!$D$3:$D$16128='Велчо Атанасов'!$B$1,ROW(data!$A$3:$A$16128)-ROW($A$3)+1),ROWS(C$4:C32))),"")</f>
        <v>-1225.62</v>
      </c>
      <c r="D32" s="7" t="str">
        <f t="array" ref="D32">IF(ROWS(D$4:D32)&lt;=$B$2,INDEX(data!E$3:E$16128,SMALL(IF(data!$D$3:$D$16128='Велчо Атанасов'!$B$1,ROW(data!$A$3:$A$16128)-ROW($A$3)+1),ROWS(D$4:D32))),"")</f>
        <v>2397,10лв</v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IF(ROWS(A$4:A33)&lt;=$B$2,INDEX(data!C$3:C$16128,SMALL(IF(data!$D$3:$D$16128='Велчо Атанасов'!$B$1,ROW(data!$A$3:$A$16128)-ROW($A$3)+1),ROWS(A$4:A33))),"")</f>
        <v>46057</v>
      </c>
      <c r="B33" s="19" t="str">
        <f t="array" ref="B33">IF(ROWS(B$4:B33)&lt;=$B$2,INDEX(data!A$3:A$16128,SMALL(IF(data!$D$3:$D$16128='Велчо Атанасов'!$B$1,ROW(data!$A$3:$A$16128)-ROW($A$3)+1),ROWS(B$4:B33))),"")</f>
        <v>Каса ВАУЧЕРИ</v>
      </c>
      <c r="C33" s="19">
        <f t="array" ref="C33">IF(ROWS(C$4:C33)&lt;=$B$2,INDEX(data!B$3:B$16128,SMALL(IF(data!$D$3:$D$16128='Велчо Атанасов'!$B$1,ROW(data!$A$3:$A$16128)-ROW($A$3)+1),ROWS(C$4:C33))),"")</f>
        <v>-14</v>
      </c>
      <c r="D33" s="7" t="str">
        <f t="array" ref="D33">IF(ROWS(D$4:D33)&lt;=$B$2,INDEX(data!E$3:E$16128,SMALL(IF(data!$D$3:$D$16128='Велчо Атанасов'!$B$1,ROW(data!$A$3:$A$16128)-ROW($A$3)+1),ROWS(D$4:D33))),"")</f>
        <v/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IF(ROWS(A$4:A34)&lt;=$B$2,INDEX(data!C$3:C$16128,SMALL(IF(data!$D$3:$D$16128='Велчо Атанасов'!$B$1,ROW(data!$A$3:$A$16128)-ROW($A$3)+1),ROWS(A$4:A34))),"")</f>
        <v>46059</v>
      </c>
      <c r="B34" s="19" t="str">
        <f t="array" ref="B34">IF(ROWS(B$4:B34)&lt;=$B$2,INDEX(data!A$3:A$16128,SMALL(IF(data!$D$3:$D$16128='Велчо Атанасов'!$B$1,ROW(data!$A$3:$A$16128)-ROW($A$3)+1),ROWS(B$4:B34))),"")</f>
        <v>ПОС ДСК Бакалия</v>
      </c>
      <c r="C34" s="19">
        <f t="array" ref="C34">IF(ROWS(C$4:C34)&lt;=$B$2,INDEX(data!B$3:B$16128,SMALL(IF(data!$D$3:$D$16128='Велчо Атанасов'!$B$1,ROW(data!$A$3:$A$16128)-ROW($A$3)+1),ROWS(C$4:C34))),"")</f>
        <v>-2072.36</v>
      </c>
      <c r="D34" s="7" t="str">
        <f t="array" ref="D34">IF(ROWS(D$4:D34)&lt;=$B$2,INDEX(data!E$3:E$16128,SMALL(IF(data!$D$3:$D$16128='Велчо Атанасов'!$B$1,ROW(data!$A$3:$A$16128)-ROW($A$3)+1),ROWS(D$4:D34))),"")</f>
        <v/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IF(ROWS(A$4:A35)&lt;=$B$2,INDEX(data!C$3:C$16128,SMALL(IF(data!$D$3:$D$16128='Велчо Атанасов'!$B$1,ROW(data!$A$3:$A$16128)-ROW($A$3)+1),ROWS(A$4:A35))),"")</f>
        <v>46062</v>
      </c>
      <c r="B35" s="19" t="str">
        <f t="array" ref="B35">IF(ROWS(B$4:B35)&lt;=$B$2,INDEX(data!A$3:A$16128,SMALL(IF(data!$D$3:$D$16128='Велчо Атанасов'!$B$1,ROW(data!$A$3:$A$16128)-ROW($A$3)+1),ROWS(B$4:B35))),"")</f>
        <v>MYPOS Бакалия</v>
      </c>
      <c r="C35" s="19">
        <f t="array" ref="C35">IF(ROWS(C$4:C35)&lt;=$B$2,INDEX(data!B$3:B$16128,SMALL(IF(data!$D$3:$D$16128='Велчо Атанасов'!$B$1,ROW(data!$A$3:$A$16128)-ROW($A$3)+1),ROWS(C$4:C35))),"")</f>
        <v>-15647.46</v>
      </c>
      <c r="D35" s="7" t="str">
        <f t="array" ref="D35">IF(ROWS(D$4:D35)&lt;=$B$2,INDEX(data!E$3:E$16128,SMALL(IF(data!$D$3:$D$16128='Велчо Атанасов'!$B$1,ROW(data!$A$3:$A$16128)-ROW($A$3)+1),ROWS(D$4:D35))),"")</f>
        <v/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IF(ROWS(A$4:A36)&lt;=$B$2,INDEX(data!C$3:C$16128,SMALL(IF(data!$D$3:$D$16128='Велчо Атанасов'!$B$1,ROW(data!$A$3:$A$16128)-ROW($A$3)+1),ROWS(A$4:A36))),"")</f>
        <v>46062</v>
      </c>
      <c r="B36" s="19" t="str">
        <f t="array" ref="B36">IF(ROWS(B$4:B36)&lt;=$B$2,INDEX(data!A$3:A$16128,SMALL(IF(data!$D$3:$D$16128='Велчо Атанасов'!$B$1,ROW(data!$A$3:$A$16128)-ROW($A$3)+1),ROWS(B$4:B36))),"")</f>
        <v>ЗАЕМ</v>
      </c>
      <c r="C36" s="19">
        <f t="array" ref="C36">IF(ROWS(C$4:C36)&lt;=$B$2,INDEX(data!B$3:B$16128,SMALL(IF(data!$D$3:$D$16128='Велчо Атанасов'!$B$1,ROW(data!$A$3:$A$16128)-ROW($A$3)+1),ROWS(C$4:C36))),"")</f>
        <v>60875.46</v>
      </c>
      <c r="D36" s="7" t="str">
        <f t="array" ref="D36">IF(ROWS(D$4:D36)&lt;=$B$2,INDEX(data!E$3:E$16128,SMALL(IF(data!$D$3:$D$16128='Велчо Атанасов'!$B$1,ROW(data!$A$3:$A$16128)-ROW($A$3)+1),ROWS(D$4:D36))),"")</f>
        <v>С-до склад + вътр п-не</v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IF(ROWS(A$4:A37)&lt;=$B$2,INDEX(data!C$3:C$16128,SMALL(IF(data!$D$3:$D$16128='Велчо Атанасов'!$B$1,ROW(data!$A$3:$A$16128)-ROW($A$3)+1),ROWS(A$4:A37))),"")</f>
        <v>46064</v>
      </c>
      <c r="B37" s="19" t="str">
        <f t="array" ref="B37">IF(ROWS(B$4:B37)&lt;=$B$2,INDEX(data!A$3:A$16128,SMALL(IF(data!$D$3:$D$16128='Велчо Атанасов'!$B$1,ROW(data!$A$3:$A$16128)-ROW($A$3)+1),ROWS(B$4:B37))),"")</f>
        <v>каса ФИКТИВНА</v>
      </c>
      <c r="C37" s="19">
        <f t="array" ref="C37">IF(ROWS(C$4:C37)&lt;=$B$2,INDEX(data!B$3:B$16128,SMALL(IF(data!$D$3:$D$16128='Велчо Атанасов'!$B$1,ROW(data!$A$3:$A$16128)-ROW($A$3)+1),ROWS(C$4:C37))),"")</f>
        <v>-57.4</v>
      </c>
      <c r="D37" s="7" t="str">
        <f t="array" ref="D37">IF(ROWS(D$4:D37)&lt;=$B$2,INDEX(data!E$3:E$16128,SMALL(IF(data!$D$3:$D$16128='Велчо Атанасов'!$B$1,ROW(data!$A$3:$A$16128)-ROW($A$3)+1),ROWS(D$4:D37))),"")</f>
        <v>платено тото Тихомир</v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IF(ROWS(A$4:A38)&lt;=$B$2,INDEX(data!C$3:C$16128,SMALL(IF(data!$D$3:$D$16128='Велчо Атанасов'!$B$1,ROW(data!$A$3:$A$16128)-ROW($A$3)+1),ROWS(A$4:A38))),"")</f>
        <v>46069</v>
      </c>
      <c r="B38" s="19" t="str">
        <f t="array" ref="B38">IF(ROWS(B$4:B38)&lt;=$B$2,INDEX(data!A$3:A$16128,SMALL(IF(data!$D$3:$D$16128='Велчо Атанасов'!$B$1,ROW(data!$A$3:$A$16128)-ROW($A$3)+1),ROWS(B$4:B38))),"")</f>
        <v>MYPOS Бакалия</v>
      </c>
      <c r="C38" s="19">
        <f t="array" ref="C38">IF(ROWS(C$4:C38)&lt;=$B$2,INDEX(data!B$3:B$16128,SMALL(IF(data!$D$3:$D$16128='Велчо Атанасов'!$B$1,ROW(data!$A$3:$A$16128)-ROW($A$3)+1),ROWS(C$4:C38))),"")</f>
        <v>-16727.82</v>
      </c>
      <c r="D38" s="7" t="str">
        <f t="array" ref="D38">IF(ROWS(D$4:D38)&lt;=$B$2,INDEX(data!E$3:E$16128,SMALL(IF(data!$D$3:$D$16128='Велчо Атанасов'!$B$1,ROW(data!$A$3:$A$16128)-ROW($A$3)+1),ROWS(D$4:D38))),"")</f>
        <v/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IF(ROWS(A$4:A39)&lt;=$B$2,INDEX(data!C$3:C$16128,SMALL(IF(data!$D$3:$D$16128='Велчо Атанасов'!$B$1,ROW(data!$A$3:$A$16128)-ROW($A$3)+1),ROWS(A$4:A39))),"")</f>
        <v>46071</v>
      </c>
      <c r="B39" s="19" t="str">
        <f t="array" ref="B39">IF(ROWS(B$4:B39)&lt;=$B$2,INDEX(data!A$3:A$16128,SMALL(IF(data!$D$3:$D$16128='Велчо Атанасов'!$B$1,ROW(data!$A$3:$A$16128)-ROW($A$3)+1),ROWS(B$4:B39))),"")</f>
        <v>КАСОВА КНИГА</v>
      </c>
      <c r="C39" s="19">
        <f t="array" ref="C39">IF(ROWS(C$4:C39)&lt;=$B$2,INDEX(data!B$3:B$16128,SMALL(IF(data!$D$3:$D$16128='Велчо Атанасов'!$B$1,ROW(data!$A$3:$A$16128)-ROW($A$3)+1),ROWS(C$4:C39))),"")</f>
        <v>1500</v>
      </c>
      <c r="D39" s="7" t="str">
        <f t="array" ref="D39">IF(ROWS(D$4:D39)&lt;=$B$2,INDEX(data!E$3:E$16128,SMALL(IF(data!$D$3:$D$16128='Велчо Атанасов'!$B$1,ROW(data!$A$3:$A$16128)-ROW($A$3)+1),ROWS(D$4:D39))),"")</f>
        <v>заем</v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IF(ROWS(A$4:A40)&lt;=$B$2,INDEX(data!C$3:C$16128,SMALL(IF(data!$D$3:$D$16128='Велчо Атанасов'!$B$1,ROW(data!$A$3:$A$16128)-ROW($A$3)+1),ROWS(A$4:A40))),"")</f>
        <v>46072</v>
      </c>
      <c r="B40" s="19" t="str">
        <f t="array" ref="B40">IF(ROWS(B$4:B40)&lt;=$B$2,INDEX(data!A$3:A$16128,SMALL(IF(data!$D$3:$D$16128='Велчо Атанасов'!$B$1,ROW(data!$A$3:$A$16128)-ROW($A$3)+1),ROWS(B$4:B40))),"")</f>
        <v>Каса ВАУЧЕРИ</v>
      </c>
      <c r="C40" s="19">
        <f t="array" ref="C40">IF(ROWS(C$4:C40)&lt;=$B$2,INDEX(data!B$3:B$16128,SMALL(IF(data!$D$3:$D$16128='Велчо Атанасов'!$B$1,ROW(data!$A$3:$A$16128)-ROW($A$3)+1),ROWS(C$4:C40))),"")</f>
        <v>-50.11</v>
      </c>
      <c r="D40" s="7" t="str">
        <f t="array" ref="D40">IF(ROWS(D$4:D40)&lt;=$B$2,INDEX(data!E$3:E$16128,SMALL(IF(data!$D$3:$D$16128='Велчо Атанасов'!$B$1,ROW(data!$A$3:$A$16128)-ROW($A$3)+1),ROWS(D$4:D40))),"")</f>
        <v>за 02.02-08.02</v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IF(ROWS(A$4:A41)&lt;=$B$2,INDEX(data!C$3:C$16128,SMALL(IF(data!$D$3:$D$16128='Велчо Атанасов'!$B$1,ROW(data!$A$3:$A$16128)-ROW($A$3)+1),ROWS(A$4:A41))),"")</f>
        <v>46072</v>
      </c>
      <c r="B41" s="19" t="str">
        <f t="array" ref="B41">IF(ROWS(B$4:B41)&lt;=$B$2,INDEX(data!A$3:A$16128,SMALL(IF(data!$D$3:$D$16128='Велчо Атанасов'!$B$1,ROW(data!$A$3:$A$16128)-ROW($A$3)+1),ROWS(B$4:B41))),"")</f>
        <v>Каса ВАУЧЕРИ</v>
      </c>
      <c r="C41" s="19">
        <f t="array" ref="C41">IF(ROWS(C$4:C41)&lt;=$B$2,INDEX(data!B$3:B$16128,SMALL(IF(data!$D$3:$D$16128='Велчо Атанасов'!$B$1,ROW(data!$A$3:$A$16128)-ROW($A$3)+1),ROWS(C$4:C41))),"")</f>
        <v>-45.56</v>
      </c>
      <c r="D41" s="7" t="str">
        <f t="array" ref="D41">IF(ROWS(D$4:D41)&lt;=$B$2,INDEX(data!E$3:E$16128,SMALL(IF(data!$D$3:$D$16128='Велчо Атанасов'!$B$1,ROW(data!$A$3:$A$16128)-ROW($A$3)+1),ROWS(D$4:D41))),"")</f>
        <v>за 26.01-01.02</v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IF(ROWS(A$4:A42)&lt;=$B$2,INDEX(data!C$3:C$16128,SMALL(IF(data!$D$3:$D$16128='Велчо Атанасов'!$B$1,ROW(data!$A$3:$A$16128)-ROW($A$3)+1),ROWS(A$4:A42))),"")</f>
        <v>46073</v>
      </c>
      <c r="B42" s="19" t="str">
        <f t="array" ref="B42">IF(ROWS(B$4:B42)&lt;=$B$2,INDEX(data!A$3:A$16128,SMALL(IF(data!$D$3:$D$16128='Велчо Атанасов'!$B$1,ROW(data!$A$3:$A$16128)-ROW($A$3)+1),ROWS(B$4:B42))),"")</f>
        <v>Каса ВАУЧЕРИ</v>
      </c>
      <c r="C42" s="19">
        <f t="array" ref="C42">IF(ROWS(C$4:C42)&lt;=$B$2,INDEX(data!B$3:B$16128,SMALL(IF(data!$D$3:$D$16128='Велчо Атанасов'!$B$1,ROW(data!$A$3:$A$16128)-ROW($A$3)+1),ROWS(C$4:C42))),"")</f>
        <v>800</v>
      </c>
      <c r="D42" s="7" t="str">
        <f t="array" ref="D42">IF(ROWS(D$4:D42)&lt;=$B$2,INDEX(data!E$3:E$16128,SMALL(IF(data!$D$3:$D$16128='Велчо Атанасов'!$B$1,ROW(data!$A$3:$A$16128)-ROW($A$3)+1),ROWS(D$4:D42))),"")</f>
        <v>ваучери персонал</v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IF(ROWS(A$4:A43)&lt;=$B$2,INDEX(data!C$3:C$16128,SMALL(IF(data!$D$3:$D$16128='Велчо Атанасов'!$B$1,ROW(data!$A$3:$A$16128)-ROW($A$3)+1),ROWS(A$4:A43))),"")</f>
        <v>46073</v>
      </c>
      <c r="B43" s="19" t="str">
        <f t="array" ref="B43">IF(ROWS(B$4:B43)&lt;=$B$2,INDEX(data!A$3:A$16128,SMALL(IF(data!$D$3:$D$16128='Велчо Атанасов'!$B$1,ROW(data!$A$3:$A$16128)-ROW($A$3)+1),ROWS(B$4:B43))),"")</f>
        <v>каса ФИКТИВНА</v>
      </c>
      <c r="C43" s="19">
        <f t="array" ref="C43">IF(ROWS(C$4:C43)&lt;=$B$2,INDEX(data!B$3:B$16128,SMALL(IF(data!$D$3:$D$16128='Велчо Атанасов'!$B$1,ROW(data!$A$3:$A$16128)-ROW($A$3)+1),ROWS(C$4:C43))),"")</f>
        <v>-400</v>
      </c>
      <c r="D43" s="7" t="str">
        <f t="array" ref="D43">IF(ROWS(D$4:D43)&lt;=$B$2,INDEX(data!E$3:E$16128,SMALL(IF(data!$D$3:$D$16128='Велчо Атанасов'!$B$1,ROW(data!$A$3:$A$16128)-ROW($A$3)+1),ROWS(D$4:D43))),"")</f>
        <v>Ева от премиите</v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IF(ROWS(A$4:A44)&lt;=$B$2,INDEX(data!C$3:C$16128,SMALL(IF(data!$D$3:$D$16128='Велчо Атанасов'!$B$1,ROW(data!$A$3:$A$16128)-ROW($A$3)+1),ROWS(A$4:A44))),"")</f>
        <v>46076</v>
      </c>
      <c r="B44" s="19" t="str">
        <f t="array" ref="B44">IF(ROWS(B$4:B44)&lt;=$B$2,INDEX(data!A$3:A$16128,SMALL(IF(data!$D$3:$D$16128='Велчо Атанасов'!$B$1,ROW(data!$A$3:$A$16128)-ROW($A$3)+1),ROWS(B$4:B44))),"")</f>
        <v>MYPOS Бакалия</v>
      </c>
      <c r="C44" s="19">
        <f t="array" ref="C44">IF(ROWS(C$4:C44)&lt;=$B$2,INDEX(data!B$3:B$16128,SMALL(IF(data!$D$3:$D$16128='Велчо Атанасов'!$B$1,ROW(data!$A$3:$A$16128)-ROW($A$3)+1),ROWS(C$4:C44))),"")</f>
        <v>-16748.5</v>
      </c>
      <c r="D44" s="7" t="str">
        <f t="array" ref="D44">IF(ROWS(D$4:D44)&lt;=$B$2,INDEX(data!E$3:E$16128,SMALL(IF(data!$D$3:$D$16128='Велчо Атанасов'!$B$1,ROW(data!$A$3:$A$16128)-ROW($A$3)+1),ROWS(D$4:D44))),"")</f>
        <v/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IF(ROWS(A$4:A45)&lt;=$B$2,INDEX(data!C$3:C$16128,SMALL(IF(data!$D$3:$D$16128='Велчо Атанасов'!$B$1,ROW(data!$A$3:$A$16128)-ROW($A$3)+1),ROWS(A$4:A45))),"")</f>
        <v>46076</v>
      </c>
      <c r="B45" s="19" t="str">
        <f t="array" ref="B45">IF(ROWS(B$4:B45)&lt;=$B$2,INDEX(data!A$3:A$16128,SMALL(IF(data!$D$3:$D$16128='Велчо Атанасов'!$B$1,ROW(data!$A$3:$A$16128)-ROW($A$3)+1),ROWS(B$4:B45))),"")</f>
        <v>КАСОВА КНИГА</v>
      </c>
      <c r="C45" s="19">
        <f t="array" ref="C45">IF(ROWS(C$4:C45)&lt;=$B$2,INDEX(data!B$3:B$16128,SMALL(IF(data!$D$3:$D$16128='Велчо Атанасов'!$B$1,ROW(data!$A$3:$A$16128)-ROW($A$3)+1),ROWS(C$4:C45))),"")</f>
        <v>2000</v>
      </c>
      <c r="D45" s="7" t="str">
        <f t="array" ref="D45">IF(ROWS(D$4:D45)&lt;=$B$2,INDEX(data!E$3:E$16128,SMALL(IF(data!$D$3:$D$16128='Велчо Атанасов'!$B$1,ROW(data!$A$3:$A$16128)-ROW($A$3)+1),ROWS(D$4:D45))),"")</f>
        <v>заем</v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IF(ROWS(A$4:A46)&lt;=$B$2,INDEX(data!C$3:C$16128,SMALL(IF(data!$D$3:$D$16128='Велчо Атанасов'!$B$1,ROW(data!$A$3:$A$16128)-ROW($A$3)+1),ROWS(A$4:A46))),"")</f>
        <v>46080</v>
      </c>
      <c r="B46" s="19" t="str">
        <f t="array" ref="B46">IF(ROWS(B$4:B46)&lt;=$B$2,INDEX(data!A$3:A$16128,SMALL(IF(data!$D$3:$D$16128='Велчо Атанасов'!$B$1,ROW(data!$A$3:$A$16128)-ROW($A$3)+1),ROWS(B$4:B46))),"")</f>
        <v>КАСОВА КНИГА</v>
      </c>
      <c r="C46" s="19">
        <f t="array" ref="C46">IF(ROWS(C$4:C46)&lt;=$B$2,INDEX(data!B$3:B$16128,SMALL(IF(data!$D$3:$D$16128='Велчо Атанасов'!$B$1,ROW(data!$A$3:$A$16128)-ROW($A$3)+1),ROWS(C$4:C46))),"")</f>
        <v>1000</v>
      </c>
      <c r="D46" s="7" t="str">
        <f t="array" ref="D46">IF(ROWS(D$4:D46)&lt;=$B$2,INDEX(data!E$3:E$16128,SMALL(IF(data!$D$3:$D$16128='Велчо Атанасов'!$B$1,ROW(data!$A$3:$A$16128)-ROW($A$3)+1),ROWS(D$4:D46))),"")</f>
        <v>заем</v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IF(ROWS(A$4:A47)&lt;=$B$2,INDEX(data!C$3:C$16128,SMALL(IF(data!$D$3:$D$16128='Велчо Атанасов'!$B$1,ROW(data!$A$3:$A$16128)-ROW($A$3)+1),ROWS(A$4:A47))),"")</f>
        <v>46083</v>
      </c>
      <c r="B47" s="19" t="str">
        <f t="array" ref="B47">IF(ROWS(B$4:B47)&lt;=$B$2,INDEX(data!A$3:A$16128,SMALL(IF(data!$D$3:$D$16128='Велчо Атанасов'!$B$1,ROW(data!$A$3:$A$16128)-ROW($A$3)+1),ROWS(B$4:B47))),"")</f>
        <v>MYPOS Бакалия</v>
      </c>
      <c r="C47" s="19">
        <f t="array" ref="C47">IF(ROWS(C$4:C47)&lt;=$B$2,INDEX(data!B$3:B$16128,SMALL(IF(data!$D$3:$D$16128='Велчо Атанасов'!$B$1,ROW(data!$A$3:$A$16128)-ROW($A$3)+1),ROWS(C$4:C47))),"")</f>
        <v>-14434.33</v>
      </c>
      <c r="D47" s="7" t="str">
        <f t="array" ref="D47">IF(ROWS(D$4:D47)&lt;=$B$2,INDEX(data!E$3:E$16128,SMALL(IF(data!$D$3:$D$16128='Велчо Атанасов'!$B$1,ROW(data!$A$3:$A$16128)-ROW($A$3)+1),ROWS(D$4:D47))),"")</f>
        <v/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IF(ROWS(A$4:A48)&lt;=$B$2,INDEX(data!C$3:C$16128,SMALL(IF(data!$D$3:$D$16128='Велчо Атанасов'!$B$1,ROW(data!$A$3:$A$16128)-ROW($A$3)+1),ROWS(A$4:A48))),"")</f>
        <v>46083</v>
      </c>
      <c r="B48" s="19" t="str">
        <f t="array" ref="B48">IF(ROWS(B$4:B48)&lt;=$B$2,INDEX(data!A$3:A$16128,SMALL(IF(data!$D$3:$D$16128='Велчо Атанасов'!$B$1,ROW(data!$A$3:$A$16128)-ROW($A$3)+1),ROWS(B$4:B48))),"")</f>
        <v>каса ФИКТИВНА</v>
      </c>
      <c r="C48" s="19">
        <f t="array" ref="C48">IF(ROWS(C$4:C48)&lt;=$B$2,INDEX(data!B$3:B$16128,SMALL(IF(data!$D$3:$D$16128='Велчо Атанасов'!$B$1,ROW(data!$A$3:$A$16128)-ROW($A$3)+1),ROWS(C$4:C48))),"")</f>
        <v>-35.8</v>
      </c>
      <c r="D48" s="7" t="str">
        <f t="array" ref="D48">IF(ROWS(D$4:D48)&lt;=$B$2,INDEX(data!E$3:E$16128,SMALL(IF(data!$D$3:$D$16128='Велчо Атанасов'!$B$1,ROW(data!$A$3:$A$16128)-ROW($A$3)+1),ROWS(D$4:D48))),"")</f>
        <v>платено тото Тихомир</v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IF(ROWS(A$4:A49)&lt;=$B$2,INDEX(data!C$3:C$16128,SMALL(IF(data!$D$3:$D$16128='Велчо Атанасов'!$B$1,ROW(data!$A$3:$A$16128)-ROW($A$3)+1),ROWS(A$4:A49))),"")</f>
        <v>46086</v>
      </c>
      <c r="B49" s="19" t="str">
        <f t="array" ref="B49">IF(ROWS(B$4:B49)&lt;=$B$2,INDEX(data!A$3:A$16128,SMALL(IF(data!$D$3:$D$16128='Велчо Атанасов'!$B$1,ROW(data!$A$3:$A$16128)-ROW($A$3)+1),ROWS(B$4:B49))),"")</f>
        <v>ЗАЕМ</v>
      </c>
      <c r="C49" s="19">
        <f t="array" ref="C49">IF(ROWS(C$4:C49)&lt;=$B$2,INDEX(data!B$3:B$16128,SMALL(IF(data!$D$3:$D$16128='Велчо Атанасов'!$B$1,ROW(data!$A$3:$A$16128)-ROW($A$3)+1),ROWS(C$4:C49))),"")</f>
        <v>47003.4</v>
      </c>
      <c r="D49" s="7" t="str">
        <f t="array" ref="D49">IF(ROWS(D$4:D49)&lt;=$B$2,INDEX(data!E$3:E$16128,SMALL(IF(data!$D$3:$D$16128='Велчо Атанасов'!$B$1,ROW(data!$A$3:$A$16128)-ROW($A$3)+1),ROWS(D$4:D49))),"")</f>
        <v>Салдо склад + вътр. п-не</v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IF(ROWS(A$4:A50)&lt;=$B$2,INDEX(data!C$3:C$16128,SMALL(IF(data!$D$3:$D$16128='Велчо Атанасов'!$B$1,ROW(data!$A$3:$A$16128)-ROW($A$3)+1),ROWS(A$4:A50))),"")</f>
        <v>46087</v>
      </c>
      <c r="B50" s="19" t="str">
        <f t="array" ref="B50">IF(ROWS(B$4:B50)&lt;=$B$2,INDEX(data!A$3:A$16128,SMALL(IF(data!$D$3:$D$16128='Велчо Атанасов'!$B$1,ROW(data!$A$3:$A$16128)-ROW($A$3)+1),ROWS(B$4:B50))),"")</f>
        <v>КАСОВА КНИГА</v>
      </c>
      <c r="C50" s="19">
        <f t="array" ref="C50">IF(ROWS(C$4:C50)&lt;=$B$2,INDEX(data!B$3:B$16128,SMALL(IF(data!$D$3:$D$16128='Велчо Атанасов'!$B$1,ROW(data!$A$3:$A$16128)-ROW($A$3)+1),ROWS(C$4:C50))),"")</f>
        <v>2000</v>
      </c>
      <c r="D50" s="7" t="str">
        <f t="array" ref="D50">IF(ROWS(D$4:D50)&lt;=$B$2,INDEX(data!E$3:E$16128,SMALL(IF(data!$D$3:$D$16128='Велчо Атанасов'!$B$1,ROW(data!$A$3:$A$16128)-ROW($A$3)+1),ROWS(D$4:D50))),"")</f>
        <v>заем</v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IF(ROWS(A$4:A51)&lt;=$B$2,INDEX(data!C$3:C$16128,SMALL(IF(data!$D$3:$D$16128='Велчо Атанасов'!$B$1,ROW(data!$A$3:$A$16128)-ROW($A$3)+1),ROWS(A$4:A51))),"")</f>
        <v>46087</v>
      </c>
      <c r="B51" s="19" t="str">
        <f t="array" ref="B51">IF(ROWS(B$4:B51)&lt;=$B$2,INDEX(data!A$3:A$16128,SMALL(IF(data!$D$3:$D$16128='Велчо Атанасов'!$B$1,ROW(data!$A$3:$A$16128)-ROW($A$3)+1),ROWS(B$4:B51))),"")</f>
        <v>Каса ВАУЧЕРИ</v>
      </c>
      <c r="C51" s="19">
        <f t="array" ref="C51">IF(ROWS(C$4:C51)&lt;=$B$2,INDEX(data!B$3:B$16128,SMALL(IF(data!$D$3:$D$16128='Велчо Атанасов'!$B$1,ROW(data!$A$3:$A$16128)-ROW($A$3)+1),ROWS(C$4:C51))),"")</f>
        <v>-115</v>
      </c>
      <c r="D51" s="7" t="str">
        <f t="array" ref="D51">IF(ROWS(D$4:D51)&lt;=$B$2,INDEX(data!E$3:E$16128,SMALL(IF(data!$D$3:$D$16128='Велчо Атанасов'!$B$1,ROW(data!$A$3:$A$16128)-ROW($A$3)+1),ROWS(D$4:D51))),"")</f>
        <v>за 09-15.02</v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IF(ROWS(A$4:A52)&lt;=$B$2,INDEX(data!C$3:C$16128,SMALL(IF(data!$D$3:$D$16128='Велчо Атанасов'!$B$1,ROW(data!$A$3:$A$16128)-ROW($A$3)+1),ROWS(A$4:A52))),"")</f>
        <v>46087</v>
      </c>
      <c r="B52" s="19" t="str">
        <f t="array" ref="B52">IF(ROWS(B$4:B52)&lt;=$B$2,INDEX(data!A$3:A$16128,SMALL(IF(data!$D$3:$D$16128='Велчо Атанасов'!$B$1,ROW(data!$A$3:$A$16128)-ROW($A$3)+1),ROWS(B$4:B52))),"")</f>
        <v>Каса ВАУЧЕРИ</v>
      </c>
      <c r="C52" s="19">
        <f t="array" ref="C52">IF(ROWS(C$4:C52)&lt;=$B$2,INDEX(data!B$3:B$16128,SMALL(IF(data!$D$3:$D$16128='Велчо Атанасов'!$B$1,ROW(data!$A$3:$A$16128)-ROW($A$3)+1),ROWS(C$4:C52))),"")</f>
        <v>-5.11</v>
      </c>
      <c r="D52" s="7" t="str">
        <f t="array" ref="D52">IF(ROWS(D$4:D52)&lt;=$B$2,INDEX(data!E$3:E$16128,SMALL(IF(data!$D$3:$D$16128='Велчо Атанасов'!$B$1,ROW(data!$A$3:$A$16128)-ROW($A$3)+1),ROWS(D$4:D52))),"")</f>
        <v>за 16-22.02</v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IF(ROWS(A$4:A53)&lt;=$B$2,INDEX(data!C$3:C$16128,SMALL(IF(data!$D$3:$D$16128='Велчо Атанасов'!$B$1,ROW(data!$A$3:$A$16128)-ROW($A$3)+1),ROWS(A$4:A53))),"")</f>
        <v>46085</v>
      </c>
      <c r="B53" s="19" t="str">
        <f t="array" ref="B53">IF(ROWS(B$4:B53)&lt;=$B$2,INDEX(data!A$3:A$16128,SMALL(IF(data!$D$3:$D$16128='Велчо Атанасов'!$B$1,ROW(data!$A$3:$A$16128)-ROW($A$3)+1),ROWS(B$4:B53))),"")</f>
        <v>ПОС ДСК Бакалия</v>
      </c>
      <c r="C53" s="19">
        <f t="array" ref="C53">IF(ROWS(C$4:C53)&lt;=$B$2,INDEX(data!B$3:B$16128,SMALL(IF(data!$D$3:$D$16128='Велчо Атанасов'!$B$1,ROW(data!$A$3:$A$16128)-ROW($A$3)+1),ROWS(C$4:C53))),"")</f>
        <v>-1079.46</v>
      </c>
      <c r="D53" s="7" t="str">
        <f t="array" ref="D53">IF(ROWS(D$4:D53)&lt;=$B$2,INDEX(data!E$3:E$16128,SMALL(IF(data!$D$3:$D$16128='Велчо Атанасов'!$B$1,ROW(data!$A$3:$A$16128)-ROW($A$3)+1),ROWS(D$4:D53))),"")</f>
        <v/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IF(ROWS(A$4:A54)&lt;=$B$2,INDEX(data!C$3:C$16128,SMALL(IF(data!$D$3:$D$16128='Велчо Атанасов'!$B$1,ROW(data!$A$3:$A$16128)-ROW($A$3)+1),ROWS(A$4:A54))),"")</f>
        <v>46090</v>
      </c>
      <c r="B54" s="19" t="str">
        <f t="array" ref="B54">IF(ROWS(B$4:B54)&lt;=$B$2,INDEX(data!A$3:A$16128,SMALL(IF(data!$D$3:$D$16128='Велчо Атанасов'!$B$1,ROW(data!$A$3:$A$16128)-ROW($A$3)+1),ROWS(B$4:B54))),"")</f>
        <v>MYPOS Бакалия</v>
      </c>
      <c r="C54" s="19">
        <f t="array" ref="C54">IF(ROWS(C$4:C54)&lt;=$B$2,INDEX(data!B$3:B$16128,SMALL(IF(data!$D$3:$D$16128='Велчо Атанасов'!$B$1,ROW(data!$A$3:$A$16128)-ROW($A$3)+1),ROWS(C$4:C54))),"")</f>
        <v>-12655.6</v>
      </c>
      <c r="D54" s="7" t="str">
        <f t="array" ref="D54">IF(ROWS(D$4:D54)&lt;=$B$2,INDEX(data!E$3:E$16128,SMALL(IF(data!$D$3:$D$16128='Велчо Атанасов'!$B$1,ROW(data!$A$3:$A$16128)-ROW($A$3)+1),ROWS(D$4:D54))),"")</f>
        <v/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IF(ROWS(A$4:A55)&lt;=$B$2,INDEX(data!C$3:C$16128,SMALL(IF(data!$D$3:$D$16128='Велчо Атанасов'!$B$1,ROW(data!$A$3:$A$16128)-ROW($A$3)+1),ROWS(A$4:A55))),"")</f>
        <v>46090</v>
      </c>
      <c r="B55" s="19" t="str">
        <f t="array" ref="B55">IF(ROWS(B$4:B55)&lt;=$B$2,INDEX(data!A$3:A$16128,SMALL(IF(data!$D$3:$D$16128='Велчо Атанасов'!$B$1,ROW(data!$A$3:$A$16128)-ROW($A$3)+1),ROWS(B$4:B55))),"")</f>
        <v>ПроКредит бакал</v>
      </c>
      <c r="C55" s="19">
        <f t="array" ref="C55">IF(ROWS(C$4:C55)&lt;=$B$2,INDEX(data!B$3:B$16128,SMALL(IF(data!$D$3:$D$16128='Велчо Атанасов'!$B$1,ROW(data!$A$3:$A$16128)-ROW($A$3)+1),ROWS(C$4:C55))),"")</f>
        <v>-3385.02</v>
      </c>
      <c r="D55" s="7" t="str">
        <f t="array" ref="D55">IF(ROWS(D$4:D55)&lt;=$B$2,INDEX(data!E$3:E$16128,SMALL(IF(data!$D$3:$D$16128='Велчо Атанасов'!$B$1,ROW(data!$A$3:$A$16128)-ROW($A$3)+1),ROWS(D$4:D55))),"")</f>
        <v/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IF(ROWS(A$4:A56)&lt;=$B$2,INDEX(data!C$3:C$16128,SMALL(IF(data!$D$3:$D$16128='Велчо Атанасов'!$B$1,ROW(data!$A$3:$A$16128)-ROW($A$3)+1),ROWS(A$4:A56))),"")</f>
        <v>46097</v>
      </c>
      <c r="B56" s="19" t="str">
        <f t="array" ref="B56">IF(ROWS(B$4:B56)&lt;=$B$2,INDEX(data!A$3:A$16128,SMALL(IF(data!$D$3:$D$16128='Велчо Атанасов'!$B$1,ROW(data!$A$3:$A$16128)-ROW($A$3)+1),ROWS(B$4:B56))),"")</f>
        <v>MYPOS Бакалия</v>
      </c>
      <c r="C56" s="19">
        <f t="array" ref="C56">IF(ROWS(C$4:C56)&lt;=$B$2,INDEX(data!B$3:B$16128,SMALL(IF(data!$D$3:$D$16128='Велчо Атанасов'!$B$1,ROW(data!$A$3:$A$16128)-ROW($A$3)+1),ROWS(C$4:C56))),"")</f>
        <v>-15401.95</v>
      </c>
      <c r="D56" s="7" t="str">
        <f t="array" ref="D56">IF(ROWS(D$4:D56)&lt;=$B$2,INDEX(data!E$3:E$16128,SMALL(IF(data!$D$3:$D$16128='Велчо Атанасов'!$B$1,ROW(data!$A$3:$A$16128)-ROW($A$3)+1),ROWS(D$4:D56))),"")</f>
        <v/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IF(ROWS(A$4:A57)&lt;=$B$2,INDEX(data!C$3:C$16128,SMALL(IF(data!$D$3:$D$16128='Велчо Атанасов'!$B$1,ROW(data!$A$3:$A$16128)-ROW($A$3)+1),ROWS(A$4:A57))),"")</f>
        <v>46101</v>
      </c>
      <c r="B57" s="19" t="str">
        <f t="array" ref="B57">IF(ROWS(B$4:B57)&lt;=$B$2,INDEX(data!A$3:A$16128,SMALL(IF(data!$D$3:$D$16128='Велчо Атанасов'!$B$1,ROW(data!$A$3:$A$16128)-ROW($A$3)+1),ROWS(B$4:B57))),"")</f>
        <v>Каса ВАУЧЕРИ</v>
      </c>
      <c r="C57" s="19">
        <f t="array" ref="C57">IF(ROWS(C$4:C57)&lt;=$B$2,INDEX(data!B$3:B$16128,SMALL(IF(data!$D$3:$D$16128='Велчо Атанасов'!$B$1,ROW(data!$A$3:$A$16128)-ROW($A$3)+1),ROWS(C$4:C57))),"")</f>
        <v>-20</v>
      </c>
      <c r="D57" s="7" t="str">
        <f t="array" ref="D57">IF(ROWS(D$4:D57)&lt;=$B$2,INDEX(data!E$3:E$16128,SMALL(IF(data!$D$3:$D$16128='Велчо Атанасов'!$B$1,ROW(data!$A$3:$A$16128)-ROW($A$3)+1),ROWS(D$4:D57))),"")</f>
        <v>от 09-15.02</v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IF(ROWS(A$4:A58)&lt;=$B$2,INDEX(data!C$3:C$16128,SMALL(IF(data!$D$3:$D$16128='Велчо Атанасов'!$B$1,ROW(data!$A$3:$A$16128)-ROW($A$3)+1),ROWS(A$4:A58))),"")</f>
        <v>46104</v>
      </c>
      <c r="B58" s="19" t="str">
        <f t="array" ref="B58">IF(ROWS(B$4:B58)&lt;=$B$2,INDEX(data!A$3:A$16128,SMALL(IF(data!$D$3:$D$16128='Велчо Атанасов'!$B$1,ROW(data!$A$3:$A$16128)-ROW($A$3)+1),ROWS(B$4:B58))),"")</f>
        <v>MYPOS Бакалия</v>
      </c>
      <c r="C58" s="19">
        <f t="array" ref="C58">IF(ROWS(C$4:C58)&lt;=$B$2,INDEX(data!B$3:B$16128,SMALL(IF(data!$D$3:$D$16128='Велчо Атанасов'!$B$1,ROW(data!$A$3:$A$16128)-ROW($A$3)+1),ROWS(C$4:C58))),"")</f>
        <v>-15394.973</v>
      </c>
      <c r="D58" s="7" t="str">
        <f t="array" ref="D58">IF(ROWS(D$4:D58)&lt;=$B$2,INDEX(data!E$3:E$16128,SMALL(IF(data!$D$3:$D$16128='Велчо Атанасов'!$B$1,ROW(data!$A$3:$A$16128)-ROW($A$3)+1),ROWS(D$4:D58))),"")</f>
        <v/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IF(ROWS(A$4:A59)&lt;=$B$2,INDEX(data!C$3:C$16128,SMALL(IF(data!$D$3:$D$16128='Велчо Атанасов'!$B$1,ROW(data!$A$3:$A$16128)-ROW($A$3)+1),ROWS(A$4:A59))),"")</f>
        <v>46104</v>
      </c>
      <c r="B59" s="19" t="str">
        <f t="array" ref="B59">IF(ROWS(B$4:B59)&lt;=$B$2,INDEX(data!A$3:A$16128,SMALL(IF(data!$D$3:$D$16128='Велчо Атанасов'!$B$1,ROW(data!$A$3:$A$16128)-ROW($A$3)+1),ROWS(B$4:B59))),"")</f>
        <v>КАСОВА КНИГА</v>
      </c>
      <c r="C59" s="19">
        <f t="array" ref="C59">IF(ROWS(C$4:C59)&lt;=$B$2,INDEX(data!B$3:B$16128,SMALL(IF(data!$D$3:$D$16128='Велчо Атанасов'!$B$1,ROW(data!$A$3:$A$16128)-ROW($A$3)+1),ROWS(C$4:C59))),"")</f>
        <v>2000</v>
      </c>
      <c r="D59" s="7" t="str">
        <f t="array" ref="D59">IF(ROWS(D$4:D59)&lt;=$B$2,INDEX(data!E$3:E$16128,SMALL(IF(data!$D$3:$D$16128='Велчо Атанасов'!$B$1,ROW(data!$A$3:$A$16128)-ROW($A$3)+1),ROWS(D$4:D59))),"")</f>
        <v>заем</v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IF(ROWS(A$4:A60)&lt;=$B$2,INDEX(data!C$3:C$16128,SMALL(IF(data!$D$3:$D$16128='Велчо Атанасов'!$B$1,ROW(data!$A$3:$A$16128)-ROW($A$3)+1),ROWS(A$4:A60))),"")</f>
        <v>46104</v>
      </c>
      <c r="B60" s="19" t="str">
        <f t="array" ref="B60">IF(ROWS(B$4:B60)&lt;=$B$2,INDEX(data!A$3:A$16128,SMALL(IF(data!$D$3:$D$16128='Велчо Атанасов'!$B$1,ROW(data!$A$3:$A$16128)-ROW($A$3)+1),ROWS(B$4:B60))),"")</f>
        <v>Каса ВАУЧЕРИ</v>
      </c>
      <c r="C60" s="19">
        <f t="array" ref="C60">IF(ROWS(C$4:C60)&lt;=$B$2,INDEX(data!B$3:B$16128,SMALL(IF(data!$D$3:$D$16128='Велчо Атанасов'!$B$1,ROW(data!$A$3:$A$16128)-ROW($A$3)+1),ROWS(C$4:C60))),"")</f>
        <v>700</v>
      </c>
      <c r="D60" s="7" t="str">
        <f t="array" ref="D60">IF(ROWS(D$4:D60)&lt;=$B$2,INDEX(data!E$3:E$16128,SMALL(IF(data!$D$3:$D$16128='Велчо Атанасов'!$B$1,ROW(data!$A$3:$A$16128)-ROW($A$3)+1),ROWS(D$4:D60))),"")</f>
        <v>ваучери персонал</v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IF(ROWS(A$4:A61)&lt;=$B$2,INDEX(data!C$3:C$16128,SMALL(IF(data!$D$3:$D$16128='Велчо Атанасов'!$B$1,ROW(data!$A$3:$A$16128)-ROW($A$3)+1),ROWS(A$4:A61))),"")</f>
        <v>46111</v>
      </c>
      <c r="B61" s="19" t="str">
        <f t="array" ref="B61">IF(ROWS(B$4:B61)&lt;=$B$2,INDEX(data!A$3:A$16128,SMALL(IF(data!$D$3:$D$16128='Велчо Атанасов'!$B$1,ROW(data!$A$3:$A$16128)-ROW($A$3)+1),ROWS(B$4:B61))),"")</f>
        <v>MYPOS Бакалия</v>
      </c>
      <c r="C61" s="19">
        <f t="array" ref="C61">IF(ROWS(C$4:C61)&lt;=$B$2,INDEX(data!B$3:B$16128,SMALL(IF(data!$D$3:$D$16128='Велчо Атанасов'!$B$1,ROW(data!$A$3:$A$16128)-ROW($A$3)+1),ROWS(C$4:C61))),"")</f>
        <v>-15651.2</v>
      </c>
      <c r="D61" s="7" t="str">
        <f t="array" ref="D61">IF(ROWS(D$4:D61)&lt;=$B$2,INDEX(data!E$3:E$16128,SMALL(IF(data!$D$3:$D$16128='Велчо Атанасов'!$B$1,ROW(data!$A$3:$A$16128)-ROW($A$3)+1),ROWS(D$4:D61))),"")</f>
        <v/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IF(ROWS(A$4:A62)&lt;=$B$2,INDEX(data!C$3:C$16128,SMALL(IF(data!$D$3:$D$16128='Велчо Атанасов'!$B$1,ROW(data!$A$3:$A$16128)-ROW($A$3)+1),ROWS(A$4:A62))),"")</f>
        <v>46111</v>
      </c>
      <c r="B62" s="19" t="str">
        <f t="array" ref="B62">IF(ROWS(B$4:B62)&lt;=$B$2,INDEX(data!A$3:A$16128,SMALL(IF(data!$D$3:$D$16128='Велчо Атанасов'!$B$1,ROW(data!$A$3:$A$16128)-ROW($A$3)+1),ROWS(B$4:B62))),"")</f>
        <v>КАСОВА КНИГА</v>
      </c>
      <c r="C62" s="19">
        <f t="array" ref="C62">IF(ROWS(C$4:C62)&lt;=$B$2,INDEX(data!B$3:B$16128,SMALL(IF(data!$D$3:$D$16128='Велчо Атанасов'!$B$1,ROW(data!$A$3:$A$16128)-ROW($A$3)+1),ROWS(C$4:C62))),"")</f>
        <v>2000</v>
      </c>
      <c r="D62" s="7" t="str">
        <f t="array" ref="D62">IF(ROWS(D$4:D62)&lt;=$B$2,INDEX(data!E$3:E$16128,SMALL(IF(data!$D$3:$D$16128='Велчо Атанасов'!$B$1,ROW(data!$A$3:$A$16128)-ROW($A$3)+1),ROWS(D$4:D62))),"")</f>
        <v>заем</v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IF(ROWS(A$4:A63)&lt;=$B$2,INDEX(data!C$3:C$16128,SMALL(IF(data!$D$3:$D$16128='Велчо Атанасов'!$B$1,ROW(data!$A$3:$A$16128)-ROW($A$3)+1),ROWS(A$4:A63))),"")</f>
        <v>46111</v>
      </c>
      <c r="B63" s="19" t="str">
        <f t="array" ref="B63">IF(ROWS(B$4:B63)&lt;=$B$2,INDEX(data!A$3:A$16128,SMALL(IF(data!$D$3:$D$16128='Велчо Атанасов'!$B$1,ROW(data!$A$3:$A$16128)-ROW($A$3)+1),ROWS(B$4:B63))),"")</f>
        <v>каса ФИКТИВНА</v>
      </c>
      <c r="C63" s="19">
        <f t="array" ref="C63">IF(ROWS(C$4:C63)&lt;=$B$2,INDEX(data!B$3:B$16128,SMALL(IF(data!$D$3:$D$16128='Велчо Атанасов'!$B$1,ROW(data!$A$3:$A$16128)-ROW($A$3)+1),ROWS(C$4:C63))),"")</f>
        <v>50000</v>
      </c>
      <c r="D63" s="7" t="str">
        <f t="array" ref="D63">IF(ROWS(D$4:D63)&lt;=$B$2,INDEX(data!E$3:E$16128,SMALL(IF(data!$D$3:$D$16128='Велчо Атанасов'!$B$1,ROW(data!$A$3:$A$16128)-ROW($A$3)+1),ROWS(D$4:D63))),"")</f>
        <v>салдо от Обеля</v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IF(ROWS(A$4:A64)&lt;=$B$2,INDEX(data!C$3:C$16128,SMALL(IF(data!$D$3:$D$16128='Велчо Атанасов'!$B$1,ROW(data!$A$3:$A$16128)-ROW($A$3)+1),ROWS(A$4:A64))),"")</f>
        <v>46112</v>
      </c>
      <c r="B64" s="19" t="str">
        <f t="array" ref="B64">IF(ROWS(B$4:B64)&lt;=$B$2,INDEX(data!A$3:A$16128,SMALL(IF(data!$D$3:$D$16128='Велчо Атанасов'!$B$1,ROW(data!$A$3:$A$16128)-ROW($A$3)+1),ROWS(B$4:B64))),"")</f>
        <v>ЗАЕМ</v>
      </c>
      <c r="C64" s="19">
        <f t="array" ref="C64">IF(ROWS(C$4:C64)&lt;=$B$2,INDEX(data!B$3:B$16128,SMALL(IF(data!$D$3:$D$16128='Велчо Атанасов'!$B$1,ROW(data!$A$3:$A$16128)-ROW($A$3)+1),ROWS(C$4:C64))),"")</f>
        <v>47338.21</v>
      </c>
      <c r="D64" s="7" t="str">
        <f t="array" ref="D64">IF(ROWS(D$4:D64)&lt;=$B$2,INDEX(data!E$3:E$16128,SMALL(IF(data!$D$3:$D$16128='Велчо Атанасов'!$B$1,ROW(data!$A$3:$A$16128)-ROW($A$3)+1),ROWS(D$4:D64))),"")</f>
        <v>Салдо склад + вътр</v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IF(ROWS(A$4:A65)&lt;=$B$2,INDEX(data!C$3:C$16128,SMALL(IF(data!$D$3:$D$16128='Велчо Атанасов'!$B$1,ROW(data!$A$3:$A$16128)-ROW($A$3)+1),ROWS(A$4:A65))),"")</f>
        <v>46115</v>
      </c>
      <c r="B65" s="19" t="str">
        <f t="array" ref="B65">IF(ROWS(B$4:B65)&lt;=$B$2,INDEX(data!A$3:A$16128,SMALL(IF(data!$D$3:$D$16128='Велчо Атанасов'!$B$1,ROW(data!$A$3:$A$16128)-ROW($A$3)+1),ROWS(B$4:B65))),"")</f>
        <v>Каса ВАУЧЕРИ</v>
      </c>
      <c r="C65" s="19">
        <f t="array" ref="C65">IF(ROWS(C$4:C65)&lt;=$B$2,INDEX(data!B$3:B$16128,SMALL(IF(data!$D$3:$D$16128='Велчо Атанасов'!$B$1,ROW(data!$A$3:$A$16128)-ROW($A$3)+1),ROWS(C$4:C65))),"")</f>
        <v>-55.11</v>
      </c>
      <c r="D65" s="7" t="str">
        <f t="array" ref="D65">IF(ROWS(D$4:D65)&lt;=$B$2,INDEX(data!E$3:E$16128,SMALL(IF(data!$D$3:$D$16128='Велчо Атанасов'!$B$1,ROW(data!$A$3:$A$16128)-ROW($A$3)+1),ROWS(D$4:D65))),"")</f>
        <v>09-15.03</v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IF(ROWS(A$4:A66)&lt;=$B$2,INDEX(data!C$3:C$16128,SMALL(IF(data!$D$3:$D$16128='Велчо Атанасов'!$B$1,ROW(data!$A$3:$A$16128)-ROW($A$3)+1),ROWS(A$4:A66))),"")</f>
        <v>46118</v>
      </c>
      <c r="B66" s="19" t="str">
        <f t="array" ref="B66">IF(ROWS(B$4:B66)&lt;=$B$2,INDEX(data!A$3:A$16128,SMALL(IF(data!$D$3:$D$16128='Велчо Атанасов'!$B$1,ROW(data!$A$3:$A$16128)-ROW($A$3)+1),ROWS(B$4:B66))),"")</f>
        <v>MYPOS Бакалия</v>
      </c>
      <c r="C66" s="19">
        <f t="array" ref="C66">IF(ROWS(C$4:C66)&lt;=$B$2,INDEX(data!B$3:B$16128,SMALL(IF(data!$D$3:$D$16128='Велчо Атанасов'!$B$1,ROW(data!$A$3:$A$16128)-ROW($A$3)+1),ROWS(C$4:C66))),"")</f>
        <v>-14883.69</v>
      </c>
      <c r="D66" s="7" t="str">
        <f t="array" ref="D66">IF(ROWS(D$4:D66)&lt;=$B$2,INDEX(data!E$3:E$16128,SMALL(IF(data!$D$3:$D$16128='Велчо Атанасов'!$B$1,ROW(data!$A$3:$A$16128)-ROW($A$3)+1),ROWS(D$4:D66))),"")</f>
        <v/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IF(ROWS(A$4:A67)&lt;=$B$2,INDEX(data!C$3:C$16128,SMALL(IF(data!$D$3:$D$16128='Велчо Атанасов'!$B$1,ROW(data!$A$3:$A$16128)-ROW($A$3)+1),ROWS(A$4:A67))),"")</f>
        <v>46118</v>
      </c>
      <c r="B67" s="19" t="str">
        <f t="array" ref="B67">IF(ROWS(B$4:B67)&lt;=$B$2,INDEX(data!A$3:A$16128,SMALL(IF(data!$D$3:$D$16128='Велчо Атанасов'!$B$1,ROW(data!$A$3:$A$16128)-ROW($A$3)+1),ROWS(B$4:B67))),"")</f>
        <v>КАСОВА КНИГА</v>
      </c>
      <c r="C67" s="19">
        <f t="array" ref="C67">IF(ROWS(C$4:C67)&lt;=$B$2,INDEX(data!B$3:B$16128,SMALL(IF(data!$D$3:$D$16128='Велчо Атанасов'!$B$1,ROW(data!$A$3:$A$16128)-ROW($A$3)+1),ROWS(C$4:C67))),"")</f>
        <v>1000</v>
      </c>
      <c r="D67" s="7" t="str">
        <f t="array" ref="D67">IF(ROWS(D$4:D67)&lt;=$B$2,INDEX(data!E$3:E$16128,SMALL(IF(data!$D$3:$D$16128='Велчо Атанасов'!$B$1,ROW(data!$A$3:$A$16128)-ROW($A$3)+1),ROWS(D$4:D67))),"")</f>
        <v>заем</v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IF(ROWS(A$4:A68)&lt;=$B$2,INDEX(data!C$3:C$16128,SMALL(IF(data!$D$3:$D$16128='Велчо Атанасов'!$B$1,ROW(data!$A$3:$A$16128)-ROW($A$3)+1),ROWS(A$4:A68))),"")</f>
        <v>46121</v>
      </c>
      <c r="B68" s="19" t="str">
        <f t="array" ref="B68">IF(ROWS(B$4:B68)&lt;=$B$2,INDEX(data!A$3:A$16128,SMALL(IF(data!$D$3:$D$16128='Велчо Атанасов'!$B$1,ROW(data!$A$3:$A$16128)-ROW($A$3)+1),ROWS(B$4:B68))),"")</f>
        <v>КАСОВА КНИГА</v>
      </c>
      <c r="C68" s="19">
        <f t="array" ref="C68">IF(ROWS(C$4:C68)&lt;=$B$2,INDEX(data!B$3:B$16128,SMALL(IF(data!$D$3:$D$16128='Велчо Атанасов'!$B$1,ROW(data!$A$3:$A$16128)-ROW($A$3)+1),ROWS(C$4:C68))),"")</f>
        <v>2000</v>
      </c>
      <c r="D68" s="7" t="str">
        <f t="array" ref="D68">IF(ROWS(D$4:D68)&lt;=$B$2,INDEX(data!E$3:E$16128,SMALL(IF(data!$D$3:$D$16128='Велчо Атанасов'!$B$1,ROW(data!$A$3:$A$16128)-ROW($A$3)+1),ROWS(D$4:D68))),"")</f>
        <v>заем</v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IF(ROWS(A$4:A69)&lt;=$B$2,INDEX(data!C$3:C$16128,SMALL(IF(data!$D$3:$D$16128='Велчо Атанасов'!$B$1,ROW(data!$A$3:$A$16128)-ROW($A$3)+1),ROWS(A$4:A69))),"")</f>
        <v>46126</v>
      </c>
      <c r="B69" s="19" t="str">
        <f t="array" ref="B69">IF(ROWS(B$4:B69)&lt;=$B$2,INDEX(data!A$3:A$16128,SMALL(IF(data!$D$3:$D$16128='Велчо Атанасов'!$B$1,ROW(data!$A$3:$A$16128)-ROW($A$3)+1),ROWS(B$4:B69))),"")</f>
        <v>MYPOS Бакалия</v>
      </c>
      <c r="C69" s="19">
        <f t="array" ref="C69">IF(ROWS(C$4:C69)&lt;=$B$2,INDEX(data!B$3:B$16128,SMALL(IF(data!$D$3:$D$16128='Велчо Атанасов'!$B$1,ROW(data!$A$3:$A$16128)-ROW($A$3)+1),ROWS(C$4:C69))),"")</f>
        <v>-16333.08</v>
      </c>
      <c r="D69" s="7" t="str">
        <f t="array" ref="D69">IF(ROWS(D$4:D69)&lt;=$B$2,INDEX(data!E$3:E$16128,SMALL(IF(data!$D$3:$D$16128='Велчо Атанасов'!$B$1,ROW(data!$A$3:$A$16128)-ROW($A$3)+1),ROWS(D$4:D69))),"")</f>
        <v/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IF(ROWS(A$4:A70)&lt;=$B$2,INDEX(data!C$3:C$16128,SMALL(IF(data!$D$3:$D$16128='Велчо Атанасов'!$B$1,ROW(data!$A$3:$A$16128)-ROW($A$3)+1),ROWS(A$4:A70))),"")</f>
        <v>46129</v>
      </c>
      <c r="B70" s="19" t="str">
        <f t="array" ref="B70">IF(ROWS(B$4:B70)&lt;=$B$2,INDEX(data!A$3:A$16128,SMALL(IF(data!$D$3:$D$16128='Велчо Атанасов'!$B$1,ROW(data!$A$3:$A$16128)-ROW($A$3)+1),ROWS(B$4:B70))),"")</f>
        <v>каса ФИКТИВНА</v>
      </c>
      <c r="C70" s="19">
        <f t="array" ref="C70">IF(ROWS(C$4:C70)&lt;=$B$2,INDEX(data!B$3:B$16128,SMALL(IF(data!$D$3:$D$16128='Велчо Атанасов'!$B$1,ROW(data!$A$3:$A$16128)-ROW($A$3)+1),ROWS(C$4:C70))),"")</f>
        <v>-800</v>
      </c>
      <c r="D70" s="7" t="str">
        <f t="array" ref="D70">IF(ROWS(D$4:D70)&lt;=$B$2,INDEX(data!E$3:E$16128,SMALL(IF(data!$D$3:$D$16128='Велчо Атанасов'!$B$1,ROW(data!$A$3:$A$16128)-ROW($A$3)+1),ROWS(D$4:D70))),"")</f>
        <v>Ева от премиите</v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IF(ROWS(A$4:A71)&lt;=$B$2,INDEX(data!C$3:C$16128,SMALL(IF(data!$D$3:$D$16128='Велчо Атанасов'!$B$1,ROW(data!$A$3:$A$16128)-ROW($A$3)+1),ROWS(A$4:A71))),"")</f>
        <v>46132</v>
      </c>
      <c r="B71" s="19" t="str">
        <f t="array" ref="B71">IF(ROWS(B$4:B71)&lt;=$B$2,INDEX(data!A$3:A$16128,SMALL(IF(data!$D$3:$D$16128='Велчо Атанасов'!$B$1,ROW(data!$A$3:$A$16128)-ROW($A$3)+1),ROWS(B$4:B71))),"")</f>
        <v>MYPOS Бакалия</v>
      </c>
      <c r="C71" s="19">
        <f t="array" ref="C71">IF(ROWS(C$4:C71)&lt;=$B$2,INDEX(data!B$3:B$16128,SMALL(IF(data!$D$3:$D$16128='Велчо Атанасов'!$B$1,ROW(data!$A$3:$A$16128)-ROW($A$3)+1),ROWS(C$4:C71))),"")</f>
        <v>-15845.65</v>
      </c>
      <c r="D71" s="7" t="str">
        <f t="array" ref="D71">IF(ROWS(D$4:D71)&lt;=$B$2,INDEX(data!E$3:E$16128,SMALL(IF(data!$D$3:$D$16128='Велчо Атанасов'!$B$1,ROW(data!$A$3:$A$16128)-ROW($A$3)+1),ROWS(D$4:D71))),"")</f>
        <v/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IF(ROWS(A$4:A72)&lt;=$B$2,INDEX(data!C$3:C$16128,SMALL(IF(data!$D$3:$D$16128='Велчо Атанасов'!$B$1,ROW(data!$A$3:$A$16128)-ROW($A$3)+1),ROWS(A$4:A72))),"")</f>
        <v>46134</v>
      </c>
      <c r="B72" s="19" t="str">
        <f t="array" ref="B72">IF(ROWS(B$4:B72)&lt;=$B$2,INDEX(data!A$3:A$16128,SMALL(IF(data!$D$3:$D$16128='Велчо Атанасов'!$B$1,ROW(data!$A$3:$A$16128)-ROW($A$3)+1),ROWS(B$4:B72))),"")</f>
        <v>Каса ВАУЧЕРИ</v>
      </c>
      <c r="C72" s="19">
        <f t="array" ref="C72">IF(ROWS(C$4:C72)&lt;=$B$2,INDEX(data!B$3:B$16128,SMALL(IF(data!$D$3:$D$16128='Велчо Атанасов'!$B$1,ROW(data!$A$3:$A$16128)-ROW($A$3)+1),ROWS(C$4:C72))),"")</f>
        <v>700</v>
      </c>
      <c r="D72" s="7" t="str">
        <f t="array" ref="D72">IF(ROWS(D$4:D72)&lt;=$B$2,INDEX(data!E$3:E$16128,SMALL(IF(data!$D$3:$D$16128='Велчо Атанасов'!$B$1,ROW(data!$A$3:$A$16128)-ROW($A$3)+1),ROWS(D$4:D72))),"")</f>
        <v>ваучери персонал</v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IF(ROWS(A$4:A73)&lt;=$B$2,INDEX(data!C$3:C$16128,SMALL(IF(data!$D$3:$D$16128='Велчо Атанасов'!$B$1,ROW(data!$A$3:$A$16128)-ROW($A$3)+1),ROWS(A$4:A73))),"")</f>
        <v>46134</v>
      </c>
      <c r="B73" s="19" t="str">
        <f t="array" ref="B73">IF(ROWS(B$4:B73)&lt;=$B$2,INDEX(data!A$3:A$16128,SMALL(IF(data!$D$3:$D$16128='Велчо Атанасов'!$B$1,ROW(data!$A$3:$A$16128)-ROW($A$3)+1),ROWS(B$4:B73))),"")</f>
        <v>каса ФИКТИВНА</v>
      </c>
      <c r="C73" s="19">
        <f t="array" ref="C73">IF(ROWS(C$4:C73)&lt;=$B$2,INDEX(data!B$3:B$16128,SMALL(IF(data!$D$3:$D$16128='Велчо Атанасов'!$B$1,ROW(data!$A$3:$A$16128)-ROW($A$3)+1),ROWS(C$4:C73))),"")</f>
        <v>-300</v>
      </c>
      <c r="D73" s="7" t="str">
        <f t="array" ref="D73">IF(ROWS(D$4:D73)&lt;=$B$2,INDEX(data!E$3:E$16128,SMALL(IF(data!$D$3:$D$16128='Велчо Атанасов'!$B$1,ROW(data!$A$3:$A$16128)-ROW($A$3)+1),ROWS(D$4:D73))),"")</f>
        <v>Ева от премиите</v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IF(ROWS(A$4:A74)&lt;=$B$2,INDEX(data!C$3:C$16128,SMALL(IF(data!$D$3:$D$16128='Велчо Атанасов'!$B$1,ROW(data!$A$3:$A$16128)-ROW($A$3)+1),ROWS(A$4:A74))),"")</f>
        <v>46134</v>
      </c>
      <c r="B74" s="19" t="str">
        <f t="array" ref="B74">IF(ROWS(B$4:B74)&lt;=$B$2,INDEX(data!A$3:A$16128,SMALL(IF(data!$D$3:$D$16128='Велчо Атанасов'!$B$1,ROW(data!$A$3:$A$16128)-ROW($A$3)+1),ROWS(B$4:B74))),"")</f>
        <v>каса ФИКТИВНА</v>
      </c>
      <c r="C74" s="19">
        <f t="array" ref="C74">IF(ROWS(C$4:C74)&lt;=$B$2,INDEX(data!B$3:B$16128,SMALL(IF(data!$D$3:$D$16128='Велчо Атанасов'!$B$1,ROW(data!$A$3:$A$16128)-ROW($A$3)+1),ROWS(C$4:C74))),"")</f>
        <v>-18.3</v>
      </c>
      <c r="D74" s="7" t="str">
        <f t="array" ref="D74">IF(ROWS(D$4:D74)&lt;=$B$2,INDEX(data!E$3:E$16128,SMALL(IF(data!$D$3:$D$16128='Велчо Атанасов'!$B$1,ROW(data!$A$3:$A$16128)-ROW($A$3)+1),ROWS(D$4:D74))),"")</f>
        <v>пл.тото</v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IF(ROWS(A$4:A75)&lt;=$B$2,INDEX(data!C$3:C$16128,SMALL(IF(data!$D$3:$D$16128='Велчо Атанасов'!$B$1,ROW(data!$A$3:$A$16128)-ROW($A$3)+1),ROWS(A$4:A75))),"")</f>
        <v>46136</v>
      </c>
      <c r="B75" s="19" t="str">
        <f t="array" ref="B75">IF(ROWS(B$4:B75)&lt;=$B$2,INDEX(data!A$3:A$16128,SMALL(IF(data!$D$3:$D$16128='Велчо Атанасов'!$B$1,ROW(data!$A$3:$A$16128)-ROW($A$3)+1),ROWS(B$4:B75))),"")</f>
        <v>КАСОВА КНИГА</v>
      </c>
      <c r="C75" s="19">
        <f t="array" ref="C75">IF(ROWS(C$4:C75)&lt;=$B$2,INDEX(data!B$3:B$16128,SMALL(IF(data!$D$3:$D$16128='Велчо Атанасов'!$B$1,ROW(data!$A$3:$A$16128)-ROW($A$3)+1),ROWS(C$4:C75))),"")</f>
        <v>400</v>
      </c>
      <c r="D75" s="7" t="str">
        <f t="array" ref="D75">IF(ROWS(D$4:D75)&lt;=$B$2,INDEX(data!E$3:E$16128,SMALL(IF(data!$D$3:$D$16128='Велчо Атанасов'!$B$1,ROW(data!$A$3:$A$16128)-ROW($A$3)+1),ROWS(D$4:D75))),"")</f>
        <v>заем</v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IF(ROWS(A$4:A76)&lt;=$B$2,INDEX(data!C$3:C$16128,SMALL(IF(data!$D$3:$D$16128='Велчо Атанасов'!$B$1,ROW(data!$A$3:$A$16128)-ROW($A$3)+1),ROWS(A$4:A76))),"")</f>
        <v>46139</v>
      </c>
      <c r="B76" s="19" t="str">
        <f t="array" ref="B76">IF(ROWS(B$4:B76)&lt;=$B$2,INDEX(data!A$3:A$16128,SMALL(IF(data!$D$3:$D$16128='Велчо Атанасов'!$B$1,ROW(data!$A$3:$A$16128)-ROW($A$3)+1),ROWS(B$4:B76))),"")</f>
        <v>MYPOS Бакалия</v>
      </c>
      <c r="C76" s="19">
        <f t="array" ref="C76">IF(ROWS(C$4:C76)&lt;=$B$2,INDEX(data!B$3:B$16128,SMALL(IF(data!$D$3:$D$16128='Велчо Атанасов'!$B$1,ROW(data!$A$3:$A$16128)-ROW($A$3)+1),ROWS(C$4:C76))),"")</f>
        <v>-15963.83</v>
      </c>
      <c r="D76" s="7" t="str">
        <f t="array" ref="D76">IF(ROWS(D$4:D76)&lt;=$B$2,INDEX(data!E$3:E$16128,SMALL(IF(data!$D$3:$D$16128='Велчо Атанасов'!$B$1,ROW(data!$A$3:$A$16128)-ROW($A$3)+1),ROWS(D$4:D76))),"")</f>
        <v/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IF(ROWS(A$4:A77)&lt;=$B$2,INDEX(data!C$3:C$16128,SMALL(IF(data!$D$3:$D$16128='Велчо Атанасов'!$B$1,ROW(data!$A$3:$A$16128)-ROW($A$3)+1),ROWS(A$4:A77))),"")</f>
        <v>46139</v>
      </c>
      <c r="B77" s="19" t="str">
        <f t="array" ref="B77">IF(ROWS(B$4:B77)&lt;=$B$2,INDEX(data!A$3:A$16128,SMALL(IF(data!$D$3:$D$16128='Велчо Атанасов'!$B$1,ROW(data!$A$3:$A$16128)-ROW($A$3)+1),ROWS(B$4:B77))),"")</f>
        <v>КАСОВА КНИГА</v>
      </c>
      <c r="C77" s="19">
        <f t="array" ref="C77">IF(ROWS(C$4:C77)&lt;=$B$2,INDEX(data!B$3:B$16128,SMALL(IF(data!$D$3:$D$16128='Велчо Атанасов'!$B$1,ROW(data!$A$3:$A$16128)-ROW($A$3)+1),ROWS(C$4:C77))),"")</f>
        <v>2000</v>
      </c>
      <c r="D77" s="7" t="str">
        <f t="array" ref="D77">IF(ROWS(D$4:D77)&lt;=$B$2,INDEX(data!E$3:E$16128,SMALL(IF(data!$D$3:$D$16128='Велчо Атанасов'!$B$1,ROW(data!$A$3:$A$16128)-ROW($A$3)+1),ROWS(D$4:D77))),"")</f>
        <v>заем</v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IF(ROWS(A$4:A78)&lt;=$B$2,INDEX(data!C$3:C$16128,SMALL(IF(data!$D$3:$D$16128='Велчо Атанасов'!$B$1,ROW(data!$A$3:$A$16128)-ROW($A$3)+1),ROWS(A$4:A78))),"")</f>
        <v>46146</v>
      </c>
      <c r="B78" s="19" t="str">
        <f t="array" ref="B78">IF(ROWS(B$4:B78)&lt;=$B$2,INDEX(data!A$3:A$16128,SMALL(IF(data!$D$3:$D$16128='Велчо Атанасов'!$B$1,ROW(data!$A$3:$A$16128)-ROW($A$3)+1),ROWS(B$4:B78))),"")</f>
        <v>MYPOS Бакалия</v>
      </c>
      <c r="C78" s="19">
        <f t="array" ref="C78">IF(ROWS(C$4:C78)&lt;=$B$2,INDEX(data!B$3:B$16128,SMALL(IF(data!$D$3:$D$16128='Велчо Атанасов'!$B$1,ROW(data!$A$3:$A$16128)-ROW($A$3)+1),ROWS(C$4:C78))),"")</f>
        <v>-12980.08</v>
      </c>
      <c r="D78" s="7" t="str">
        <f t="array" ref="D78">IF(ROWS(D$4:D78)&lt;=$B$2,INDEX(data!E$3:E$16128,SMALL(IF(data!$D$3:$D$16128='Велчо Атанасов'!$B$1,ROW(data!$A$3:$A$16128)-ROW($A$3)+1),ROWS(D$4:D78))),"")</f>
        <v/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IF(ROWS(A$4:A79)&lt;=$B$2,INDEX(data!C$3:C$16128,SMALL(IF(data!$D$3:$D$16128='Велчо Атанасов'!$B$1,ROW(data!$A$3:$A$16128)-ROW($A$3)+1),ROWS(A$4:A79))),"")</f>
        <v>46146</v>
      </c>
      <c r="B79" s="19" t="str">
        <f t="array" ref="B79">IF(ROWS(B$4:B79)&lt;=$B$2,INDEX(data!A$3:A$16128,SMALL(IF(data!$D$3:$D$16128='Велчо Атанасов'!$B$1,ROW(data!$A$3:$A$16128)-ROW($A$3)+1),ROWS(B$4:B79))),"")</f>
        <v>ПОС ДСК Бакалия</v>
      </c>
      <c r="C79" s="19">
        <f t="array" ref="C79">IF(ROWS(C$4:C79)&lt;=$B$2,INDEX(data!B$3:B$16128,SMALL(IF(data!$D$3:$D$16128='Велчо Атанасов'!$B$1,ROW(data!$A$3:$A$16128)-ROW($A$3)+1),ROWS(C$4:C79))),"")</f>
        <v>-2076.21</v>
      </c>
      <c r="D79" s="7" t="str">
        <f t="array" ref="D79">IF(ROWS(D$4:D79)&lt;=$B$2,INDEX(data!E$3:E$16128,SMALL(IF(data!$D$3:$D$16128='Велчо Атанасов'!$B$1,ROW(data!$A$3:$A$16128)-ROW($A$3)+1),ROWS(D$4:D79))),"")</f>
        <v/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IF(ROWS(A$4:A80)&lt;=$B$2,INDEX(data!C$3:C$16128,SMALL(IF(data!$D$3:$D$16128='Велчо Атанасов'!$B$1,ROW(data!$A$3:$A$16128)-ROW($A$3)+1),ROWS(A$4:A80))),"")</f>
        <v>46148</v>
      </c>
      <c r="B80" s="19" t="str">
        <f t="array" ref="B80">IF(ROWS(B$4:B80)&lt;=$B$2,INDEX(data!A$3:A$16128,SMALL(IF(data!$D$3:$D$16128='Велчо Атанасов'!$B$1,ROW(data!$A$3:$A$16128)-ROW($A$3)+1),ROWS(B$4:B80))),"")</f>
        <v>ЗАЕМ</v>
      </c>
      <c r="C80" s="19">
        <f t="array" ref="C80">IF(ROWS(C$4:C80)&lt;=$B$2,INDEX(data!B$3:B$16128,SMALL(IF(data!$D$3:$D$16128='Велчо Атанасов'!$B$1,ROW(data!$A$3:$A$16128)-ROW($A$3)+1),ROWS(C$4:C80))),"")</f>
        <v>68453.67</v>
      </c>
      <c r="D80" s="7" t="str">
        <f t="array" ref="D80">IF(ROWS(D$4:D80)&lt;=$B$2,INDEX(data!E$3:E$16128,SMALL(IF(data!$D$3:$D$16128='Велчо Атанасов'!$B$1,ROW(data!$A$3:$A$16128)-ROW($A$3)+1),ROWS(D$4:D80))),"")</f>
        <v>Салдо склад + вътр. п-не</v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IF(ROWS(A$4:A81)&lt;=$B$2,INDEX(data!C$3:C$16128,SMALL(IF(data!$D$3:$D$16128='Велчо Атанасов'!$B$1,ROW(data!$A$3:$A$16128)-ROW($A$3)+1),ROWS(A$4:A81))),"")</f>
        <v>46149</v>
      </c>
      <c r="B81" s="19" t="str">
        <f t="array" ref="B81">IF(ROWS(B$4:B81)&lt;=$B$2,INDEX(data!A$3:A$16128,SMALL(IF(data!$D$3:$D$16128='Велчо Атанасов'!$B$1,ROW(data!$A$3:$A$16128)-ROW($A$3)+1),ROWS(B$4:B81))),"")</f>
        <v>Каса ВАУЧЕРИ</v>
      </c>
      <c r="C81" s="19">
        <f t="array" ref="C81">IF(ROWS(C$4:C81)&lt;=$B$2,INDEX(data!B$3:B$16128,SMALL(IF(data!$D$3:$D$16128='Велчо Атанасов'!$B$1,ROW(data!$A$3:$A$16128)-ROW($A$3)+1),ROWS(C$4:C81))),"")</f>
        <v>-45</v>
      </c>
      <c r="D81" s="7" t="str">
        <f t="array" ref="D81">IF(ROWS(D$4:D81)&lt;=$B$2,INDEX(data!E$3:E$16128,SMALL(IF(data!$D$3:$D$16128='Велчо Атанасов'!$B$1,ROW(data!$A$3:$A$16128)-ROW($A$3)+1),ROWS(D$4:D81))),"")</f>
        <v>към 20.04</v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IF(ROWS(A$4:A82)&lt;=$B$2,INDEX(data!C$3:C$16128,SMALL(IF(data!$D$3:$D$16128='Велчо Атанасов'!$B$1,ROW(data!$A$3:$A$16128)-ROW($A$3)+1),ROWS(A$4:A82))),"")</f>
        <v>46149</v>
      </c>
      <c r="B82" s="19" t="str">
        <f t="array" ref="B82">IF(ROWS(B$4:B82)&lt;=$B$2,INDEX(data!A$3:A$16128,SMALL(IF(data!$D$3:$D$16128='Велчо Атанасов'!$B$1,ROW(data!$A$3:$A$16128)-ROW($A$3)+1),ROWS(B$4:B82))),"")</f>
        <v>Каса ВАУЧЕРИ</v>
      </c>
      <c r="C82" s="19">
        <f t="array" ref="C82">IF(ROWS(C$4:C82)&lt;=$B$2,INDEX(data!B$3:B$16128,SMALL(IF(data!$D$3:$D$16128='Велчо Атанасов'!$B$1,ROW(data!$A$3:$A$16128)-ROW($A$3)+1),ROWS(C$4:C82))),"")</f>
        <v>-58.6</v>
      </c>
      <c r="D82" s="7" t="str">
        <f t="array" ref="D82">IF(ROWS(D$4:D82)&lt;=$B$2,INDEX(data!E$3:E$16128,SMALL(IF(data!$D$3:$D$16128='Велчо Атанасов'!$B$1,ROW(data!$A$3:$A$16128)-ROW($A$3)+1),ROWS(D$4:D82))),"")</f>
        <v>към 27.04</v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IF(ROWS(A$4:A83)&lt;=$B$2,INDEX(data!C$3:C$16128,SMALL(IF(data!$D$3:$D$16128='Велчо Атанасов'!$B$1,ROW(data!$A$3:$A$16128)-ROW($A$3)+1),ROWS(A$4:A83))),"")</f>
        <v>46150</v>
      </c>
      <c r="B83" s="19" t="str">
        <f t="array" ref="B83">IF(ROWS(B$4:B83)&lt;=$B$2,INDEX(data!A$3:A$16128,SMALL(IF(data!$D$3:$D$16128='Велчо Атанасов'!$B$1,ROW(data!$A$3:$A$16128)-ROW($A$3)+1),ROWS(B$4:B83))),"")</f>
        <v>КАСОВА КНИГА</v>
      </c>
      <c r="C83" s="19">
        <f t="array" ref="C83">IF(ROWS(C$4:C83)&lt;=$B$2,INDEX(data!B$3:B$16128,SMALL(IF(data!$D$3:$D$16128='Велчо Атанасов'!$B$1,ROW(data!$A$3:$A$16128)-ROW($A$3)+1),ROWS(C$4:C83))),"")</f>
        <v>1000</v>
      </c>
      <c r="D83" s="7" t="str">
        <f t="array" ref="D83">IF(ROWS(D$4:D83)&lt;=$B$2,INDEX(data!E$3:E$16128,SMALL(IF(data!$D$3:$D$16128='Велчо Атанасов'!$B$1,ROW(data!$A$3:$A$16128)-ROW($A$3)+1),ROWS(D$4:D83))),"")</f>
        <v>заем</v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IF(ROWS(A$4:A84)&lt;=$B$2,INDEX(data!C$3:C$16128,SMALL(IF(data!$D$3:$D$16128='Велчо Атанасов'!$B$1,ROW(data!$A$3:$A$16128)-ROW($A$3)+1),ROWS(A$4:A84))),"")</f>
        <v>46150</v>
      </c>
      <c r="B84" s="19" t="str">
        <f t="array" ref="B84">IF(ROWS(B$4:B84)&lt;=$B$2,INDEX(data!A$3:A$16128,SMALL(IF(data!$D$3:$D$16128='Велчо Атанасов'!$B$1,ROW(data!$A$3:$A$16128)-ROW($A$3)+1),ROWS(B$4:B84))),"")</f>
        <v>каса ФИКТИВНА</v>
      </c>
      <c r="C84" s="19">
        <f t="array" ref="C84">IF(ROWS(C$4:C84)&lt;=$B$2,INDEX(data!B$3:B$16128,SMALL(IF(data!$D$3:$D$16128='Велчо Атанасов'!$B$1,ROW(data!$A$3:$A$16128)-ROW($A$3)+1),ROWS(C$4:C84))),"")</f>
        <v>-500</v>
      </c>
      <c r="D84" s="7" t="str">
        <f t="array" ref="D84">IF(ROWS(D$4:D84)&lt;=$B$2,INDEX(data!E$3:E$16128,SMALL(IF(data!$D$3:$D$16128='Велчо Атанасов'!$B$1,ROW(data!$A$3:$A$16128)-ROW($A$3)+1),ROWS(D$4:D84))),"")</f>
        <v>Ева от премиите</v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IF(ROWS(A$4:A85)&lt;=$B$2,INDEX(data!C$3:C$16128,SMALL(IF(data!$D$3:$D$16128='Велчо Атанасов'!$B$1,ROW(data!$A$3:$A$16128)-ROW($A$3)+1),ROWS(A$4:A85))),"")</f>
        <v>46150</v>
      </c>
      <c r="B85" s="19" t="str">
        <f t="array" ref="B85">IF(ROWS(B$4:B85)&lt;=$B$2,INDEX(data!A$3:A$16128,SMALL(IF(data!$D$3:$D$16128='Велчо Атанасов'!$B$1,ROW(data!$A$3:$A$16128)-ROW($A$3)+1),ROWS(B$4:B85))),"")</f>
        <v>каса ФИКТИВНА</v>
      </c>
      <c r="C85" s="19">
        <f t="array" ref="C85">IF(ROWS(C$4:C85)&lt;=$B$2,INDEX(data!B$3:B$16128,SMALL(IF(data!$D$3:$D$16128='Велчо Атанасов'!$B$1,ROW(data!$A$3:$A$16128)-ROW($A$3)+1),ROWS(C$4:C85))),"")</f>
        <v>-57.8</v>
      </c>
      <c r="D85" s="7" t="str">
        <f t="array" ref="D85">IF(ROWS(D$4:D85)&lt;=$B$2,INDEX(data!E$3:E$16128,SMALL(IF(data!$D$3:$D$16128='Велчо Атанасов'!$B$1,ROW(data!$A$3:$A$16128)-ROW($A$3)+1),ROWS(D$4:D85))),"")</f>
        <v>платено тото Тихомир</v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IF(ROWS(A$4:A86)&lt;=$B$2,INDEX(data!C$3:C$16128,SMALL(IF(data!$D$3:$D$16128='Велчо Атанасов'!$B$1,ROW(data!$A$3:$A$16128)-ROW($A$3)+1),ROWS(A$4:A86))),"")</f>
        <v>46153</v>
      </c>
      <c r="B86" s="19" t="str">
        <f t="array" ref="B86">IF(ROWS(B$4:B86)&lt;=$B$2,INDEX(data!A$3:A$16128,SMALL(IF(data!$D$3:$D$16128='Велчо Атанасов'!$B$1,ROW(data!$A$3:$A$16128)-ROW($A$3)+1),ROWS(B$4:B86))),"")</f>
        <v>MYPOS Бакалия</v>
      </c>
      <c r="C86" s="19">
        <f t="array" ref="C86">IF(ROWS(C$4:C86)&lt;=$B$2,INDEX(data!B$3:B$16128,SMALL(IF(data!$D$3:$D$16128='Велчо Атанасов'!$B$1,ROW(data!$A$3:$A$16128)-ROW($A$3)+1),ROWS(C$4:C86))),"")</f>
        <v>-16910.03</v>
      </c>
      <c r="D86" s="7" t="str">
        <f t="array" ref="D86">IF(ROWS(D$4:D86)&lt;=$B$2,INDEX(data!E$3:E$16128,SMALL(IF(data!$D$3:$D$16128='Велчо Атанасов'!$B$1,ROW(data!$A$3:$A$16128)-ROW($A$3)+1),ROWS(D$4:D86))),"")</f>
        <v/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IF(ROWS(A$4:A87)&lt;=$B$2,INDEX(data!C$3:C$16128,SMALL(IF(data!$D$3:$D$16128='Велчо Атанасов'!$B$1,ROW(data!$A$3:$A$16128)-ROW($A$3)+1),ROWS(A$4:A87))),"")</f>
        <v>46153</v>
      </c>
      <c r="B87" s="19" t="str">
        <f t="array" ref="B87">IF(ROWS(B$4:B87)&lt;=$B$2,INDEX(data!A$3:A$16128,SMALL(IF(data!$D$3:$D$16128='Велчо Атанасов'!$B$1,ROW(data!$A$3:$A$16128)-ROW($A$3)+1),ROWS(B$4:B87))),"")</f>
        <v>КАСОВА КНИГА</v>
      </c>
      <c r="C87" s="19">
        <f t="array" ref="C87">IF(ROWS(C$4:C87)&lt;=$B$2,INDEX(data!B$3:B$16128,SMALL(IF(data!$D$3:$D$16128='Велчо Атанасов'!$B$1,ROW(data!$A$3:$A$16128)-ROW($A$3)+1),ROWS(C$4:C87))),"")</f>
        <v>1500</v>
      </c>
      <c r="D87" s="7" t="str">
        <f t="array" ref="D87">IF(ROWS(D$4:D87)&lt;=$B$2,INDEX(data!E$3:E$16128,SMALL(IF(data!$D$3:$D$16128='Велчо Атанасов'!$B$1,ROW(data!$A$3:$A$16128)-ROW($A$3)+1),ROWS(D$4:D87))),"")</f>
        <v/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IF(ROWS(A$4:A88)&lt;=$B$2,INDEX(data!C$3:C$16128,SMALL(IF(data!$D$3:$D$16128='Велчо Атанасов'!$B$1,ROW(data!$A$3:$A$16128)-ROW($A$3)+1),ROWS(A$4:A88))),"")</f>
        <v>46153</v>
      </c>
      <c r="B88" s="19" t="str">
        <f t="array" ref="B88">IF(ROWS(B$4:B88)&lt;=$B$2,INDEX(data!A$3:A$16128,SMALL(IF(data!$D$3:$D$16128='Велчо Атанасов'!$B$1,ROW(data!$A$3:$A$16128)-ROW($A$3)+1),ROWS(B$4:B88))),"")</f>
        <v>ПОС ДСК Бакалия</v>
      </c>
      <c r="C88" s="19">
        <f t="array" ref="C88">IF(ROWS(C$4:C88)&lt;=$B$2,INDEX(data!B$3:B$16128,SMALL(IF(data!$D$3:$D$16128='Велчо Атанасов'!$B$1,ROW(data!$A$3:$A$16128)-ROW($A$3)+1),ROWS(C$4:C88))),"")</f>
        <v>-113.71</v>
      </c>
      <c r="D88" s="7" t="str">
        <f t="array" ref="D88">IF(ROWS(D$4:D88)&lt;=$B$2,INDEX(data!E$3:E$16128,SMALL(IF(data!$D$3:$D$16128='Велчо Атанасов'!$B$1,ROW(data!$A$3:$A$16128)-ROW($A$3)+1),ROWS(D$4:D88))),"")</f>
        <v/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IF(ROWS(A$4:A89)&lt;=$B$2,INDEX(data!C$3:C$16128,SMALL(IF(data!$D$3:$D$16128='Велчо Атанасов'!$B$1,ROW(data!$A$3:$A$16128)-ROW($A$3)+1),ROWS(A$4:A89))),"")</f>
        <v>46157</v>
      </c>
      <c r="B89" s="19" t="str">
        <f t="array" ref="B89">IF(ROWS(B$4:B89)&lt;=$B$2,INDEX(data!A$3:A$16128,SMALL(IF(data!$D$3:$D$16128='Велчо Атанасов'!$B$1,ROW(data!$A$3:$A$16128)-ROW($A$3)+1),ROWS(B$4:B89))),"")</f>
        <v>Каса ВАУЧЕРИ</v>
      </c>
      <c r="C89" s="19">
        <f t="array" ref="C89">IF(ROWS(C$4:C89)&lt;=$B$2,INDEX(data!B$3:B$16128,SMALL(IF(data!$D$3:$D$16128='Велчо Атанасов'!$B$1,ROW(data!$A$3:$A$16128)-ROW($A$3)+1),ROWS(C$4:C89))),"")</f>
        <v>-11</v>
      </c>
      <c r="D89" s="7" t="str">
        <f t="array" ref="D89">IF(ROWS(D$4:D89)&lt;=$B$2,INDEX(data!E$3:E$16128,SMALL(IF(data!$D$3:$D$16128='Велчо Атанасов'!$B$1,ROW(data!$A$3:$A$16128)-ROW($A$3)+1),ROWS(D$4:D89))),"")</f>
        <v/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IF(ROWS(A$4:A90)&lt;=$B$2,INDEX(data!C$3:C$16128,SMALL(IF(data!$D$3:$D$16128='Велчо Атанасов'!$B$1,ROW(data!$A$3:$A$16128)-ROW($A$3)+1),ROWS(A$4:A90))),"")</f>
        <v>46160</v>
      </c>
      <c r="B90" s="19" t="str">
        <f t="array" ref="B90">IF(ROWS(B$4:B90)&lt;=$B$2,INDEX(data!A$3:A$16128,SMALL(IF(data!$D$3:$D$16128='Велчо Атанасов'!$B$1,ROW(data!$A$3:$A$16128)-ROW($A$3)+1),ROWS(B$4:B90))),"")</f>
        <v>MYPOS Бакалия</v>
      </c>
      <c r="C90" s="19">
        <f t="array" ref="C90">IF(ROWS(C$4:C90)&lt;=$B$2,INDEX(data!B$3:B$16128,SMALL(IF(data!$D$3:$D$16128='Велчо Атанасов'!$B$1,ROW(data!$A$3:$A$16128)-ROW($A$3)+1),ROWS(C$4:C90))),"")</f>
        <v>-17668.37</v>
      </c>
      <c r="D90" s="7" t="str">
        <f t="array" ref="D90">IF(ROWS(D$4:D90)&lt;=$B$2,INDEX(data!E$3:E$16128,SMALL(IF(data!$D$3:$D$16128='Велчо Атанасов'!$B$1,ROW(data!$A$3:$A$16128)-ROW($A$3)+1),ROWS(D$4:D90))),"")</f>
        <v/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IF(ROWS(A$4:A91)&lt;=$B$2,INDEX(data!C$3:C$16128,SMALL(IF(data!$D$3:$D$16128='Велчо Атанасов'!$B$1,ROW(data!$A$3:$A$16128)-ROW($A$3)+1),ROWS(A$4:A91))),"")</f>
        <v>46161</v>
      </c>
      <c r="B91" s="19" t="str">
        <f t="array" ref="B91">IF(ROWS(B$4:B91)&lt;=$B$2,INDEX(data!A$3:A$16128,SMALL(IF(data!$D$3:$D$16128='Велчо Атанасов'!$B$1,ROW(data!$A$3:$A$16128)-ROW($A$3)+1),ROWS(B$4:B91))),"")</f>
        <v>КАСОВА КНИГА</v>
      </c>
      <c r="C91" s="19">
        <f t="array" ref="C91">IF(ROWS(C$4:C91)&lt;=$B$2,INDEX(data!B$3:B$16128,SMALL(IF(data!$D$3:$D$16128='Велчо Атанасов'!$B$1,ROW(data!$A$3:$A$16128)-ROW($A$3)+1),ROWS(C$4:C91))),"")</f>
        <v>1000</v>
      </c>
      <c r="D91" s="7" t="str">
        <f t="array" ref="D91">IF(ROWS(D$4:D91)&lt;=$B$2,INDEX(data!E$3:E$16128,SMALL(IF(data!$D$3:$D$16128='Велчо Атанасов'!$B$1,ROW(data!$A$3:$A$16128)-ROW($A$3)+1),ROWS(D$4:D91))),"")</f>
        <v>заем</v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IF(ROWS(A$4:A92)&lt;=$B$2,INDEX(data!C$3:C$16128,SMALL(IF(data!$D$3:$D$16128='Велчо Атанасов'!$B$1,ROW(data!$A$3:$A$16128)-ROW($A$3)+1),ROWS(A$4:A92))),"")</f>
        <v>46162</v>
      </c>
      <c r="B92" s="19" t="str">
        <f t="array" ref="B92">IF(ROWS(B$4:B92)&lt;=$B$2,INDEX(data!A$3:A$16128,SMALL(IF(data!$D$3:$D$16128='Велчо Атанасов'!$B$1,ROW(data!$A$3:$A$16128)-ROW($A$3)+1),ROWS(B$4:B92))),"")</f>
        <v>Каса ВАУЧЕРИ</v>
      </c>
      <c r="C92" s="19">
        <f t="array" ref="C92">IF(ROWS(C$4:C92)&lt;=$B$2,INDEX(data!B$3:B$16128,SMALL(IF(data!$D$3:$D$16128='Велчо Атанасов'!$B$1,ROW(data!$A$3:$A$16128)-ROW($A$3)+1),ROWS(C$4:C92))),"")</f>
        <v>700</v>
      </c>
      <c r="D92" s="7" t="str">
        <f t="array" ref="D92">IF(ROWS(D$4:D92)&lt;=$B$2,INDEX(data!E$3:E$16128,SMALL(IF(data!$D$3:$D$16128='Велчо Атанасов'!$B$1,ROW(data!$A$3:$A$16128)-ROW($A$3)+1),ROWS(D$4:D92))),"")</f>
        <v>ваучери персонал</v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IF(ROWS(A$4:A93)&lt;=$B$2,INDEX(data!C$3:C$16128,SMALL(IF(data!$D$3:$D$16128='Велчо Атанасов'!$B$1,ROW(data!$A$3:$A$16128)-ROW($A$3)+1),ROWS(A$4:A93))),"")</f>
        <v>46163</v>
      </c>
      <c r="B93" s="19" t="str">
        <f t="array" ref="B93">IF(ROWS(B$4:B93)&lt;=$B$2,INDEX(data!A$3:A$16128,SMALL(IF(data!$D$3:$D$16128='Велчо Атанасов'!$B$1,ROW(data!$A$3:$A$16128)-ROW($A$3)+1),ROWS(B$4:B93))),"")</f>
        <v>Каса ВАУЧЕРИ</v>
      </c>
      <c r="C93" s="19">
        <f t="array" ref="C93">IF(ROWS(C$4:C93)&lt;=$B$2,INDEX(data!B$3:B$16128,SMALL(IF(data!$D$3:$D$16128='Велчо Атанасов'!$B$1,ROW(data!$A$3:$A$16128)-ROW($A$3)+1),ROWS(C$4:C93))),"")</f>
        <v>-45.5</v>
      </c>
      <c r="D93" s="7" t="str">
        <f t="array" ref="D93">IF(ROWS(D$4:D93)&lt;=$B$2,INDEX(data!E$3:E$16128,SMALL(IF(data!$D$3:$D$16128='Велчо Атанасов'!$B$1,ROW(data!$A$3:$A$16128)-ROW($A$3)+1),ROWS(D$4:D93))),"")</f>
        <v/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IF(ROWS(A$4:A94)&lt;=$B$2,INDEX(data!C$3:C$16128,SMALL(IF(data!$D$3:$D$16128='Велчо Атанасов'!$B$1,ROW(data!$A$3:$A$16128)-ROW($A$3)+1),ROWS(A$4:A94))),"")</f>
        <v>46167</v>
      </c>
      <c r="B94" s="19" t="str">
        <f t="array" ref="B94">IF(ROWS(B$4:B94)&lt;=$B$2,INDEX(data!A$3:A$16128,SMALL(IF(data!$D$3:$D$16128='Велчо Атанасов'!$B$1,ROW(data!$A$3:$A$16128)-ROW($A$3)+1),ROWS(B$4:B94))),"")</f>
        <v>MYPOS Бакалия</v>
      </c>
      <c r="C94" s="19">
        <f t="array" ref="C94">IF(ROWS(C$4:C94)&lt;=$B$2,INDEX(data!B$3:B$16128,SMALL(IF(data!$D$3:$D$16128='Велчо Атанасов'!$B$1,ROW(data!$A$3:$A$16128)-ROW($A$3)+1),ROWS(C$4:C94))),"")</f>
        <v>-17548.87</v>
      </c>
      <c r="D94" s="7" t="str">
        <f t="array" ref="D94">IF(ROWS(D$4:D94)&lt;=$B$2,INDEX(data!E$3:E$16128,SMALL(IF(data!$D$3:$D$16128='Велчо Атанасов'!$B$1,ROW(data!$A$3:$A$16128)-ROW($A$3)+1),ROWS(D$4:D94))),"")</f>
        <v/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>
        <f t="array" ref="A95">IF(ROWS(A$4:A95)&lt;=$B$2,INDEX(data!C$3:C$16128,SMALL(IF(data!$D$3:$D$16128='Велчо Атанасов'!$B$1,ROW(data!$A$3:$A$16128)-ROW($A$3)+1),ROWS(A$4:A95))),"")</f>
        <v>46169</v>
      </c>
      <c r="B95" s="19" t="str">
        <f t="array" ref="B95">IF(ROWS(B$4:B95)&lt;=$B$2,INDEX(data!A$3:A$16128,SMALL(IF(data!$D$3:$D$16128='Велчо Атанасов'!$B$1,ROW(data!$A$3:$A$16128)-ROW($A$3)+1),ROWS(B$4:B95))),"")</f>
        <v>каса ФИКТИВНА</v>
      </c>
      <c r="C95" s="19">
        <f t="array" ref="C95">IF(ROWS(C$4:C95)&lt;=$B$2,INDEX(data!B$3:B$16128,SMALL(IF(data!$D$3:$D$16128='Велчо Атанасов'!$B$1,ROW(data!$A$3:$A$16128)-ROW($A$3)+1),ROWS(C$4:C95))),"")</f>
        <v>-11.1</v>
      </c>
      <c r="D95" s="7" t="str">
        <f t="array" ref="D95">IF(ROWS(D$4:D95)&lt;=$B$2,INDEX(data!E$3:E$16128,SMALL(IF(data!$D$3:$D$16128='Велчо Атанасов'!$B$1,ROW(data!$A$3:$A$16128)-ROW($A$3)+1),ROWS(D$4:D95))),"")</f>
        <v>платено тото</v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>
        <f t="array" ref="A96">IF(ROWS(A$4:A96)&lt;=$B$2,INDEX(data!C$3:C$16128,SMALL(IF(data!$D$3:$D$16128='Велчо Атанасов'!$B$1,ROW(data!$A$3:$A$16128)-ROW($A$3)+1),ROWS(A$4:A96))),"")</f>
        <v>46171</v>
      </c>
      <c r="B96" s="19" t="str">
        <f t="array" ref="B96">IF(ROWS(B$4:B96)&lt;=$B$2,INDEX(data!A$3:A$16128,SMALL(IF(data!$D$3:$D$16128='Велчо Атанасов'!$B$1,ROW(data!$A$3:$A$16128)-ROW($A$3)+1),ROWS(B$4:B96))),"")</f>
        <v>КАСОВА КНИГА</v>
      </c>
      <c r="C96" s="19">
        <f t="array" ref="C96">IF(ROWS(C$4:C96)&lt;=$B$2,INDEX(data!B$3:B$16128,SMALL(IF(data!$D$3:$D$16128='Велчо Атанасов'!$B$1,ROW(data!$A$3:$A$16128)-ROW($A$3)+1),ROWS(C$4:C96))),"")</f>
        <v>2500</v>
      </c>
      <c r="D96" s="7" t="str">
        <f t="array" ref="D96">IF(ROWS(D$4:D96)&lt;=$B$2,INDEX(data!E$3:E$16128,SMALL(IF(data!$D$3:$D$16128='Велчо Атанасов'!$B$1,ROW(data!$A$3:$A$16128)-ROW($A$3)+1),ROWS(D$4:D96))),"")</f>
        <v>заем</v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>
        <f t="array" ref="A97">IF(ROWS(A$4:A97)&lt;=$B$2,INDEX(data!C$3:C$16128,SMALL(IF(data!$D$3:$D$16128='Велчо Атанасов'!$B$1,ROW(data!$A$3:$A$16128)-ROW($A$3)+1),ROWS(A$4:A97))),"")</f>
        <v>46174</v>
      </c>
      <c r="B97" s="19" t="str">
        <f t="array" ref="B97">IF(ROWS(B$4:B97)&lt;=$B$2,INDEX(data!A$3:A$16128,SMALL(IF(data!$D$3:$D$16128='Велчо Атанасов'!$B$1,ROW(data!$A$3:$A$16128)-ROW($A$3)+1),ROWS(B$4:B97))),"")</f>
        <v>MYPOS Бакалия</v>
      </c>
      <c r="C97" s="19">
        <f t="array" ref="C97">IF(ROWS(C$4:C97)&lt;=$B$2,INDEX(data!B$3:B$16128,SMALL(IF(data!$D$3:$D$16128='Велчо Атанасов'!$B$1,ROW(data!$A$3:$A$16128)-ROW($A$3)+1),ROWS(C$4:C97))),"")</f>
        <v>-14873.24</v>
      </c>
      <c r="D97" s="7" t="str">
        <f t="array" ref="D97">IF(ROWS(D$4:D97)&lt;=$B$2,INDEX(data!E$3:E$16128,SMALL(IF(data!$D$3:$D$16128='Велчо Атанасов'!$B$1,ROW(data!$A$3:$A$16128)-ROW($A$3)+1),ROWS(D$4:D97))),"")</f>
        <v/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>
        <f t="array" ref="A98">IF(ROWS(A$4:A98)&lt;=$B$2,INDEX(data!C$3:C$16128,SMALL(IF(data!$D$3:$D$16128='Велчо Атанасов'!$B$1,ROW(data!$A$3:$A$16128)-ROW($A$3)+1),ROWS(A$4:A98))),"")</f>
        <v>46175</v>
      </c>
      <c r="B98" s="19" t="str">
        <f t="array" ref="B98">IF(ROWS(B$4:B98)&lt;=$B$2,INDEX(data!A$3:A$16128,SMALL(IF(data!$D$3:$D$16128='Велчо Атанасов'!$B$1,ROW(data!$A$3:$A$16128)-ROW($A$3)+1),ROWS(B$4:B98))),"")</f>
        <v>ПОС ДСК Бакалия</v>
      </c>
      <c r="C98" s="19">
        <f t="array" ref="C98">IF(ROWS(C$4:C98)&lt;=$B$2,INDEX(data!B$3:B$16128,SMALL(IF(data!$D$3:$D$16128='Велчо Атанасов'!$B$1,ROW(data!$A$3:$A$16128)-ROW($A$3)+1),ROWS(C$4:C98))),"")</f>
        <v>-968.54</v>
      </c>
      <c r="D98" s="7" t="str">
        <f t="array" ref="D98">IF(ROWS(D$4:D98)&lt;=$B$2,INDEX(data!E$3:E$16128,SMALL(IF(data!$D$3:$D$16128='Велчо Атанасов'!$B$1,ROW(data!$A$3:$A$16128)-ROW($A$3)+1),ROWS(D$4:D98))),"")</f>
        <v/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>
        <f t="array" ref="A99">IF(ROWS(A$4:A99)&lt;=$B$2,INDEX(data!C$3:C$16128,SMALL(IF(data!$D$3:$D$16128='Велчо Атанасов'!$B$1,ROW(data!$A$3:$A$16128)-ROW($A$3)+1),ROWS(A$4:A99))),"")</f>
        <v>46176</v>
      </c>
      <c r="B99" s="19" t="str">
        <f t="array" ref="B99">IF(ROWS(B$4:B99)&lt;=$B$2,INDEX(data!A$3:A$16128,SMALL(IF(data!$D$3:$D$16128='Велчо Атанасов'!$B$1,ROW(data!$A$3:$A$16128)-ROW($A$3)+1),ROWS(B$4:B99))),"")</f>
        <v>Каса ВАУЧЕРИ</v>
      </c>
      <c r="C99" s="19">
        <f t="array" ref="C99">IF(ROWS(C$4:C99)&lt;=$B$2,INDEX(data!B$3:B$16128,SMALL(IF(data!$D$3:$D$16128='Велчо Атанасов'!$B$1,ROW(data!$A$3:$A$16128)-ROW($A$3)+1),ROWS(C$4:C99))),"")</f>
        <v>-61.97</v>
      </c>
      <c r="D99" s="7" t="str">
        <f t="array" ref="D99">IF(ROWS(D$4:D99)&lt;=$B$2,INDEX(data!E$3:E$16128,SMALL(IF(data!$D$3:$D$16128='Велчо Атанасов'!$B$1,ROW(data!$A$3:$A$16128)-ROW($A$3)+1),ROWS(D$4:D99))),"")</f>
        <v>към 25.05</v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>
        <f t="array" ref="A100">IF(ROWS(A$4:A100)&lt;=$B$2,INDEX(data!C$3:C$16128,SMALL(IF(data!$D$3:$D$16128='Велчо Атанасов'!$B$1,ROW(data!$A$3:$A$16128)-ROW($A$3)+1),ROWS(A$4:A100))),"")</f>
        <v>46177</v>
      </c>
      <c r="B100" s="19" t="str">
        <f t="array" ref="B100">IF(ROWS(B$4:B100)&lt;=$B$2,INDEX(data!A$3:A$16128,SMALL(IF(data!$D$3:$D$16128='Велчо Атанасов'!$B$1,ROW(data!$A$3:$A$16128)-ROW($A$3)+1),ROWS(B$4:B100))),"")</f>
        <v>каса ФИКТИВНА</v>
      </c>
      <c r="C100" s="19">
        <f t="array" ref="C100">IF(ROWS(C$4:C100)&lt;=$B$2,INDEX(data!B$3:B$16128,SMALL(IF(data!$D$3:$D$16128='Велчо Атанасов'!$B$1,ROW(data!$A$3:$A$16128)-ROW($A$3)+1),ROWS(C$4:C100))),"")</f>
        <v>-340</v>
      </c>
      <c r="D100" s="7" t="str">
        <f t="array" ref="D100">IF(ROWS(D$4:D100)&lt;=$B$2,INDEX(data!E$3:E$16128,SMALL(IF(data!$D$3:$D$16128='Велчо Атанасов'!$B$1,ROW(data!$A$3:$A$16128)-ROW($A$3)+1),ROWS(D$4:D100))),"")</f>
        <v>Ева от премиите</v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>
        <f t="array" ref="A101">IF(ROWS(A$4:A101)&lt;=$B$2,INDEX(data!C$3:C$16128,SMALL(IF(data!$D$3:$D$16128='Велчо Атанасов'!$B$1,ROW(data!$A$3:$A$16128)-ROW($A$3)+1),ROWS(A$4:A101))),"")</f>
        <v>46181</v>
      </c>
      <c r="B101" s="19" t="str">
        <f t="array" ref="B101">IF(ROWS(B$4:B101)&lt;=$B$2,INDEX(data!A$3:A$16128,SMALL(IF(data!$D$3:$D$16128='Велчо Атанасов'!$B$1,ROW(data!$A$3:$A$16128)-ROW($A$3)+1),ROWS(B$4:B101))),"")</f>
        <v>КАСОВА КНИГА</v>
      </c>
      <c r="C101" s="19">
        <f t="array" ref="C101">IF(ROWS(C$4:C101)&lt;=$B$2,INDEX(data!B$3:B$16128,SMALL(IF(data!$D$3:$D$16128='Велчо Атанасов'!$B$1,ROW(data!$A$3:$A$16128)-ROW($A$3)+1),ROWS(C$4:C101))),"")</f>
        <v>1000</v>
      </c>
      <c r="D101" s="7" t="str">
        <f t="array" ref="D101">IF(ROWS(D$4:D101)&lt;=$B$2,INDEX(data!E$3:E$16128,SMALL(IF(data!$D$3:$D$16128='Велчо Атанасов'!$B$1,ROW(data!$A$3:$A$16128)-ROW($A$3)+1),ROWS(D$4:D101))),"")</f>
        <v>заем</v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>
        <f t="array" ref="A102">IF(ROWS(A$4:A102)&lt;=$B$2,INDEX(data!C$3:C$16128,SMALL(IF(data!$D$3:$D$16128='Велчо Атанасов'!$B$1,ROW(data!$A$3:$A$16128)-ROW($A$3)+1),ROWS(A$4:A102))),"")</f>
        <v>46182</v>
      </c>
      <c r="B102" s="19" t="str">
        <f t="array" ref="B102">IF(ROWS(B$4:B102)&lt;=$B$2,INDEX(data!A$3:A$16128,SMALL(IF(data!$D$3:$D$16128='Велчо Атанасов'!$B$1,ROW(data!$A$3:$A$16128)-ROW($A$3)+1),ROWS(B$4:B102))),"")</f>
        <v>MYPOS Бакалия</v>
      </c>
      <c r="C102" s="19">
        <f t="array" ref="C102">IF(ROWS(C$4:C102)&lt;=$B$2,INDEX(data!B$3:B$16128,SMALL(IF(data!$D$3:$D$16128='Велчо Атанасов'!$B$1,ROW(data!$A$3:$A$16128)-ROW($A$3)+1),ROWS(C$4:C102))),"")</f>
        <v>-16656.85</v>
      </c>
      <c r="D102" s="7" t="str">
        <f t="array" ref="D102">IF(ROWS(D$4:D102)&lt;=$B$2,INDEX(data!E$3:E$16128,SMALL(IF(data!$D$3:$D$16128='Велчо Атанасов'!$B$1,ROW(data!$A$3:$A$16128)-ROW($A$3)+1),ROWS(D$4:D102))),"")</f>
        <v/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>
        <f t="array" ref="A103">IF(ROWS(A$4:A103)&lt;=$B$2,INDEX(data!C$3:C$16128,SMALL(IF(data!$D$3:$D$16128='Велчо Атанасов'!$B$1,ROW(data!$A$3:$A$16128)-ROW($A$3)+1),ROWS(A$4:A103))),"")</f>
        <v>46182</v>
      </c>
      <c r="B103" s="19" t="str">
        <f t="array" ref="B103">IF(ROWS(B$4:B103)&lt;=$B$2,INDEX(data!A$3:A$16128,SMALL(IF(data!$D$3:$D$16128='Велчо Атанасов'!$B$1,ROW(data!$A$3:$A$16128)-ROW($A$3)+1),ROWS(B$4:B103))),"")</f>
        <v>ПОС ДСК Бакалия</v>
      </c>
      <c r="C103" s="19">
        <f t="array" ref="C103">IF(ROWS(C$4:C103)&lt;=$B$2,INDEX(data!B$3:B$16128,SMALL(IF(data!$D$3:$D$16128='Велчо Атанасов'!$B$1,ROW(data!$A$3:$A$16128)-ROW($A$3)+1),ROWS(C$4:C103))),"")</f>
        <v>-1681.01</v>
      </c>
      <c r="D103" s="7" t="str">
        <f t="array" ref="D103">IF(ROWS(D$4:D103)&lt;=$B$2,INDEX(data!E$3:E$16128,SMALL(IF(data!$D$3:$D$16128='Велчо Атанасов'!$B$1,ROW(data!$A$3:$A$16128)-ROW($A$3)+1),ROWS(D$4:D103))),"")</f>
        <v/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>
        <f t="array" ref="A104">IF(ROWS(A$4:A104)&lt;=$B$2,INDEX(data!C$3:C$16128,SMALL(IF(data!$D$3:$D$16128='Велчо Атанасов'!$B$1,ROW(data!$A$3:$A$16128)-ROW($A$3)+1),ROWS(A$4:A104))),"")</f>
        <v>46183</v>
      </c>
      <c r="B104" s="19" t="str">
        <f t="array" ref="B104">IF(ROWS(B$4:B104)&lt;=$B$2,INDEX(data!A$3:A$16128,SMALL(IF(data!$D$3:$D$16128='Велчо Атанасов'!$B$1,ROW(data!$A$3:$A$16128)-ROW($A$3)+1),ROWS(B$4:B104))),"")</f>
        <v>ПОС ДСК Бакалия</v>
      </c>
      <c r="C104" s="19">
        <f t="array" ref="C104">IF(ROWS(C$4:C104)&lt;=$B$2,INDEX(data!B$3:B$16128,SMALL(IF(data!$D$3:$D$16128='Велчо Атанасов'!$B$1,ROW(data!$A$3:$A$16128)-ROW($A$3)+1),ROWS(C$4:C104))),"")</f>
        <v>968.54</v>
      </c>
      <c r="D104" s="7" t="str">
        <f t="array" ref="D104">IF(ROWS(D$4:D104)&lt;=$B$2,INDEX(data!E$3:E$16128,SMALL(IF(data!$D$3:$D$16128='Велчо Атанасов'!$B$1,ROW(data!$A$3:$A$16128)-ROW($A$3)+1),ROWS(D$4:D104))),"")</f>
        <v>с обратен знак дубл пос 25-31,04</v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>
        <f t="array" ref="A105">IF(ROWS(A$4:A105)&lt;=$B$2,INDEX(data!C$3:C$16128,SMALL(IF(data!$D$3:$D$16128='Велчо Атанасов'!$B$1,ROW(data!$A$3:$A$16128)-ROW($A$3)+1),ROWS(A$4:A105))),"")</f>
        <v>46183</v>
      </c>
      <c r="B105" s="19" t="str">
        <f t="array" ref="B105">IF(ROWS(B$4:B105)&lt;=$B$2,INDEX(data!A$3:A$16128,SMALL(IF(data!$D$3:$D$16128='Велчо Атанасов'!$B$1,ROW(data!$A$3:$A$16128)-ROW($A$3)+1),ROWS(B$4:B105))),"")</f>
        <v>КАСОВА КНИГА</v>
      </c>
      <c r="C105" s="19">
        <f t="array" ref="C105">IF(ROWS(C$4:C105)&lt;=$B$2,INDEX(data!B$3:B$16128,SMALL(IF(data!$D$3:$D$16128='Велчо Атанасов'!$B$1,ROW(data!$A$3:$A$16128)-ROW($A$3)+1),ROWS(C$4:C105))),"")</f>
        <v>1500</v>
      </c>
      <c r="D105" s="7" t="str">
        <f t="array" ref="D105">IF(ROWS(D$4:D105)&lt;=$B$2,INDEX(data!E$3:E$16128,SMALL(IF(data!$D$3:$D$16128='Велчо Атанасов'!$B$1,ROW(data!$A$3:$A$16128)-ROW($A$3)+1),ROWS(D$4:D105))),"")</f>
        <v>заем</v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>
        <f t="array" ref="A106">IF(ROWS(A$4:A106)&lt;=$B$2,INDEX(data!C$3:C$16128,SMALL(IF(data!$D$3:$D$16128='Велчо Атанасов'!$B$1,ROW(data!$A$3:$A$16128)-ROW($A$3)+1),ROWS(A$4:A106))),"")</f>
        <v>46188</v>
      </c>
      <c r="B106" s="19" t="str">
        <f t="array" ref="B106">IF(ROWS(B$4:B106)&lt;=$B$2,INDEX(data!A$3:A$16128,SMALL(IF(data!$D$3:$D$16128='Велчо Атанасов'!$B$1,ROW(data!$A$3:$A$16128)-ROW($A$3)+1),ROWS(B$4:B106))),"")</f>
        <v>MYPOS Бакалия</v>
      </c>
      <c r="C106" s="19">
        <f t="array" ref="C106">IF(ROWS(C$4:C106)&lt;=$B$2,INDEX(data!B$3:B$16128,SMALL(IF(data!$D$3:$D$16128='Велчо Атанасов'!$B$1,ROW(data!$A$3:$A$16128)-ROW($A$3)+1),ROWS(C$4:C106))),"")</f>
        <v>-17266.75</v>
      </c>
      <c r="D106" s="7" t="str">
        <f t="array" ref="D106">IF(ROWS(D$4:D106)&lt;=$B$2,INDEX(data!E$3:E$16128,SMALL(IF(data!$D$3:$D$16128='Велчо Атанасов'!$B$1,ROW(data!$A$3:$A$16128)-ROW($A$3)+1),ROWS(D$4:D106))),"")</f>
        <v/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>
        <f t="array" ref="A107">IF(ROWS(A$4:A107)&lt;=$B$2,INDEX(data!C$3:C$16128,SMALL(IF(data!$D$3:$D$16128='Велчо Атанасов'!$B$1,ROW(data!$A$3:$A$16128)-ROW($A$3)+1),ROWS(A$4:A107))),"")</f>
        <v>46188</v>
      </c>
      <c r="B107" s="19" t="str">
        <f t="array" ref="B107">IF(ROWS(B$4:B107)&lt;=$B$2,INDEX(data!A$3:A$16128,SMALL(IF(data!$D$3:$D$16128='Велчо Атанасов'!$B$1,ROW(data!$A$3:$A$16128)-ROW($A$3)+1),ROWS(B$4:B107))),"")</f>
        <v>каса ФИКТИВНА</v>
      </c>
      <c r="C107" s="19">
        <f t="array" ref="C107">IF(ROWS(C$4:C107)&lt;=$B$2,INDEX(data!B$3:B$16128,SMALL(IF(data!$D$3:$D$16128='Велчо Атанасов'!$B$1,ROW(data!$A$3:$A$16128)-ROW($A$3)+1),ROWS(C$4:C107))),"")</f>
        <v>-52.7</v>
      </c>
      <c r="D107" s="7" t="str">
        <f t="array" ref="D107">IF(ROWS(D$4:D107)&lt;=$B$2,INDEX(data!E$3:E$16128,SMALL(IF(data!$D$3:$D$16128='Велчо Атанасов'!$B$1,ROW(data!$A$3:$A$16128)-ROW($A$3)+1),ROWS(D$4:D107))),"")</f>
        <v>платено тото шефа</v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>
        <f t="array" ref="A108">IF(ROWS(A$4:A108)&lt;=$B$2,INDEX(data!C$3:C$16128,SMALL(IF(data!$D$3:$D$16128='Велчо Атанасов'!$B$1,ROW(data!$A$3:$A$16128)-ROW($A$3)+1),ROWS(A$4:A108))),"")</f>
        <v>46188</v>
      </c>
      <c r="B108" s="19" t="str">
        <f t="array" ref="B108">IF(ROWS(B$4:B108)&lt;=$B$2,INDEX(data!A$3:A$16128,SMALL(IF(data!$D$3:$D$16128='Велчо Атанасов'!$B$1,ROW(data!$A$3:$A$16128)-ROW($A$3)+1),ROWS(B$4:B108))),"")</f>
        <v>ЗАЕМ</v>
      </c>
      <c r="C108" s="19">
        <f t="array" ref="C108">IF(ROWS(C$4:C108)&lt;=$B$2,INDEX(data!B$3:B$16128,SMALL(IF(data!$D$3:$D$16128='Велчо Атанасов'!$B$1,ROW(data!$A$3:$A$16128)-ROW($A$3)+1),ROWS(C$4:C108))),"")</f>
        <v>82115.69</v>
      </c>
      <c r="D108" s="7" t="str">
        <f t="array" ref="D108">IF(ROWS(D$4:D108)&lt;=$B$2,INDEX(data!E$3:E$16128,SMALL(IF(data!$D$3:$D$16128='Велчо Атанасов'!$B$1,ROW(data!$A$3:$A$16128)-ROW($A$3)+1),ROWS(D$4:D108))),"")</f>
        <v>Салдо склад + вътр. п-не</v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>
        <f t="array" ref="A109">IF(ROWS(A$4:A109)&lt;=$B$2,INDEX(data!C$3:C$16128,SMALL(IF(data!$D$3:$D$16128='Велчо Атанасов'!$B$1,ROW(data!$A$3:$A$16128)-ROW($A$3)+1),ROWS(A$4:A109))),"")</f>
        <v>46190</v>
      </c>
      <c r="B109" s="19" t="str">
        <f t="array" ref="B109">IF(ROWS(B$4:B109)&lt;=$B$2,INDEX(data!A$3:A$16128,SMALL(IF(data!$D$3:$D$16128='Велчо Атанасов'!$B$1,ROW(data!$A$3:$A$16128)-ROW($A$3)+1),ROWS(B$4:B109))),"")</f>
        <v>Каса ВАУЧЕРИ</v>
      </c>
      <c r="C109" s="19">
        <f t="array" ref="C109">IF(ROWS(C$4:C109)&lt;=$B$2,INDEX(data!B$3:B$16128,SMALL(IF(data!$D$3:$D$16128='Велчо Атанасов'!$B$1,ROW(data!$A$3:$A$16128)-ROW($A$3)+1),ROWS(C$4:C109))),"")</f>
        <v>-14.07</v>
      </c>
      <c r="D109" s="7" t="str">
        <f t="array" ref="D109">IF(ROWS(D$4:D109)&lt;=$B$2,INDEX(data!E$3:E$16128,SMALL(IF(data!$D$3:$D$16128='Велчо Атанасов'!$B$1,ROW(data!$A$3:$A$16128)-ROW($A$3)+1),ROWS(D$4:D109))),"")</f>
        <v>за 01-07.06</v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>
        <f t="array" ref="A110">IF(ROWS(A$4:A110)&lt;=$B$2,INDEX(data!C$3:C$16128,SMALL(IF(data!$D$3:$D$16128='Велчо Атанасов'!$B$1,ROW(data!$A$3:$A$16128)-ROW($A$3)+1),ROWS(A$4:A110))),"")</f>
        <v>46192</v>
      </c>
      <c r="B110" s="19" t="str">
        <f t="array" ref="B110">IF(ROWS(B$4:B110)&lt;=$B$2,INDEX(data!A$3:A$16128,SMALL(IF(data!$D$3:$D$16128='Велчо Атанасов'!$B$1,ROW(data!$A$3:$A$16128)-ROW($A$3)+1),ROWS(B$4:B110))),"")</f>
        <v>Каса ВАУЧЕРИ</v>
      </c>
      <c r="C110" s="19">
        <f t="array" ref="C110">IF(ROWS(C$4:C110)&lt;=$B$2,INDEX(data!B$3:B$16128,SMALL(IF(data!$D$3:$D$16128='Велчо Атанасов'!$B$1,ROW(data!$A$3:$A$16128)-ROW($A$3)+1),ROWS(C$4:C110))),"")</f>
        <v>700</v>
      </c>
      <c r="D110" s="7" t="str">
        <f t="array" ref="D110">IF(ROWS(D$4:D110)&lt;=$B$2,INDEX(data!E$3:E$16128,SMALL(IF(data!$D$3:$D$16128='Велчо Атанасов'!$B$1,ROW(data!$A$3:$A$16128)-ROW($A$3)+1),ROWS(D$4:D110))),"")</f>
        <v>ваучери персонал</v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>
        <f t="array" ref="A111">IF(ROWS(A$4:A111)&lt;=$B$2,INDEX(data!C$3:C$16128,SMALL(IF(data!$D$3:$D$16128='Велчо Атанасов'!$B$1,ROW(data!$A$3:$A$16128)-ROW($A$3)+1),ROWS(A$4:A111))),"")</f>
        <v>46195</v>
      </c>
      <c r="B111" s="19" t="str">
        <f t="array" ref="B111">IF(ROWS(B$4:B111)&lt;=$B$2,INDEX(data!A$3:A$16128,SMALL(IF(data!$D$3:$D$16128='Велчо Атанасов'!$B$1,ROW(data!$A$3:$A$16128)-ROW($A$3)+1),ROWS(B$4:B111))),"")</f>
        <v>MYPOS Бакалия</v>
      </c>
      <c r="C111" s="19">
        <f t="array" ref="C111">IF(ROWS(C$4:C111)&lt;=$B$2,INDEX(data!B$3:B$16128,SMALL(IF(data!$D$3:$D$16128='Велчо Атанасов'!$B$1,ROW(data!$A$3:$A$16128)-ROW($A$3)+1),ROWS(C$4:C111))),"")</f>
        <v>-16029.97</v>
      </c>
      <c r="D111" s="7" t="str">
        <f t="array" ref="D111">IF(ROWS(D$4:D111)&lt;=$B$2,INDEX(data!E$3:E$16128,SMALL(IF(data!$D$3:$D$16128='Велчо Атанасов'!$B$1,ROW(data!$A$3:$A$16128)-ROW($A$3)+1),ROWS(D$4:D111))),"")</f>
        <v/>
      </c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>
        <f t="array" ref="A112">IF(ROWS(A$4:A112)&lt;=$B$2,INDEX(data!C$3:C$16128,SMALL(IF(data!$D$3:$D$16128='Велчо Атанасов'!$B$1,ROW(data!$A$3:$A$16128)-ROW($A$3)+1),ROWS(A$4:A112))),"")</f>
        <v>46195</v>
      </c>
      <c r="B112" s="19" t="str">
        <f t="array" ref="B112">IF(ROWS(B$4:B112)&lt;=$B$2,INDEX(data!A$3:A$16128,SMALL(IF(data!$D$3:$D$16128='Велчо Атанасов'!$B$1,ROW(data!$A$3:$A$16128)-ROW($A$3)+1),ROWS(B$4:B112))),"")</f>
        <v>КАСОВА КНИГА</v>
      </c>
      <c r="C112" s="19">
        <f t="array" ref="C112">IF(ROWS(C$4:C112)&lt;=$B$2,INDEX(data!B$3:B$16128,SMALL(IF(data!$D$3:$D$16128='Велчо Атанасов'!$B$1,ROW(data!$A$3:$A$16128)-ROW($A$3)+1),ROWS(C$4:C112))),"")</f>
        <v>1000</v>
      </c>
      <c r="D112" s="7" t="str">
        <f t="array" ref="D112">IF(ROWS(D$4:D112)&lt;=$B$2,INDEX(data!E$3:E$16128,SMALL(IF(data!$D$3:$D$16128='Велчо Атанасов'!$B$1,ROW(data!$A$3:$A$16128)-ROW($A$3)+1),ROWS(D$4:D112))),"")</f>
        <v>заем</v>
      </c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3">
        <f t="array" ref="A113">IF(ROWS(A$4:A113)&lt;=$B$2,INDEX(data!C$3:C$16128,SMALL(IF(data!$D$3:$D$16128='Велчо Атанасов'!$B$1,ROW(data!$A$3:$A$16128)-ROW($A$3)+1),ROWS(A$4:A113))),"")</f>
        <v>46199</v>
      </c>
      <c r="B113" s="19" t="str">
        <f t="array" ref="B113">IF(ROWS(B$4:B113)&lt;=$B$2,INDEX(data!A$3:A$16128,SMALL(IF(data!$D$3:$D$16128='Велчо Атанасов'!$B$1,ROW(data!$A$3:$A$16128)-ROW($A$3)+1),ROWS(B$4:B113))),"")</f>
        <v>КАСОВА КНИГА</v>
      </c>
      <c r="C113" s="19">
        <f t="array" ref="C113">IF(ROWS(C$4:C113)&lt;=$B$2,INDEX(data!B$3:B$16128,SMALL(IF(data!$D$3:$D$16128='Велчо Атанасов'!$B$1,ROW(data!$A$3:$A$16128)-ROW($A$3)+1),ROWS(C$4:C113))),"")</f>
        <v>2000</v>
      </c>
      <c r="D113" s="7" t="str">
        <f t="array" ref="D113">IF(ROWS(D$4:D113)&lt;=$B$2,INDEX(data!E$3:E$16128,SMALL(IF(data!$D$3:$D$16128='Велчо Атанасов'!$B$1,ROW(data!$A$3:$A$16128)-ROW($A$3)+1),ROWS(D$4:D113))),"")</f>
        <v>заем</v>
      </c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3">
        <f t="array" ref="A114">IF(ROWS(A$4:A114)&lt;=$B$2,INDEX(data!C$3:C$16128,SMALL(IF(data!$D$3:$D$16128='Велчо Атанасов'!$B$1,ROW(data!$A$3:$A$16128)-ROW($A$3)+1),ROWS(A$4:A114))),"")</f>
        <v>46202</v>
      </c>
      <c r="B114" s="19" t="str">
        <f t="array" ref="B114">IF(ROWS(B$4:B114)&lt;=$B$2,INDEX(data!A$3:A$16128,SMALL(IF(data!$D$3:$D$16128='Велчо Атанасов'!$B$1,ROW(data!$A$3:$A$16128)-ROW($A$3)+1),ROWS(B$4:B114))),"")</f>
        <v>MYPOS Бакалия</v>
      </c>
      <c r="C114" s="19">
        <f t="array" ref="C114">IF(ROWS(C$4:C114)&lt;=$B$2,INDEX(data!B$3:B$16128,SMALL(IF(data!$D$3:$D$16128='Велчо Атанасов'!$B$1,ROW(data!$A$3:$A$16128)-ROW($A$3)+1),ROWS(C$4:C114))),"")</f>
        <v>-16990.94</v>
      </c>
      <c r="D114" s="7" t="str">
        <f t="array" ref="D114">IF(ROWS(D$4:D114)&lt;=$B$2,INDEX(data!E$3:E$16128,SMALL(IF(data!$D$3:$D$16128='Велчо Атанасов'!$B$1,ROW(data!$A$3:$A$16128)-ROW($A$3)+1),ROWS(D$4:D114))),"")</f>
        <v/>
      </c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>
        <f t="array" ref="A115">IF(ROWS(A$4:A115)&lt;=$B$2,INDEX(data!C$3:C$16128,SMALL(IF(data!$D$3:$D$16128='Велчо Атанасов'!$B$1,ROW(data!$A$3:$A$16128)-ROW($A$3)+1),ROWS(A$4:A115))),"")</f>
        <v>46204</v>
      </c>
      <c r="B115" s="19" t="str">
        <f t="array" ref="B115">IF(ROWS(B$4:B115)&lt;=$B$2,INDEX(data!A$3:A$16128,SMALL(IF(data!$D$3:$D$16128='Велчо Атанасов'!$B$1,ROW(data!$A$3:$A$16128)-ROW($A$3)+1),ROWS(B$4:B115))),"")</f>
        <v>КАСОВА КНИГА</v>
      </c>
      <c r="C115" s="19">
        <f t="array" ref="C115">IF(ROWS(C$4:C115)&lt;=$B$2,INDEX(data!B$3:B$16128,SMALL(IF(data!$D$3:$D$16128='Велчо Атанасов'!$B$1,ROW(data!$A$3:$A$16128)-ROW($A$3)+1),ROWS(C$4:C115))),"")</f>
        <v>1000</v>
      </c>
      <c r="D115" s="7" t="str">
        <f t="array" ref="D115">IF(ROWS(D$4:D115)&lt;=$B$2,INDEX(data!E$3:E$16128,SMALL(IF(data!$D$3:$D$16128='Велчо Атанасов'!$B$1,ROW(data!$A$3:$A$16128)-ROW($A$3)+1),ROWS(D$4:D115))),"")</f>
        <v>заем</v>
      </c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>
        <f t="array" ref="A116">IF(ROWS(A$4:A116)&lt;=$B$2,INDEX(data!C$3:C$16128,SMALL(IF(data!$D$3:$D$16128='Велчо Атанасов'!$B$1,ROW(data!$A$3:$A$16128)-ROW($A$3)+1),ROWS(A$4:A116))),"")</f>
        <v>46204</v>
      </c>
      <c r="B116" s="19" t="str">
        <f t="array" ref="B116">IF(ROWS(B$4:B116)&lt;=$B$2,INDEX(data!A$3:A$16128,SMALL(IF(data!$D$3:$D$16128='Велчо Атанасов'!$B$1,ROW(data!$A$3:$A$16128)-ROW($A$3)+1),ROWS(B$4:B116))),"")</f>
        <v>каса ФИКТИВНА</v>
      </c>
      <c r="C116" s="19">
        <f t="array" ref="C116">IF(ROWS(C$4:C116)&lt;=$B$2,INDEX(data!B$3:B$16128,SMALL(IF(data!$D$3:$D$16128='Велчо Атанасов'!$B$1,ROW(data!$A$3:$A$16128)-ROW($A$3)+1),ROWS(C$4:C116))),"")</f>
        <v>-57.4</v>
      </c>
      <c r="D116" s="7" t="str">
        <f t="array" ref="D116">IF(ROWS(D$4:D116)&lt;=$B$2,INDEX(data!E$3:E$16128,SMALL(IF(data!$D$3:$D$16128='Велчо Атанасов'!$B$1,ROW(data!$A$3:$A$16128)-ROW($A$3)+1),ROWS(D$4:D116))),"")</f>
        <v>платено тот шефа</v>
      </c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>
        <f t="array" ref="A117">IF(ROWS(A$4:A117)&lt;=$B$2,INDEX(data!C$3:C$16128,SMALL(IF(data!$D$3:$D$16128='Велчо Атанасов'!$B$1,ROW(data!$A$3:$A$16128)-ROW($A$3)+1),ROWS(A$4:A117))),"")</f>
        <v>46209</v>
      </c>
      <c r="B117" s="19" t="str">
        <f t="array" ref="B117">IF(ROWS(B$4:B117)&lt;=$B$2,INDEX(data!A$3:A$16128,SMALL(IF(data!$D$3:$D$16128='Велчо Атанасов'!$B$1,ROW(data!$A$3:$A$16128)-ROW($A$3)+1),ROWS(B$4:B117))),"")</f>
        <v>MYPOS Бакалия</v>
      </c>
      <c r="C117" s="19">
        <f t="array" ref="C117">IF(ROWS(C$4:C117)&lt;=$B$2,INDEX(data!B$3:B$16128,SMALL(IF(data!$D$3:$D$16128='Велчо Атанасов'!$B$1,ROW(data!$A$3:$A$16128)-ROW($A$3)+1),ROWS(C$4:C117))),"")</f>
        <v>-14939.7</v>
      </c>
      <c r="D117" s="7" t="str">
        <f t="array" ref="D117">IF(ROWS(D$4:D117)&lt;=$B$2,INDEX(data!E$3:E$16128,SMALL(IF(data!$D$3:$D$16128='Велчо Атанасов'!$B$1,ROW(data!$A$3:$A$16128)-ROW($A$3)+1),ROWS(D$4:D117))),"")</f>
        <v/>
      </c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>
        <f t="array" ref="A118">IF(ROWS(A$4:A118)&lt;=$B$2,INDEX(data!C$3:C$16128,SMALL(IF(data!$D$3:$D$16128='Велчо Атанасов'!$B$1,ROW(data!$A$3:$A$16128)-ROW($A$3)+1),ROWS(A$4:A118))),"")</f>
        <v>46209</v>
      </c>
      <c r="B118" s="19" t="str">
        <f t="array" ref="B118">IF(ROWS(B$4:B118)&lt;=$B$2,INDEX(data!A$3:A$16128,SMALL(IF(data!$D$3:$D$16128='Велчо Атанасов'!$B$1,ROW(data!$A$3:$A$16128)-ROW($A$3)+1),ROWS(B$4:B118))),"")</f>
        <v>Каса ВАУЧЕРИ</v>
      </c>
      <c r="C118" s="19">
        <f t="array" ref="C118">IF(ROWS(C$4:C118)&lt;=$B$2,INDEX(data!B$3:B$16128,SMALL(IF(data!$D$3:$D$16128='Велчо Атанасов'!$B$1,ROW(data!$A$3:$A$16128)-ROW($A$3)+1),ROWS(C$4:C118))),"")</f>
        <v>-20.77</v>
      </c>
      <c r="D118" s="7" t="str">
        <f t="array" ref="D118">IF(ROWS(D$4:D118)&lt;=$B$2,INDEX(data!E$3:E$16128,SMALL(IF(data!$D$3:$D$16128='Велчо Атанасов'!$B$1,ROW(data!$A$3:$A$16128)-ROW($A$3)+1),ROWS(D$4:D118))),"")</f>
        <v>към 22.06</v>
      </c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>
        <f t="array" ref="A119">IF(ROWS(A$4:A119)&lt;=$B$2,INDEX(data!C$3:C$16128,SMALL(IF(data!$D$3:$D$16128='Велчо Атанасов'!$B$1,ROW(data!$A$3:$A$16128)-ROW($A$3)+1),ROWS(A$4:A119))),"")</f>
        <v>46216</v>
      </c>
      <c r="B119" s="19" t="str">
        <f t="array" ref="B119">IF(ROWS(B$4:B119)&lt;=$B$2,INDEX(data!A$3:A$16128,SMALL(IF(data!$D$3:$D$16128='Велчо Атанасов'!$B$1,ROW(data!$A$3:$A$16128)-ROW($A$3)+1),ROWS(B$4:B119))),"")</f>
        <v>КАСОВА КНИГА</v>
      </c>
      <c r="C119" s="19">
        <f t="array" ref="C119">IF(ROWS(C$4:C119)&lt;=$B$2,INDEX(data!B$3:B$16128,SMALL(IF(data!$D$3:$D$16128='Велчо Атанасов'!$B$1,ROW(data!$A$3:$A$16128)-ROW($A$3)+1),ROWS(C$4:C119))),"")</f>
        <v>1500</v>
      </c>
      <c r="D119" s="7" t="str">
        <f t="array" ref="D119">IF(ROWS(D$4:D119)&lt;=$B$2,INDEX(data!E$3:E$16128,SMALL(IF(data!$D$3:$D$16128='Велчо Атанасов'!$B$1,ROW(data!$A$3:$A$16128)-ROW($A$3)+1),ROWS(D$4:D119))),"")</f>
        <v>заем</v>
      </c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>
        <f t="array" ref="A120">IF(ROWS(A$4:A120)&lt;=$B$2,INDEX(data!C$3:C$16128,SMALL(IF(data!$D$3:$D$16128='Велчо Атанасов'!$B$1,ROW(data!$A$3:$A$16128)-ROW($A$3)+1),ROWS(A$4:A120))),"")</f>
        <v>46219</v>
      </c>
      <c r="B120" s="19" t="str">
        <f t="array" ref="B120">IF(ROWS(B$4:B120)&lt;=$B$2,INDEX(data!A$3:A$16128,SMALL(IF(data!$D$3:$D$16128='Велчо Атанасов'!$B$1,ROW(data!$A$3:$A$16128)-ROW($A$3)+1),ROWS(B$4:B120))),"")</f>
        <v>Каса ВАУЧЕРИ</v>
      </c>
      <c r="C120" s="19">
        <f t="array" ref="C120">IF(ROWS(C$4:C120)&lt;=$B$2,INDEX(data!B$3:B$16128,SMALL(IF(data!$D$3:$D$16128='Велчо Атанасов'!$B$1,ROW(data!$A$3:$A$16128)-ROW($A$3)+1),ROWS(C$4:C120))),"")</f>
        <v>-19.36</v>
      </c>
      <c r="D120" s="7" t="str">
        <f t="array" ref="D120">IF(ROWS(D$4:D120)&lt;=$B$2,INDEX(data!E$3:E$16128,SMALL(IF(data!$D$3:$D$16128='Велчо Атанасов'!$B$1,ROW(data!$A$3:$A$16128)-ROW($A$3)+1),ROWS(D$4:D120))),"")</f>
        <v>за 22-28.06</v>
      </c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3">
        <f t="array" ref="A121">IF(ROWS(A$4:A121)&lt;=$B$2,INDEX(data!C$3:C$16128,SMALL(IF(data!$D$3:$D$16128='Велчо Атанасов'!$B$1,ROW(data!$A$3:$A$16128)-ROW($A$3)+1),ROWS(A$4:A121))),"")</f>
        <v>46219</v>
      </c>
      <c r="B121" s="19" t="str">
        <f t="array" ref="B121">IF(ROWS(B$4:B121)&lt;=$B$2,INDEX(data!A$3:A$16128,SMALL(IF(data!$D$3:$D$16128='Велчо Атанасов'!$B$1,ROW(data!$A$3:$A$16128)-ROW($A$3)+1),ROWS(B$4:B121))),"")</f>
        <v>Каса ВАУЧЕРИ</v>
      </c>
      <c r="C121" s="19">
        <f t="array" ref="C121">IF(ROWS(C$4:C121)&lt;=$B$2,INDEX(data!B$3:B$16128,SMALL(IF(data!$D$3:$D$16128='Велчо Атанасов'!$B$1,ROW(data!$A$3:$A$16128)-ROW($A$3)+1),ROWS(C$4:C121))),"")</f>
        <v>-8.08</v>
      </c>
      <c r="D121" s="7" t="str">
        <f t="array" ref="D121">IF(ROWS(D$4:D121)&lt;=$B$2,INDEX(data!E$3:E$16128,SMALL(IF(data!$D$3:$D$16128='Велчо Атанасов'!$B$1,ROW(data!$A$3:$A$16128)-ROW($A$3)+1),ROWS(D$4:D121))),"")</f>
        <v>за 29.06-05.07</v>
      </c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3">
        <f t="array" ref="A122">IF(ROWS(A$4:A122)&lt;=$B$2,INDEX(data!C$3:C$16128,SMALL(IF(data!$D$3:$D$16128='Велчо Атанасов'!$B$1,ROW(data!$A$3:$A$16128)-ROW($A$3)+1),ROWS(A$4:A122))),"")</f>
        <v>46220</v>
      </c>
      <c r="B122" s="19" t="str">
        <f t="array" ref="B122">IF(ROWS(B$4:B122)&lt;=$B$2,INDEX(data!A$3:A$16128,SMALL(IF(data!$D$3:$D$16128='Велчо Атанасов'!$B$1,ROW(data!$A$3:$A$16128)-ROW($A$3)+1),ROWS(B$4:B122))),"")</f>
        <v>каса ФИКТИВНА</v>
      </c>
      <c r="C122" s="19">
        <f t="array" ref="C122">IF(ROWS(C$4:C122)&lt;=$B$2,INDEX(data!B$3:B$16128,SMALL(IF(data!$D$3:$D$16128='Велчо Атанасов'!$B$1,ROW(data!$A$3:$A$16128)-ROW($A$3)+1),ROWS(C$4:C122))),"")</f>
        <v>-20.3</v>
      </c>
      <c r="D122" s="7" t="str">
        <f t="array" ref="D122">IF(ROWS(D$4:D122)&lt;=$B$2,INDEX(data!E$3:E$16128,SMALL(IF(data!$D$3:$D$16128='Велчо Атанасов'!$B$1,ROW(data!$A$3:$A$16128)-ROW($A$3)+1),ROWS(D$4:D122))),"")</f>
        <v>платено тот шефа</v>
      </c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>
        <f t="array" ref="A123">IF(ROWS(A$4:A123)&lt;=$B$2,INDEX(data!C$3:C$16128,SMALL(IF(data!$D$3:$D$16128='Велчо Атанасов'!$B$1,ROW(data!$A$3:$A$16128)-ROW($A$3)+1),ROWS(A$4:A123))),"")</f>
        <v>46223</v>
      </c>
      <c r="B123" s="19" t="str">
        <f t="array" ref="B123">IF(ROWS(B$4:B123)&lt;=$B$2,INDEX(data!A$3:A$16128,SMALL(IF(data!$D$3:$D$16128='Велчо Атанасов'!$B$1,ROW(data!$A$3:$A$16128)-ROW($A$3)+1),ROWS(B$4:B123))),"")</f>
        <v>Каса ВАУЧЕРИ</v>
      </c>
      <c r="C123" s="19">
        <f t="array" ref="C123">IF(ROWS(C$4:C123)&lt;=$B$2,INDEX(data!B$3:B$16128,SMALL(IF(data!$D$3:$D$16128='Велчо Атанасов'!$B$1,ROW(data!$A$3:$A$16128)-ROW($A$3)+1),ROWS(C$4:C123))),"")</f>
        <v>600</v>
      </c>
      <c r="D123" s="7" t="str">
        <f t="array" ref="D123">IF(ROWS(D$4:D123)&lt;=$B$2,INDEX(data!E$3:E$16128,SMALL(IF(data!$D$3:$D$16128='Велчо Атанасов'!$B$1,ROW(data!$A$3:$A$16128)-ROW($A$3)+1),ROWS(D$4:D123))),"")</f>
        <v>ваучери персонал</v>
      </c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>
        <f t="array" ref="A124">IF(ROWS(A$4:A124)&lt;=$B$2,INDEX(data!C$3:C$16128,SMALL(IF(data!$D$3:$D$16128='Велчо Атанасов'!$B$1,ROW(data!$A$3:$A$16128)-ROW($A$3)+1),ROWS(A$4:A124))),"")</f>
        <v>46223</v>
      </c>
      <c r="B124" s="19" t="str">
        <f t="array" ref="B124">IF(ROWS(B$4:B124)&lt;=$B$2,INDEX(data!A$3:A$16128,SMALL(IF(data!$D$3:$D$16128='Велчо Атанасов'!$B$1,ROW(data!$A$3:$A$16128)-ROW($A$3)+1),ROWS(B$4:B124))),"")</f>
        <v>MYPOS Бакалия</v>
      </c>
      <c r="C124" s="19">
        <f t="array" ref="C124">IF(ROWS(C$4:C124)&lt;=$B$2,INDEX(data!B$3:B$16128,SMALL(IF(data!$D$3:$D$16128='Велчо Атанасов'!$B$1,ROW(data!$A$3:$A$16128)-ROW($A$3)+1),ROWS(C$4:C124))),"")</f>
        <v>-31338.25</v>
      </c>
      <c r="D124" s="7" t="str">
        <f t="array" ref="D124">IF(ROWS(D$4:D124)&lt;=$B$2,INDEX(data!E$3:E$16128,SMALL(IF(data!$D$3:$D$16128='Велчо Атанасов'!$B$1,ROW(data!$A$3:$A$16128)-ROW($A$3)+1),ROWS(D$4:D124))),"")</f>
        <v/>
      </c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>
        <f t="array" ref="A125">IF(ROWS(A$4:A125)&lt;=$B$2,INDEX(data!C$3:C$16128,SMALL(IF(data!$D$3:$D$16128='Велчо Атанасов'!$B$1,ROW(data!$A$3:$A$16128)-ROW($A$3)+1),ROWS(A$4:A125))),"")</f>
        <v>46224</v>
      </c>
      <c r="B125" s="19" t="str">
        <f t="array" ref="B125">IF(ROWS(B$4:B125)&lt;=$B$2,INDEX(data!A$3:A$16128,SMALL(IF(data!$D$3:$D$16128='Велчо Атанасов'!$B$1,ROW(data!$A$3:$A$16128)-ROW($A$3)+1),ROWS(B$4:B125))),"")</f>
        <v>ЗАЕМ</v>
      </c>
      <c r="C125" s="19">
        <f t="array" ref="C125">IF(ROWS(C$4:C125)&lt;=$B$2,INDEX(data!B$3:B$16128,SMALL(IF(data!$D$3:$D$16128='Велчо Атанасов'!$B$1,ROW(data!$A$3:$A$16128)-ROW($A$3)+1),ROWS(C$4:C125))),"")</f>
        <v>74834.57</v>
      </c>
      <c r="D125" s="7" t="str">
        <f t="array" ref="D125">IF(ROWS(D$4:D125)&lt;=$B$2,INDEX(data!E$3:E$16128,SMALL(IF(data!$D$3:$D$16128='Велчо Атанасов'!$B$1,ROW(data!$A$3:$A$16128)-ROW($A$3)+1),ROWS(D$4:D125))),"")</f>
        <v>Салдо склад + вътр. п-не</v>
      </c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3">
        <f t="array" ref="A126">IF(ROWS(A$4:A126)&lt;=$B$2,INDEX(data!C$3:C$16128,SMALL(IF(data!$D$3:$D$16128='Велчо Атанасов'!$B$1,ROW(data!$A$3:$A$16128)-ROW($A$3)+1),ROWS(A$4:A126))),"")</f>
        <v>46227</v>
      </c>
      <c r="B126" s="19" t="str">
        <f t="array" ref="B126">IF(ROWS(B$4:B126)&lt;=$B$2,INDEX(data!A$3:A$16128,SMALL(IF(data!$D$3:$D$16128='Велчо Атанасов'!$B$1,ROW(data!$A$3:$A$16128)-ROW($A$3)+1),ROWS(B$4:B126))),"")</f>
        <v>КАСОВА КНИГА</v>
      </c>
      <c r="C126" s="19">
        <f t="array" ref="C126">IF(ROWS(C$4:C126)&lt;=$B$2,INDEX(data!B$3:B$16128,SMALL(IF(data!$D$3:$D$16128='Велчо Атанасов'!$B$1,ROW(data!$A$3:$A$16128)-ROW($A$3)+1),ROWS(C$4:C126))),"")</f>
        <v>1500</v>
      </c>
      <c r="D126" s="7" t="str">
        <f t="array" ref="D126">IF(ROWS(D$4:D126)&lt;=$B$2,INDEX(data!E$3:E$16128,SMALL(IF(data!$D$3:$D$16128='Велчо Атанасов'!$B$1,ROW(data!$A$3:$A$16128)-ROW($A$3)+1),ROWS(D$4:D126))),"")</f>
        <v>заем</v>
      </c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3">
        <f t="array" ref="A127">IF(ROWS(A$4:A127)&lt;=$B$2,INDEX(data!C$3:C$16128,SMALL(IF(data!$D$3:$D$16128='Велчо Атанасов'!$B$1,ROW(data!$A$3:$A$16128)-ROW($A$3)+1),ROWS(A$4:A127))),"")</f>
        <v>46231</v>
      </c>
      <c r="B127" s="19" t="str">
        <f t="array" ref="B127">IF(ROWS(B$4:B127)&lt;=$B$2,INDEX(data!A$3:A$16128,SMALL(IF(data!$D$3:$D$16128='Велчо Атанасов'!$B$1,ROW(data!$A$3:$A$16128)-ROW($A$3)+1),ROWS(B$4:B127))),"")</f>
        <v>MYPOS Бакалия</v>
      </c>
      <c r="C127" s="19">
        <f t="array" ref="C127">IF(ROWS(C$4:C127)&lt;=$B$2,INDEX(data!B$3:B$16128,SMALL(IF(data!$D$3:$D$16128='Велчо Атанасов'!$B$1,ROW(data!$A$3:$A$16128)-ROW($A$3)+1),ROWS(C$4:C127))),"")</f>
        <v>-14254.95</v>
      </c>
      <c r="D127" s="7" t="str">
        <f t="array" ref="D127">IF(ROWS(D$4:D127)&lt;=$B$2,INDEX(data!E$3:E$16128,SMALL(IF(data!$D$3:$D$16128='Велчо Атанасов'!$B$1,ROW(data!$A$3:$A$16128)-ROW($A$3)+1),ROWS(D$4:D127))),"")</f>
        <v/>
      </c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3">
        <f t="array" ref="A128">IF(ROWS(A$4:A128)&lt;=$B$2,INDEX(data!C$3:C$16128,SMALL(IF(data!$D$3:$D$16128='Велчо Атанасов'!$B$1,ROW(data!$A$3:$A$16128)-ROW($A$3)+1),ROWS(A$4:A128))),"")</f>
        <v>46237</v>
      </c>
      <c r="B128" s="19" t="str">
        <f t="array" ref="B128">IF(ROWS(B$4:B128)&lt;=$B$2,INDEX(data!A$3:A$16128,SMALL(IF(data!$D$3:$D$16128='Велчо Атанасов'!$B$1,ROW(data!$A$3:$A$16128)-ROW($A$3)+1),ROWS(B$4:B128))),"")</f>
        <v>MYPOS Бакалия</v>
      </c>
      <c r="C128" s="19">
        <f t="array" ref="C128">IF(ROWS(C$4:C128)&lt;=$B$2,INDEX(data!B$3:B$16128,SMALL(IF(data!$D$3:$D$16128='Велчо Атанасов'!$B$1,ROW(data!$A$3:$A$16128)-ROW($A$3)+1),ROWS(C$4:C128))),"")</f>
        <v>-15141.01</v>
      </c>
      <c r="D128" s="7" t="str">
        <f t="array" ref="D128">IF(ROWS(D$4:D128)&lt;=$B$2,INDEX(data!E$3:E$16128,SMALL(IF(data!$D$3:$D$16128='Велчо Атанасов'!$B$1,ROW(data!$A$3:$A$16128)-ROW($A$3)+1),ROWS(D$4:D128))),"")</f>
        <v/>
      </c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3">
        <f t="array" ref="A129">IF(ROWS(A$4:A129)&lt;=$B$2,INDEX(data!C$3:C$16128,SMALL(IF(data!$D$3:$D$16128='Велчо Атанасов'!$B$1,ROW(data!$A$3:$A$16128)-ROW($A$3)+1),ROWS(A$4:A129))),"")</f>
        <v>46237</v>
      </c>
      <c r="B129" s="19" t="str">
        <f t="array" ref="B129">IF(ROWS(B$4:B129)&lt;=$B$2,INDEX(data!A$3:A$16128,SMALL(IF(data!$D$3:$D$16128='Велчо Атанасов'!$B$1,ROW(data!$A$3:$A$16128)-ROW($A$3)+1),ROWS(B$4:B129))),"")</f>
        <v>КАСОВА КНИГА</v>
      </c>
      <c r="C129" s="19">
        <f t="array" ref="C129">IF(ROWS(C$4:C129)&lt;=$B$2,INDEX(data!B$3:B$16128,SMALL(IF(data!$D$3:$D$16128='Велчо Атанасов'!$B$1,ROW(data!$A$3:$A$16128)-ROW($A$3)+1),ROWS(C$4:C129))),"")</f>
        <v>1000</v>
      </c>
      <c r="D129" s="7" t="str">
        <f t="array" ref="D129">IF(ROWS(D$4:D129)&lt;=$B$2,INDEX(data!E$3:E$16128,SMALL(IF(data!$D$3:$D$16128='Велчо Атанасов'!$B$1,ROW(data!$A$3:$A$16128)-ROW($A$3)+1),ROWS(D$4:D129))),"")</f>
        <v>заем</v>
      </c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3">
        <f t="array" ref="A130">IF(ROWS(A$4:A130)&lt;=$B$2,INDEX(data!C$3:C$16128,SMALL(IF(data!$D$3:$D$16128='Велчо Атанасов'!$B$1,ROW(data!$A$3:$A$16128)-ROW($A$3)+1),ROWS(A$4:A130))),"")</f>
        <v>46239</v>
      </c>
      <c r="B130" s="19" t="str">
        <f t="array" ref="B130">IF(ROWS(B$4:B130)&lt;=$B$2,INDEX(data!A$3:A$16128,SMALL(IF(data!$D$3:$D$16128='Велчо Атанасов'!$B$1,ROW(data!$A$3:$A$16128)-ROW($A$3)+1),ROWS(B$4:B130))),"")</f>
        <v>КАСОВА КНИГА</v>
      </c>
      <c r="C130" s="19">
        <f t="array" ref="C130">IF(ROWS(C$4:C130)&lt;=$B$2,INDEX(data!B$3:B$16128,SMALL(IF(data!$D$3:$D$16128='Велчо Атанасов'!$B$1,ROW(data!$A$3:$A$16128)-ROW($A$3)+1),ROWS(C$4:C130))),"")</f>
        <v>700</v>
      </c>
      <c r="D130" s="7" t="str">
        <f t="array" ref="D130">IF(ROWS(D$4:D130)&lt;=$B$2,INDEX(data!E$3:E$16128,SMALL(IF(data!$D$3:$D$16128='Велчо Атанасов'!$B$1,ROW(data!$A$3:$A$16128)-ROW($A$3)+1),ROWS(D$4:D130))),"")</f>
        <v>заем</v>
      </c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3">
        <f t="array" ref="A131">IF(ROWS(A$4:A131)&lt;=$B$2,INDEX(data!C$3:C$16128,SMALL(IF(data!$D$3:$D$16128='Велчо Атанасов'!$B$1,ROW(data!$A$3:$A$16128)-ROW($A$3)+1),ROWS(A$4:A131))),"")</f>
        <v>46239</v>
      </c>
      <c r="B131" s="19" t="str">
        <f t="array" ref="B131">IF(ROWS(B$4:B131)&lt;=$B$2,INDEX(data!A$3:A$16128,SMALL(IF(data!$D$3:$D$16128='Велчо Атанасов'!$B$1,ROW(data!$A$3:$A$16128)-ROW($A$3)+1),ROWS(B$4:B131))),"")</f>
        <v>каса ФИКТИВНА</v>
      </c>
      <c r="C131" s="19">
        <f t="array" ref="C131">IF(ROWS(C$4:C131)&lt;=$B$2,INDEX(data!B$3:B$16128,SMALL(IF(data!$D$3:$D$16128='Велчо Атанасов'!$B$1,ROW(data!$A$3:$A$16128)-ROW($A$3)+1),ROWS(C$4:C131))),"")</f>
        <v>-52.8</v>
      </c>
      <c r="D131" s="7" t="str">
        <f t="array" ref="D131">IF(ROWS(D$4:D131)&lt;=$B$2,INDEX(data!E$3:E$16128,SMALL(IF(data!$D$3:$D$16128='Велчо Атанасов'!$B$1,ROW(data!$A$3:$A$16128)-ROW($A$3)+1),ROWS(D$4:D131))),"")</f>
        <v>платено тото шефа</v>
      </c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3">
        <f t="array" ref="A132">IF(ROWS(A$4:A132)&lt;=$B$2,INDEX(data!C$3:C$16128,SMALL(IF(data!$D$3:$D$16128='Велчо Атанасов'!$B$1,ROW(data!$A$3:$A$16128)-ROW($A$3)+1),ROWS(A$4:A132))),"")</f>
        <v>46239</v>
      </c>
      <c r="B132" s="19" t="str">
        <f t="array" ref="B132">IF(ROWS(B$4:B132)&lt;=$B$2,INDEX(data!A$3:A$16128,SMALL(IF(data!$D$3:$D$16128='Велчо Атанасов'!$B$1,ROW(data!$A$3:$A$16128)-ROW($A$3)+1),ROWS(B$4:B132))),"")</f>
        <v>каса ФИКТИВНА</v>
      </c>
      <c r="C132" s="19">
        <f t="array" ref="C132">IF(ROWS(C$4:C132)&lt;=$B$2,INDEX(data!B$3:B$16128,SMALL(IF(data!$D$3:$D$16128='Велчо Атанасов'!$B$1,ROW(data!$A$3:$A$16128)-ROW($A$3)+1),ROWS(C$4:C132))),"")</f>
        <v>-50</v>
      </c>
      <c r="D132" s="7" t="str">
        <f t="array" ref="D132">IF(ROWS(D$4:D132)&lt;=$B$2,INDEX(data!E$3:E$16128,SMALL(IF(data!$D$3:$D$16128='Велчо Атанасов'!$B$1,ROW(data!$A$3:$A$16128)-ROW($A$3)+1),ROWS(D$4:D132))),"")</f>
        <v>Марчето от заплатата</v>
      </c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3">
        <f t="array" ref="A133">IF(ROWS(A$4:A133)&lt;=$B$2,INDEX(data!C$3:C$16128,SMALL(IF(data!$D$3:$D$16128='Велчо Атанасов'!$B$1,ROW(data!$A$3:$A$16128)-ROW($A$3)+1),ROWS(A$4:A133))),"")</f>
        <v>46244</v>
      </c>
      <c r="B133" s="19" t="str">
        <f t="array" ref="B133">IF(ROWS(B$4:B133)&lt;=$B$2,INDEX(data!A$3:A$16128,SMALL(IF(data!$D$3:$D$16128='Велчо Атанасов'!$B$1,ROW(data!$A$3:$A$16128)-ROW($A$3)+1),ROWS(B$4:B133))),"")</f>
        <v>MYPOS Бакалия</v>
      </c>
      <c r="C133" s="19">
        <f t="array" ref="C133">IF(ROWS(C$4:C133)&lt;=$B$2,INDEX(data!B$3:B$16128,SMALL(IF(data!$D$3:$D$16128='Велчо Атанасов'!$B$1,ROW(data!$A$3:$A$16128)-ROW($A$3)+1),ROWS(C$4:C133))),"")</f>
        <v>-14783.91</v>
      </c>
      <c r="D133" s="7" t="str">
        <f t="array" ref="D133">IF(ROWS(D$4:D133)&lt;=$B$2,INDEX(data!E$3:E$16128,SMALL(IF(data!$D$3:$D$16128='Велчо Атанасов'!$B$1,ROW(data!$A$3:$A$16128)-ROW($A$3)+1),ROWS(D$4:D133))),"")</f>
        <v/>
      </c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3">
        <f t="array" ref="A134">IF(ROWS(A$4:A134)&lt;=$B$2,INDEX(data!C$3:C$16128,SMALL(IF(data!$D$3:$D$16128='Велчо Атанасов'!$B$1,ROW(data!$A$3:$A$16128)-ROW($A$3)+1),ROWS(A$4:A134))),"")</f>
        <v>46244</v>
      </c>
      <c r="B134" s="19" t="str">
        <f t="array" ref="B134">IF(ROWS(B$4:B134)&lt;=$B$2,INDEX(data!A$3:A$16128,SMALL(IF(data!$D$3:$D$16128='Велчо Атанасов'!$B$1,ROW(data!$A$3:$A$16128)-ROW($A$3)+1),ROWS(B$4:B134))),"")</f>
        <v>КАСОВА КНИГА</v>
      </c>
      <c r="C134" s="19">
        <f t="array" ref="C134">IF(ROWS(C$4:C134)&lt;=$B$2,INDEX(data!B$3:B$16128,SMALL(IF(data!$D$3:$D$16128='Велчо Атанасов'!$B$1,ROW(data!$A$3:$A$16128)-ROW($A$3)+1),ROWS(C$4:C134))),"")</f>
        <v>1000</v>
      </c>
      <c r="D134" s="7" t="str">
        <f t="array" ref="D134">IF(ROWS(D$4:D134)&lt;=$B$2,INDEX(data!E$3:E$16128,SMALL(IF(data!$D$3:$D$16128='Велчо Атанасов'!$B$1,ROW(data!$A$3:$A$16128)-ROW($A$3)+1),ROWS(D$4:D134))),"")</f>
        <v>заем</v>
      </c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3">
        <f t="array" ref="A135">IF(ROWS(A$4:A135)&lt;=$B$2,INDEX(data!C$3:C$16128,SMALL(IF(data!$D$3:$D$16128='Велчо Атанасов'!$B$1,ROW(data!$A$3:$A$16128)-ROW($A$3)+1),ROWS(A$4:A135))),"")</f>
        <v>46248</v>
      </c>
      <c r="B135" s="19" t="str">
        <f t="array" ref="B135">IF(ROWS(B$4:B135)&lt;=$B$2,INDEX(data!A$3:A$16128,SMALL(IF(data!$D$3:$D$16128='Велчо Атанасов'!$B$1,ROW(data!$A$3:$A$16128)-ROW($A$3)+1),ROWS(B$4:B135))),"")</f>
        <v>Каса ВАУЧЕРИ</v>
      </c>
      <c r="C135" s="19">
        <f t="array" ref="C135">IF(ROWS(C$4:C135)&lt;=$B$2,INDEX(data!B$3:B$16128,SMALL(IF(data!$D$3:$D$16128='Велчо Атанасов'!$B$1,ROW(data!$A$3:$A$16128)-ROW($A$3)+1),ROWS(C$4:C135))),"")</f>
        <v>-100</v>
      </c>
      <c r="D135" s="7" t="str">
        <f t="array" ref="D135">IF(ROWS(D$4:D135)&lt;=$B$2,INDEX(data!E$3:E$16128,SMALL(IF(data!$D$3:$D$16128='Велчо Атанасов'!$B$1,ROW(data!$A$3:$A$16128)-ROW($A$3)+1),ROWS(D$4:D135))),"")</f>
        <v>към 29.07</v>
      </c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3">
        <f t="array" ref="A136">IF(ROWS(A$4:A136)&lt;=$B$2,INDEX(data!C$3:C$16128,SMALL(IF(data!$D$3:$D$16128='Велчо Атанасов'!$B$1,ROW(data!$A$3:$A$16128)-ROW($A$3)+1),ROWS(A$4:A136))),"")</f>
        <v>46248</v>
      </c>
      <c r="B136" s="19" t="str">
        <f t="array" ref="B136">IF(ROWS(B$4:B136)&lt;=$B$2,INDEX(data!A$3:A$16128,SMALL(IF(data!$D$3:$D$16128='Велчо Атанасов'!$B$1,ROW(data!$A$3:$A$16128)-ROW($A$3)+1),ROWS(B$4:B136))),"")</f>
        <v>Каса ВАУЧЕРИ</v>
      </c>
      <c r="C136" s="19">
        <f t="array" ref="C136">IF(ROWS(C$4:C136)&lt;=$B$2,INDEX(data!B$3:B$16128,SMALL(IF(data!$D$3:$D$16128='Велчо Атанасов'!$B$1,ROW(data!$A$3:$A$16128)-ROW($A$3)+1),ROWS(C$4:C136))),"")</f>
        <v>-31.21</v>
      </c>
      <c r="D136" s="7" t="str">
        <f t="array" ref="D136">IF(ROWS(D$4:D136)&lt;=$B$2,INDEX(data!E$3:E$16128,SMALL(IF(data!$D$3:$D$16128='Велчо Атанасов'!$B$1,ROW(data!$A$3:$A$16128)-ROW($A$3)+1),ROWS(D$4:D136))),"")</f>
        <v>към 03.08</v>
      </c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3">
        <f t="array" ref="A137">IF(ROWS(A$4:A137)&lt;=$B$2,INDEX(data!C$3:C$16128,SMALL(IF(data!$D$3:$D$16128='Велчо Атанасов'!$B$1,ROW(data!$A$3:$A$16128)-ROW($A$3)+1),ROWS(A$4:A137))),"")</f>
        <v>46251</v>
      </c>
      <c r="B137" s="19" t="str">
        <f t="array" ref="B137">IF(ROWS(B$4:B137)&lt;=$B$2,INDEX(data!A$3:A$16128,SMALL(IF(data!$D$3:$D$16128='Велчо Атанасов'!$B$1,ROW(data!$A$3:$A$16128)-ROW($A$3)+1),ROWS(B$4:B137))),"")</f>
        <v>MYPOS Бакалия</v>
      </c>
      <c r="C137" s="19">
        <f t="array" ref="C137">IF(ROWS(C$4:C137)&lt;=$B$2,INDEX(data!B$3:B$16128,SMALL(IF(data!$D$3:$D$16128='Велчо Атанасов'!$B$1,ROW(data!$A$3:$A$16128)-ROW($A$3)+1),ROWS(C$4:C137))),"")</f>
        <v>-15037.84</v>
      </c>
      <c r="D137" s="7" t="str">
        <f t="array" ref="D137">IF(ROWS(D$4:D137)&lt;=$B$2,INDEX(data!E$3:E$16128,SMALL(IF(data!$D$3:$D$16128='Велчо Атанасов'!$B$1,ROW(data!$A$3:$A$16128)-ROW($A$3)+1),ROWS(D$4:D137))),"")</f>
        <v/>
      </c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3">
        <f t="array" ref="A138">IF(ROWS(A$4:A138)&lt;=$B$2,INDEX(data!C$3:C$16128,SMALL(IF(data!$D$3:$D$16128='Велчо Атанасов'!$B$1,ROW(data!$A$3:$A$16128)-ROW($A$3)+1),ROWS(A$4:A138))),"")</f>
        <v>46251</v>
      </c>
      <c r="B138" s="19" t="str">
        <f t="array" ref="B138">IF(ROWS(B$4:B138)&lt;=$B$2,INDEX(data!A$3:A$16128,SMALL(IF(data!$D$3:$D$16128='Велчо Атанасов'!$B$1,ROW(data!$A$3:$A$16128)-ROW($A$3)+1),ROWS(B$4:B138))),"")</f>
        <v>каса ФИКТИВНА</v>
      </c>
      <c r="C138" s="19">
        <f t="array" ref="C138">IF(ROWS(C$4:C138)&lt;=$B$2,INDEX(data!B$3:B$16128,SMALL(IF(data!$D$3:$D$16128='Велчо Атанасов'!$B$1,ROW(data!$A$3:$A$16128)-ROW($A$3)+1),ROWS(C$4:C138))),"")</f>
        <v>-51</v>
      </c>
      <c r="D138" s="7" t="str">
        <f t="array" ref="D138">IF(ROWS(D$4:D138)&lt;=$B$2,INDEX(data!E$3:E$16128,SMALL(IF(data!$D$3:$D$16128='Велчо Атанасов'!$B$1,ROW(data!$A$3:$A$16128)-ROW($A$3)+1),ROWS(D$4:D138))),"")</f>
        <v>карти за гр.транспорт непалци</v>
      </c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3">
        <f t="array" ref="A139">IF(ROWS(A$4:A139)&lt;=$B$2,INDEX(data!C$3:C$16128,SMALL(IF(data!$D$3:$D$16128='Велчо Атанасов'!$B$1,ROW(data!$A$3:$A$16128)-ROW($A$3)+1),ROWS(A$4:A139))),"")</f>
        <v>46253</v>
      </c>
      <c r="B139" s="19" t="str">
        <f t="array" ref="B139">IF(ROWS(B$4:B139)&lt;=$B$2,INDEX(data!A$3:A$16128,SMALL(IF(data!$D$3:$D$16128='Велчо Атанасов'!$B$1,ROW(data!$A$3:$A$16128)-ROW($A$3)+1),ROWS(B$4:B139))),"")</f>
        <v>КАСОВА КНИГА</v>
      </c>
      <c r="C139" s="19">
        <f t="array" ref="C139">IF(ROWS(C$4:C139)&lt;=$B$2,INDEX(data!B$3:B$16128,SMALL(IF(data!$D$3:$D$16128='Велчо Атанасов'!$B$1,ROW(data!$A$3:$A$16128)-ROW($A$3)+1),ROWS(C$4:C139))),"")</f>
        <v>2000</v>
      </c>
      <c r="D139" s="7" t="str">
        <f t="array" ref="D139">IF(ROWS(D$4:D139)&lt;=$B$2,INDEX(data!E$3:E$16128,SMALL(IF(data!$D$3:$D$16128='Велчо Атанасов'!$B$1,ROW(data!$A$3:$A$16128)-ROW($A$3)+1),ROWS(D$4:D139))),"")</f>
        <v>заем</v>
      </c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3">
        <f t="array" ref="A140">IF(ROWS(A$4:A140)&lt;=$B$2,INDEX(data!C$3:C$16128,SMALL(IF(data!$D$3:$D$16128='Велчо Атанасов'!$B$1,ROW(data!$A$3:$A$16128)-ROW($A$3)+1),ROWS(A$4:A140))),"")</f>
        <v>46254</v>
      </c>
      <c r="B140" s="19" t="str">
        <f t="array" ref="B140">IF(ROWS(B$4:B140)&lt;=$B$2,INDEX(data!A$3:A$16128,SMALL(IF(data!$D$3:$D$16128='Велчо Атанасов'!$B$1,ROW(data!$A$3:$A$16128)-ROW($A$3)+1),ROWS(B$4:B140))),"")</f>
        <v>Каса ВАУЧЕРИ</v>
      </c>
      <c r="C140" s="19">
        <f t="array" ref="C140">IF(ROWS(C$4:C140)&lt;=$B$2,INDEX(data!B$3:B$16128,SMALL(IF(data!$D$3:$D$16128='Велчо Атанасов'!$B$1,ROW(data!$A$3:$A$16128)-ROW($A$3)+1),ROWS(C$4:C140))),"")</f>
        <v>-26.85</v>
      </c>
      <c r="D140" s="7" t="str">
        <f t="array" ref="D140">IF(ROWS(D$4:D140)&lt;=$B$2,INDEX(data!E$3:E$16128,SMALL(IF(data!$D$3:$D$16128='Велчо Атанасов'!$B$1,ROW(data!$A$3:$A$16128)-ROW($A$3)+1),ROWS(D$4:D140))),"")</f>
        <v/>
      </c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3">
        <f t="array" ref="A141">IF(ROWS(A$4:A141)&lt;=$B$2,INDEX(data!C$3:C$16128,SMALL(IF(data!$D$3:$D$16128='Велчо Атанасов'!$B$1,ROW(data!$A$3:$A$16128)-ROW($A$3)+1),ROWS(A$4:A141))),"")</f>
        <v>46255</v>
      </c>
      <c r="B141" s="19" t="str">
        <f t="array" ref="B141">IF(ROWS(B$4:B141)&lt;=$B$2,INDEX(data!A$3:A$16128,SMALL(IF(data!$D$3:$D$16128='Велчо Атанасов'!$B$1,ROW(data!$A$3:$A$16128)-ROW($A$3)+1),ROWS(B$4:B141))),"")</f>
        <v>Каса ВАУЧЕРИ</v>
      </c>
      <c r="C141" s="19">
        <f t="array" ref="C141">IF(ROWS(C$4:C141)&lt;=$B$2,INDEX(data!B$3:B$16128,SMALL(IF(data!$D$3:$D$16128='Велчо Атанасов'!$B$1,ROW(data!$A$3:$A$16128)-ROW($A$3)+1),ROWS(C$4:C141))),"")</f>
        <v>600</v>
      </c>
      <c r="D141" s="7" t="str">
        <f t="array" ref="D141">IF(ROWS(D$4:D141)&lt;=$B$2,INDEX(data!E$3:E$16128,SMALL(IF(data!$D$3:$D$16128='Велчо Атанасов'!$B$1,ROW(data!$A$3:$A$16128)-ROW($A$3)+1),ROWS(D$4:D141))),"")</f>
        <v>ваучери персонал</v>
      </c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3">
        <f t="array" ref="A142">IF(ROWS(A$4:A142)&lt;=$B$2,INDEX(data!C$3:C$16128,SMALL(IF(data!$D$3:$D$16128='Велчо Атанасов'!$B$1,ROW(data!$A$3:$A$16128)-ROW($A$3)+1),ROWS(A$4:A142))),"")</f>
        <v>46255</v>
      </c>
      <c r="B142" s="19" t="str">
        <f t="array" ref="B142">IF(ROWS(B$4:B142)&lt;=$B$2,INDEX(data!A$3:A$16128,SMALL(IF(data!$D$3:$D$16128='Велчо Атанасов'!$B$1,ROW(data!$A$3:$A$16128)-ROW($A$3)+1),ROWS(B$4:B142))),"")</f>
        <v>каса ФИКТИВНА</v>
      </c>
      <c r="C142" s="19">
        <f t="array" ref="C142">IF(ROWS(C$4:C142)&lt;=$B$2,INDEX(data!B$3:B$16128,SMALL(IF(data!$D$3:$D$16128='Велчо Атанасов'!$B$1,ROW(data!$A$3:$A$16128)-ROW($A$3)+1),ROWS(C$4:C142))),"")</f>
        <v>-53</v>
      </c>
      <c r="D142" s="7" t="str">
        <f t="array" ref="D142">IF(ROWS(D$4:D142)&lt;=$B$2,INDEX(data!E$3:E$16128,SMALL(IF(data!$D$3:$D$16128='Велчо Атанасов'!$B$1,ROW(data!$A$3:$A$16128)-ROW($A$3)+1),ROWS(D$4:D142))),"")</f>
        <v>платено тото шефа</v>
      </c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3">
        <f t="array" ref="A143">IF(ROWS(A$4:A143)&lt;=$B$2,INDEX(data!C$3:C$16128,SMALL(IF(data!$D$3:$D$16128='Велчо Атанасов'!$B$1,ROW(data!$A$3:$A$16128)-ROW($A$3)+1),ROWS(A$4:A143))),"")</f>
        <v>46258</v>
      </c>
      <c r="B143" s="19" t="str">
        <f t="array" ref="B143">IF(ROWS(B$4:B143)&lt;=$B$2,INDEX(data!A$3:A$16128,SMALL(IF(data!$D$3:$D$16128='Велчо Атанасов'!$B$1,ROW(data!$A$3:$A$16128)-ROW($A$3)+1),ROWS(B$4:B143))),"")</f>
        <v>MYPOS Бакалия</v>
      </c>
      <c r="C143" s="19">
        <f t="array" ref="C143">IF(ROWS(C$4:C143)&lt;=$B$2,INDEX(data!B$3:B$16128,SMALL(IF(data!$D$3:$D$16128='Велчо Атанасов'!$B$1,ROW(data!$A$3:$A$16128)-ROW($A$3)+1),ROWS(C$4:C143))),"")</f>
        <v>-15757.28</v>
      </c>
      <c r="D143" s="7" t="str">
        <f t="array" ref="D143">IF(ROWS(D$4:D143)&lt;=$B$2,INDEX(data!E$3:E$16128,SMALL(IF(data!$D$3:$D$16128='Велчо Атанасов'!$B$1,ROW(data!$A$3:$A$16128)-ROW($A$3)+1),ROWS(D$4:D143))),"")</f>
        <v/>
      </c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3">
        <f t="array" ref="A144">IF(ROWS(A$4:A144)&lt;=$B$2,INDEX(data!C$3:C$16128,SMALL(IF(data!$D$3:$D$16128='Велчо Атанасов'!$B$1,ROW(data!$A$3:$A$16128)-ROW($A$3)+1),ROWS(A$4:A144))),"")</f>
        <v>46258</v>
      </c>
      <c r="B144" s="19" t="str">
        <f t="array" ref="B144">IF(ROWS(B$4:B144)&lt;=$B$2,INDEX(data!A$3:A$16128,SMALL(IF(data!$D$3:$D$16128='Велчо Атанасов'!$B$1,ROW(data!$A$3:$A$16128)-ROW($A$3)+1),ROWS(B$4:B144))),"")</f>
        <v>КАСОВА КНИГА</v>
      </c>
      <c r="C144" s="19">
        <f t="array" ref="C144">IF(ROWS(C$4:C144)&lt;=$B$2,INDEX(data!B$3:B$16128,SMALL(IF(data!$D$3:$D$16128='Велчо Атанасов'!$B$1,ROW(data!$A$3:$A$16128)-ROW($A$3)+1),ROWS(C$4:C144))),"")</f>
        <v>2500</v>
      </c>
      <c r="D144" s="7" t="str">
        <f t="array" ref="D144">IF(ROWS(D$4:D144)&lt;=$B$2,INDEX(data!E$3:E$16128,SMALL(IF(data!$D$3:$D$16128='Велчо Атанасов'!$B$1,ROW(data!$A$3:$A$16128)-ROW($A$3)+1),ROWS(D$4:D144))),"")</f>
        <v>заем</v>
      </c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3" t="str">
        <f t="array" ref="A145">IF(ROWS(A$4:A145)&lt;=$B$2,INDEX(data!C$3:C$16128,SMALL(IF(data!$D$3:$D$16128='Велчо Атанасов'!$B$1,ROW(data!$A$3:$A$16128)-ROW($A$3)+1),ROWS(A$4:A145))),"")</f>
        <v/>
      </c>
      <c r="B145" s="19" t="str">
        <f t="array" ref="B145">IF(ROWS(B$4:B145)&lt;=$B$2,INDEX(data!A$3:A$16128,SMALL(IF(data!$D$3:$D$16128='Велчо Атанасов'!$B$1,ROW(data!$A$3:$A$16128)-ROW($A$3)+1),ROWS(B$4:B145))),"")</f>
        <v/>
      </c>
      <c r="C145" s="19" t="str">
        <f t="array" ref="C145">IF(ROWS(C$4:C145)&lt;=$B$2,INDEX(data!B$3:B$16128,SMALL(IF(data!$D$3:$D$16128='Велчо Атанасов'!$B$1,ROW(data!$A$3:$A$16128)-ROW($A$3)+1),ROWS(C$4:C145))),"")</f>
        <v/>
      </c>
      <c r="D145" s="7" t="str">
        <f t="array" ref="D145">IF(ROWS(D$4:D145)&lt;=$B$2,INDEX(data!E$3:E$16128,SMALL(IF(data!$D$3:$D$16128='Велчо Атанасов'!$B$1,ROW(data!$A$3:$A$16128)-ROW($A$3)+1),ROWS(D$4:D145))),"")</f>
        <v/>
      </c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3" t="str">
        <f t="array" ref="A146">IF(ROWS(A$4:A146)&lt;=$B$2,INDEX(data!C$3:C$16128,SMALL(IF(data!$D$3:$D$16128='Велчо Атанасов'!$B$1,ROW(data!$A$3:$A$16128)-ROW($A$3)+1),ROWS(A$4:A146))),"")</f>
        <v/>
      </c>
      <c r="B146" s="19" t="str">
        <f t="array" ref="B146">IF(ROWS(B$4:B146)&lt;=$B$2,INDEX(data!A$3:A$16128,SMALL(IF(data!$D$3:$D$16128='Велчо Атанасов'!$B$1,ROW(data!$A$3:$A$16128)-ROW($A$3)+1),ROWS(B$4:B146))),"")</f>
        <v/>
      </c>
      <c r="C146" s="19" t="str">
        <f t="array" ref="C146">IF(ROWS(C$4:C146)&lt;=$B$2,INDEX(data!B$3:B$16128,SMALL(IF(data!$D$3:$D$16128='Велчо Атанасов'!$B$1,ROW(data!$A$3:$A$16128)-ROW($A$3)+1),ROWS(C$4:C146))),"")</f>
        <v/>
      </c>
      <c r="D146" s="7" t="str">
        <f t="array" ref="D146">IF(ROWS(D$4:D146)&lt;=$B$2,INDEX(data!E$3:E$16128,SMALL(IF(data!$D$3:$D$16128='Велчо Атанасов'!$B$1,ROW(data!$A$3:$A$16128)-ROW($A$3)+1),ROWS(D$4:D146))),"")</f>
        <v/>
      </c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3" t="str">
        <f t="array" ref="A147">IF(ROWS(A$4:A147)&lt;=$B$2,INDEX(data!C$3:C$16128,SMALL(IF(data!$D$3:$D$16128='Велчо Атанасов'!$B$1,ROW(data!$A$3:$A$16128)-ROW($A$3)+1),ROWS(A$4:A147))),"")</f>
        <v/>
      </c>
      <c r="B147" s="19" t="str">
        <f t="array" ref="B147">IF(ROWS(B$4:B147)&lt;=$B$2,INDEX(data!A$3:A$16128,SMALL(IF(data!$D$3:$D$16128='Велчо Атанасов'!$B$1,ROW(data!$A$3:$A$16128)-ROW($A$3)+1),ROWS(B$4:B147))),"")</f>
        <v/>
      </c>
      <c r="C147" s="19" t="str">
        <f t="array" ref="C147">IF(ROWS(C$4:C147)&lt;=$B$2,INDEX(data!B$3:B$16128,SMALL(IF(data!$D$3:$D$16128='Велчо Атанасов'!$B$1,ROW(data!$A$3:$A$16128)-ROW($A$3)+1),ROWS(C$4:C147))),"")</f>
        <v/>
      </c>
      <c r="D147" s="7" t="str">
        <f t="array" ref="D147">IF(ROWS(D$4:D147)&lt;=$B$2,INDEX(data!E$3:E$16128,SMALL(IF(data!$D$3:$D$16128='Велчо Атанасов'!$B$1,ROW(data!$A$3:$A$16128)-ROW($A$3)+1),ROWS(D$4:D147))),"")</f>
        <v/>
      </c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3" t="str">
        <f t="array" ref="A148">IF(ROWS(A$4:A148)&lt;=$B$2,INDEX(data!C$3:C$16128,SMALL(IF(data!$D$3:$D$16128='Велчо Атанасов'!$B$1,ROW(data!$A$3:$A$16128)-ROW($A$3)+1),ROWS(A$4:A148))),"")</f>
        <v/>
      </c>
      <c r="B148" s="19" t="str">
        <f t="array" ref="B148">IF(ROWS(B$4:B148)&lt;=$B$2,INDEX(data!A$3:A$16128,SMALL(IF(data!$D$3:$D$16128='Велчо Атанасов'!$B$1,ROW(data!$A$3:$A$16128)-ROW($A$3)+1),ROWS(B$4:B148))),"")</f>
        <v/>
      </c>
      <c r="C148" s="19" t="str">
        <f t="array" ref="C148">IF(ROWS(C$4:C148)&lt;=$B$2,INDEX(data!B$3:B$16128,SMALL(IF(data!$D$3:$D$16128='Велчо Атанасов'!$B$1,ROW(data!$A$3:$A$16128)-ROW($A$3)+1),ROWS(C$4:C148))),"")</f>
        <v/>
      </c>
      <c r="D148" s="7" t="str">
        <f t="array" ref="D148">IF(ROWS(D$4:D148)&lt;=$B$2,INDEX(data!E$3:E$16128,SMALL(IF(data!$D$3:$D$16128='Велчо Атанасов'!$B$1,ROW(data!$A$3:$A$16128)-ROW($A$3)+1),ROWS(D$4:D148))),"")</f>
        <v/>
      </c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3" t="str">
        <f t="array" ref="A149">IF(ROWS(A$4:A149)&lt;=$B$2,INDEX(data!C$3:C$16128,SMALL(IF(data!$D$3:$D$16128='Велчо Атанасов'!$B$1,ROW(data!$A$3:$A$16128)-ROW($A$3)+1),ROWS(A$4:A149))),"")</f>
        <v/>
      </c>
      <c r="B149" s="19" t="str">
        <f t="array" ref="B149">IF(ROWS(B$4:B149)&lt;=$B$2,INDEX(data!A$3:A$16128,SMALL(IF(data!$D$3:$D$16128='Велчо Атанасов'!$B$1,ROW(data!$A$3:$A$16128)-ROW($A$3)+1),ROWS(B$4:B149))),"")</f>
        <v/>
      </c>
      <c r="C149" s="19" t="str">
        <f t="array" ref="C149">IF(ROWS(C$4:C149)&lt;=$B$2,INDEX(data!B$3:B$16128,SMALL(IF(data!$D$3:$D$16128='Велчо Атанасов'!$B$1,ROW(data!$A$3:$A$16128)-ROW($A$3)+1),ROWS(C$4:C149))),"")</f>
        <v/>
      </c>
      <c r="D149" s="7" t="str">
        <f t="array" ref="D149">IF(ROWS(D$4:D149)&lt;=$B$2,INDEX(data!E$3:E$16128,SMALL(IF(data!$D$3:$D$16128='Велчо Атанасов'!$B$1,ROW(data!$A$3:$A$16128)-ROW($A$3)+1),ROWS(D$4:D149))),"")</f>
        <v/>
      </c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3" t="str">
        <f t="array" ref="A150">IF(ROWS(A$4:A150)&lt;=$B$2,INDEX(data!C$3:C$16128,SMALL(IF(data!$D$3:$D$16128='Велчо Атанасов'!$B$1,ROW(data!$A$3:$A$16128)-ROW($A$3)+1),ROWS(A$4:A150))),"")</f>
        <v/>
      </c>
      <c r="B150" s="19" t="str">
        <f t="array" ref="B150">IF(ROWS(B$4:B150)&lt;=$B$2,INDEX(data!A$3:A$16128,SMALL(IF(data!$D$3:$D$16128='Велчо Атанасов'!$B$1,ROW(data!$A$3:$A$16128)-ROW($A$3)+1),ROWS(B$4:B150))),"")</f>
        <v/>
      </c>
      <c r="C150" s="19" t="str">
        <f t="array" ref="C150">IF(ROWS(C$4:C150)&lt;=$B$2,INDEX(data!B$3:B$16128,SMALL(IF(data!$D$3:$D$16128='Велчо Атанасов'!$B$1,ROW(data!$A$3:$A$16128)-ROW($A$3)+1),ROWS(C$4:C150))),"")</f>
        <v/>
      </c>
      <c r="D150" s="7" t="str">
        <f t="array" ref="D150">IF(ROWS(D$4:D150)&lt;=$B$2,INDEX(data!E$3:E$16128,SMALL(IF(data!$D$3:$D$16128='Велчо Атанасов'!$B$1,ROW(data!$A$3:$A$16128)-ROW($A$3)+1),ROWS(D$4:D150))),"")</f>
        <v/>
      </c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3" t="str">
        <f t="array" ref="A151">IF(ROWS(A$4:A151)&lt;=$B$2,INDEX(data!C$3:C$16128,SMALL(IF(data!$D$3:$D$16128='Велчо Атанасов'!$B$1,ROW(data!$A$3:$A$16128)-ROW($A$3)+1),ROWS(A$4:A151))),"")</f>
        <v/>
      </c>
      <c r="B151" s="19" t="str">
        <f t="array" ref="B151">IF(ROWS(B$4:B151)&lt;=$B$2,INDEX(data!A$3:A$16128,SMALL(IF(data!$D$3:$D$16128='Велчо Атанасов'!$B$1,ROW(data!$A$3:$A$16128)-ROW($A$3)+1),ROWS(B$4:B151))),"")</f>
        <v/>
      </c>
      <c r="C151" s="19" t="str">
        <f t="array" ref="C151">IF(ROWS(C$4:C151)&lt;=$B$2,INDEX(data!B$3:B$16128,SMALL(IF(data!$D$3:$D$16128='Велчо Атанасов'!$B$1,ROW(data!$A$3:$A$16128)-ROW($A$3)+1),ROWS(C$4:C151))),"")</f>
        <v/>
      </c>
      <c r="D151" s="7" t="str">
        <f t="array" ref="D151">IF(ROWS(D$4:D151)&lt;=$B$2,INDEX(data!E$3:E$16128,SMALL(IF(data!$D$3:$D$16128='Велчо Атанасов'!$B$1,ROW(data!$A$3:$A$16128)-ROW($A$3)+1),ROWS(D$4:D151))),"")</f>
        <v/>
      </c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3" t="str">
        <f t="array" ref="A152">IF(ROWS(A$4:A152)&lt;=$B$2,INDEX(data!C$3:C$16128,SMALL(IF(data!$D$3:$D$16128='Велчо Атанасов'!$B$1,ROW(data!$A$3:$A$16128)-ROW($A$3)+1),ROWS(A$4:A152))),"")</f>
        <v/>
      </c>
      <c r="B152" s="19" t="str">
        <f t="array" ref="B152">IF(ROWS(B$4:B152)&lt;=$B$2,INDEX(data!A$3:A$16128,SMALL(IF(data!$D$3:$D$16128='Велчо Атанасов'!$B$1,ROW(data!$A$3:$A$16128)-ROW($A$3)+1),ROWS(B$4:B152))),"")</f>
        <v/>
      </c>
      <c r="C152" s="19" t="str">
        <f t="array" ref="C152">IF(ROWS(C$4:C152)&lt;=$B$2,INDEX(data!B$3:B$16128,SMALL(IF(data!$D$3:$D$16128='Велчо Атанасов'!$B$1,ROW(data!$A$3:$A$16128)-ROW($A$3)+1),ROWS(C$4:C152))),"")</f>
        <v/>
      </c>
      <c r="D152" s="7" t="str">
        <f t="array" ref="D152">IF(ROWS(D$4:D152)&lt;=$B$2,INDEX(data!E$3:E$16128,SMALL(IF(data!$D$3:$D$16128='Велчо Атанасов'!$B$1,ROW(data!$A$3:$A$16128)-ROW($A$3)+1),ROWS(D$4:D152))),"")</f>
        <v/>
      </c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3" t="str">
        <f t="array" ref="A153">IF(ROWS(A$4:A153)&lt;=$B$2,INDEX(data!C$3:C$16128,SMALL(IF(data!$D$3:$D$16128='Велчо Атанасов'!$B$1,ROW(data!$A$3:$A$16128)-ROW($A$3)+1),ROWS(A$4:A153))),"")</f>
        <v/>
      </c>
      <c r="B153" s="19" t="str">
        <f t="array" ref="B153">IF(ROWS(B$4:B153)&lt;=$B$2,INDEX(data!A$3:A$16128,SMALL(IF(data!$D$3:$D$16128='Велчо Атанасов'!$B$1,ROW(data!$A$3:$A$16128)-ROW($A$3)+1),ROWS(B$4:B153))),"")</f>
        <v/>
      </c>
      <c r="C153" s="19" t="str">
        <f t="array" ref="C153">IF(ROWS(C$4:C153)&lt;=$B$2,INDEX(data!B$3:B$16128,SMALL(IF(data!$D$3:$D$16128='Велчо Атанасов'!$B$1,ROW(data!$A$3:$A$16128)-ROW($A$3)+1),ROWS(C$4:C153))),"")</f>
        <v/>
      </c>
      <c r="D153" s="7" t="str">
        <f t="array" ref="D153">IF(ROWS(D$4:D153)&lt;=$B$2,INDEX(data!E$3:E$16128,SMALL(IF(data!$D$3:$D$16128='Велчо Атанасов'!$B$1,ROW(data!$A$3:$A$16128)-ROW($A$3)+1),ROWS(D$4:D153))),"")</f>
        <v/>
      </c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3" t="str">
        <f t="array" ref="A154">IF(ROWS(A$4:A154)&lt;=$B$2,INDEX(data!C$3:C$16128,SMALL(IF(data!$D$3:$D$16128='Велчо Атанасов'!$B$1,ROW(data!$A$3:$A$16128)-ROW($A$3)+1),ROWS(A$4:A154))),"")</f>
        <v/>
      </c>
      <c r="B154" s="19" t="str">
        <f t="array" ref="B154">IF(ROWS(B$4:B154)&lt;=$B$2,INDEX(data!A$3:A$16128,SMALL(IF(data!$D$3:$D$16128='Велчо Атанасов'!$B$1,ROW(data!$A$3:$A$16128)-ROW($A$3)+1),ROWS(B$4:B154))),"")</f>
        <v/>
      </c>
      <c r="C154" s="19" t="str">
        <f t="array" ref="C154">IF(ROWS(C$4:C154)&lt;=$B$2,INDEX(data!B$3:B$16128,SMALL(IF(data!$D$3:$D$16128='Велчо Атанасов'!$B$1,ROW(data!$A$3:$A$16128)-ROW($A$3)+1),ROWS(C$4:C154))),"")</f>
        <v/>
      </c>
      <c r="D154" s="7" t="str">
        <f t="array" ref="D154">IF(ROWS(D$4:D154)&lt;=$B$2,INDEX(data!E$3:E$16128,SMALL(IF(data!$D$3:$D$16128='Велчо Атанасов'!$B$1,ROW(data!$A$3:$A$16128)-ROW($A$3)+1),ROWS(D$4:D154))),"")</f>
        <v/>
      </c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3" t="str">
        <f t="array" ref="A155">IF(ROWS(A$4:A155)&lt;=$B$2,INDEX(data!C$3:C$16128,SMALL(IF(data!$D$3:$D$16128='Велчо Атанасов'!$B$1,ROW(data!$A$3:$A$16128)-ROW($A$3)+1),ROWS(A$4:A155))),"")</f>
        <v/>
      </c>
      <c r="B155" s="19" t="str">
        <f t="array" ref="B155">IF(ROWS(B$4:B155)&lt;=$B$2,INDEX(data!A$3:A$16128,SMALL(IF(data!$D$3:$D$16128='Велчо Атанасов'!$B$1,ROW(data!$A$3:$A$16128)-ROW($A$3)+1),ROWS(B$4:B155))),"")</f>
        <v/>
      </c>
      <c r="C155" s="19" t="str">
        <f t="array" ref="C155">IF(ROWS(C$4:C155)&lt;=$B$2,INDEX(data!B$3:B$16128,SMALL(IF(data!$D$3:$D$16128='Велчо Атанасов'!$B$1,ROW(data!$A$3:$A$16128)-ROW($A$3)+1),ROWS(C$4:C155))),"")</f>
        <v/>
      </c>
      <c r="D155" s="7" t="str">
        <f t="array" ref="D155">IF(ROWS(D$4:D155)&lt;=$B$2,INDEX(data!E$3:E$16128,SMALL(IF(data!$D$3:$D$16128='Велчо Атанасов'!$B$1,ROW(data!$A$3:$A$16128)-ROW($A$3)+1),ROWS(D$4:D155))),"")</f>
        <v/>
      </c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3" t="str">
        <f t="array" ref="A156">IF(ROWS(A$4:A156)&lt;=$B$2,INDEX(data!C$3:C$16128,SMALL(IF(data!$D$3:$D$16128='Велчо Атанасов'!$B$1,ROW(data!$A$3:$A$16128)-ROW($A$3)+1),ROWS(A$4:A156))),"")</f>
        <v/>
      </c>
      <c r="B156" s="19" t="str">
        <f t="array" ref="B156">IF(ROWS(B$4:B156)&lt;=$B$2,INDEX(data!A$3:A$16128,SMALL(IF(data!$D$3:$D$16128='Велчо Атанасов'!$B$1,ROW(data!$A$3:$A$16128)-ROW($A$3)+1),ROWS(B$4:B156))),"")</f>
        <v/>
      </c>
      <c r="C156" s="19" t="str">
        <f t="array" ref="C156">IF(ROWS(C$4:C156)&lt;=$B$2,INDEX(data!B$3:B$16128,SMALL(IF(data!$D$3:$D$16128='Велчо Атанасов'!$B$1,ROW(data!$A$3:$A$16128)-ROW($A$3)+1),ROWS(C$4:C156))),"")</f>
        <v/>
      </c>
      <c r="D156" s="7" t="str">
        <f t="array" ref="D156">IF(ROWS(D$4:D156)&lt;=$B$2,INDEX(data!E$3:E$16128,SMALL(IF(data!$D$3:$D$16128='Велчо Атанасов'!$B$1,ROW(data!$A$3:$A$16128)-ROW($A$3)+1),ROWS(D$4:D156))),"")</f>
        <v/>
      </c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3" t="str">
        <f t="array" ref="A157">IF(ROWS(A$4:A157)&lt;=$B$2,INDEX(data!C$3:C$16128,SMALL(IF(data!$D$3:$D$16128='Велчо Атанасов'!$B$1,ROW(data!$A$3:$A$16128)-ROW($A$3)+1),ROWS(A$4:A157))),"")</f>
        <v/>
      </c>
      <c r="B157" s="19" t="str">
        <f t="array" ref="B157">IF(ROWS(B$4:B157)&lt;=$B$2,INDEX(data!A$3:A$16128,SMALL(IF(data!$D$3:$D$16128='Велчо Атанасов'!$B$1,ROW(data!$A$3:$A$16128)-ROW($A$3)+1),ROWS(B$4:B157))),"")</f>
        <v/>
      </c>
      <c r="C157" s="19" t="str">
        <f t="array" ref="C157">IF(ROWS(C$4:C157)&lt;=$B$2,INDEX(data!B$3:B$16128,SMALL(IF(data!$D$3:$D$16128='Велчо Атанасов'!$B$1,ROW(data!$A$3:$A$16128)-ROW($A$3)+1),ROWS(C$4:C157))),"")</f>
        <v/>
      </c>
      <c r="D157" s="7" t="str">
        <f t="array" ref="D157">IF(ROWS(D$4:D157)&lt;=$B$2,INDEX(data!E$3:E$16128,SMALL(IF(data!$D$3:$D$16128='Велчо Атанасов'!$B$1,ROW(data!$A$3:$A$16128)-ROW($A$3)+1),ROWS(D$4:D157))),"")</f>
        <v/>
      </c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3" t="str">
        <f t="array" ref="A158">IF(ROWS(A$4:A158)&lt;=$B$2,INDEX(data!C$3:C$16128,SMALL(IF(data!$D$3:$D$16128='Велчо Атанасов'!$B$1,ROW(data!$A$3:$A$16128)-ROW($A$3)+1),ROWS(A$4:A158))),"")</f>
        <v/>
      </c>
      <c r="B158" s="19" t="str">
        <f t="array" ref="B158">IF(ROWS(B$4:B158)&lt;=$B$2,INDEX(data!A$3:A$16128,SMALL(IF(data!$D$3:$D$16128='Велчо Атанасов'!$B$1,ROW(data!$A$3:$A$16128)-ROW($A$3)+1),ROWS(B$4:B158))),"")</f>
        <v/>
      </c>
      <c r="C158" s="19" t="str">
        <f t="array" ref="C158">IF(ROWS(C$4:C158)&lt;=$B$2,INDEX(data!B$3:B$16128,SMALL(IF(data!$D$3:$D$16128='Велчо Атанасов'!$B$1,ROW(data!$A$3:$A$16128)-ROW($A$3)+1),ROWS(C$4:C158))),"")</f>
        <v/>
      </c>
      <c r="D158" s="7" t="str">
        <f t="array" ref="D158">IF(ROWS(D$4:D158)&lt;=$B$2,INDEX(data!E$3:E$16128,SMALL(IF(data!$D$3:$D$16128='Велчо Атанасов'!$B$1,ROW(data!$A$3:$A$16128)-ROW($A$3)+1),ROWS(D$4:D158))),"")</f>
        <v/>
      </c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3" t="str">
        <f t="array" ref="A159">IF(ROWS(A$4:A159)&lt;=$B$2,INDEX(data!C$3:C$16128,SMALL(IF(data!$D$3:$D$16128='Велчо Атанасов'!$B$1,ROW(data!$A$3:$A$16128)-ROW($A$3)+1),ROWS(A$4:A159))),"")</f>
        <v/>
      </c>
      <c r="B159" s="19" t="str">
        <f t="array" ref="B159">IF(ROWS(B$4:B159)&lt;=$B$2,INDEX(data!A$3:A$16128,SMALL(IF(data!$D$3:$D$16128='Велчо Атанасов'!$B$1,ROW(data!$A$3:$A$16128)-ROW($A$3)+1),ROWS(B$4:B159))),"")</f>
        <v/>
      </c>
      <c r="C159" s="19" t="str">
        <f t="array" ref="C159">IF(ROWS(C$4:C159)&lt;=$B$2,INDEX(data!B$3:B$16128,SMALL(IF(data!$D$3:$D$16128='Велчо Атанасов'!$B$1,ROW(data!$A$3:$A$16128)-ROW($A$3)+1),ROWS(C$4:C159))),"")</f>
        <v/>
      </c>
      <c r="D159" s="7" t="str">
        <f t="array" ref="D159">IF(ROWS(D$4:D159)&lt;=$B$2,INDEX(data!E$3:E$16128,SMALL(IF(data!$D$3:$D$16128='Велчо Атанасов'!$B$1,ROW(data!$A$3:$A$16128)-ROW($A$3)+1),ROWS(D$4:D159))),"")</f>
        <v/>
      </c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3" t="str">
        <f t="array" ref="A160">IF(ROWS(A$4:A160)&lt;=$B$2,INDEX(data!C$3:C$16128,SMALL(IF(data!$D$3:$D$16128='Велчо Атанасов'!$B$1,ROW(data!$A$3:$A$16128)-ROW($A$3)+1),ROWS(A$4:A160))),"")</f>
        <v/>
      </c>
      <c r="B160" s="19" t="str">
        <f t="array" ref="B160">IF(ROWS(B$4:B160)&lt;=$B$2,INDEX(data!A$3:A$16128,SMALL(IF(data!$D$3:$D$16128='Велчо Атанасов'!$B$1,ROW(data!$A$3:$A$16128)-ROW($A$3)+1),ROWS(B$4:B160))),"")</f>
        <v/>
      </c>
      <c r="C160" s="19" t="str">
        <f t="array" ref="C160">IF(ROWS(C$4:C160)&lt;=$B$2,INDEX(data!B$3:B$16128,SMALL(IF(data!$D$3:$D$16128='Велчо Атанасов'!$B$1,ROW(data!$A$3:$A$16128)-ROW($A$3)+1),ROWS(C$4:C160))),"")</f>
        <v/>
      </c>
      <c r="D160" s="7" t="str">
        <f t="array" ref="D160">IF(ROWS(D$4:D160)&lt;=$B$2,INDEX(data!E$3:E$16128,SMALL(IF(data!$D$3:$D$16128='Велчо Атанасов'!$B$1,ROW(data!$A$3:$A$16128)-ROW($A$3)+1),ROWS(D$4:D160))),"")</f>
        <v/>
      </c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9"/>
      <c r="B161" s="40"/>
      <c r="C161" s="40"/>
      <c r="D161" s="40"/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9"/>
      <c r="B162" s="40"/>
      <c r="C162" s="40"/>
      <c r="D162" s="40"/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9"/>
      <c r="B163" s="40"/>
      <c r="C163" s="40"/>
      <c r="D163" s="40"/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9"/>
      <c r="B164" s="40"/>
      <c r="C164" s="40"/>
      <c r="D164" s="40"/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9"/>
      <c r="B165" s="40"/>
      <c r="C165" s="40"/>
      <c r="D165" s="40"/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9"/>
      <c r="B166" s="40"/>
      <c r="C166" s="40"/>
      <c r="D166" s="40"/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9"/>
      <c r="B167" s="40"/>
      <c r="C167" s="40"/>
      <c r="D167" s="40"/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9"/>
      <c r="B168" s="40"/>
      <c r="C168" s="40"/>
      <c r="D168" s="40"/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9"/>
      <c r="B169" s="40"/>
      <c r="C169" s="40"/>
      <c r="D169" s="40"/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9"/>
      <c r="B170" s="40"/>
      <c r="C170" s="40"/>
      <c r="D170" s="40"/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9"/>
      <c r="B171" s="40"/>
      <c r="C171" s="40"/>
      <c r="D171" s="40"/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9"/>
      <c r="B172" s="40"/>
      <c r="C172" s="40"/>
      <c r="D172" s="40"/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9"/>
      <c r="B173" s="40"/>
      <c r="C173" s="40"/>
      <c r="D173" s="40"/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9"/>
      <c r="B174" s="40"/>
      <c r="C174" s="40"/>
      <c r="D174" s="40"/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9"/>
      <c r="B175" s="40"/>
      <c r="C175" s="40"/>
      <c r="D175" s="40"/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9"/>
      <c r="B176" s="40"/>
      <c r="C176" s="40"/>
      <c r="D176" s="40"/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9"/>
      <c r="B177" s="40"/>
      <c r="C177" s="40"/>
      <c r="D177" s="40"/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9"/>
      <c r="B178" s="40"/>
      <c r="C178" s="40"/>
      <c r="D178" s="40"/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9"/>
      <c r="B179" s="40"/>
      <c r="C179" s="40"/>
      <c r="D179" s="40"/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9"/>
      <c r="B180" s="40"/>
      <c r="C180" s="40"/>
      <c r="D180" s="40"/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9"/>
      <c r="B181" s="40"/>
      <c r="C181" s="40"/>
      <c r="D181" s="40"/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9"/>
      <c r="B182" s="40"/>
      <c r="C182" s="40"/>
      <c r="D182" s="40"/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9"/>
      <c r="B183" s="40"/>
      <c r="C183" s="40"/>
      <c r="D183" s="40"/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9"/>
      <c r="B184" s="40"/>
      <c r="C184" s="40"/>
      <c r="D184" s="40"/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9"/>
      <c r="B185" s="40"/>
      <c r="C185" s="40"/>
      <c r="D185" s="40"/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9"/>
      <c r="B186" s="40"/>
      <c r="C186" s="40"/>
      <c r="D186" s="40"/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9"/>
      <c r="B187" s="40"/>
      <c r="C187" s="40"/>
      <c r="D187" s="40"/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9"/>
      <c r="B188" s="40"/>
      <c r="C188" s="40"/>
      <c r="D188" s="40"/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9"/>
      <c r="B189" s="40"/>
      <c r="C189" s="40"/>
      <c r="D189" s="40"/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9"/>
      <c r="B190" s="40"/>
      <c r="C190" s="40"/>
      <c r="D190" s="40"/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9"/>
      <c r="B191" s="40"/>
      <c r="C191" s="40"/>
      <c r="D191" s="40"/>
      <c r="E191" s="11"/>
      <c r="F191" s="11"/>
      <c r="G191" s="11"/>
      <c r="H191" s="14"/>
      <c r="I191" s="14"/>
      <c r="J191" s="14"/>
      <c r="K191" s="14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9"/>
      <c r="B192" s="40"/>
      <c r="C192" s="40"/>
      <c r="D192" s="40"/>
      <c r="E192" s="11"/>
      <c r="F192" s="11"/>
      <c r="G192" s="11"/>
      <c r="H192" s="14"/>
      <c r="I192" s="14"/>
      <c r="J192" s="14"/>
      <c r="K192" s="1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9"/>
      <c r="B193" s="40"/>
      <c r="C193" s="40"/>
      <c r="D193" s="40"/>
      <c r="E193" s="11"/>
      <c r="F193" s="11"/>
      <c r="G193" s="11"/>
      <c r="H193" s="14"/>
      <c r="I193" s="14"/>
      <c r="J193" s="14"/>
      <c r="K193" s="14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9"/>
      <c r="B194" s="40"/>
      <c r="C194" s="40"/>
      <c r="D194" s="40"/>
      <c r="E194" s="11"/>
      <c r="F194" s="11"/>
      <c r="G194" s="11"/>
      <c r="H194" s="14"/>
      <c r="I194" s="14"/>
      <c r="J194" s="14"/>
      <c r="K194" s="14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9"/>
      <c r="B195" s="40"/>
      <c r="C195" s="40"/>
      <c r="D195" s="40"/>
      <c r="E195" s="11"/>
      <c r="F195" s="11"/>
      <c r="G195" s="11"/>
      <c r="H195" s="14"/>
      <c r="I195" s="14"/>
      <c r="J195" s="14"/>
      <c r="K195" s="14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9"/>
      <c r="B196" s="40"/>
      <c r="C196" s="40"/>
      <c r="D196" s="40"/>
      <c r="E196" s="11"/>
      <c r="F196" s="11"/>
      <c r="G196" s="11"/>
      <c r="H196" s="14"/>
      <c r="I196" s="14"/>
      <c r="J196" s="14"/>
      <c r="K196" s="14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9"/>
      <c r="B197" s="40"/>
      <c r="C197" s="40"/>
      <c r="D197" s="40"/>
      <c r="E197" s="11"/>
      <c r="F197" s="11"/>
      <c r="G197" s="11"/>
      <c r="H197" s="14"/>
      <c r="I197" s="14"/>
      <c r="J197" s="14"/>
      <c r="K197" s="14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9"/>
      <c r="B198" s="40"/>
      <c r="C198" s="40"/>
      <c r="D198" s="40"/>
      <c r="E198" s="11"/>
      <c r="F198" s="11"/>
      <c r="G198" s="11"/>
      <c r="H198" s="14"/>
      <c r="I198" s="14"/>
      <c r="J198" s="14"/>
      <c r="K198" s="14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9"/>
      <c r="B199" s="40"/>
      <c r="C199" s="40"/>
      <c r="D199" s="40"/>
      <c r="E199" s="11"/>
      <c r="F199" s="11"/>
      <c r="G199" s="11"/>
      <c r="H199" s="14"/>
      <c r="I199" s="14"/>
      <c r="J199" s="14"/>
      <c r="K199" s="14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9"/>
      <c r="B200" s="40"/>
      <c r="C200" s="40"/>
      <c r="D200" s="40"/>
      <c r="E200" s="11"/>
      <c r="F200" s="11"/>
      <c r="G200" s="11"/>
      <c r="H200" s="14"/>
      <c r="I200" s="14"/>
      <c r="J200" s="14"/>
      <c r="K200" s="14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9"/>
      <c r="B201" s="40"/>
      <c r="C201" s="40"/>
      <c r="D201" s="40"/>
      <c r="E201" s="11"/>
      <c r="F201" s="11"/>
      <c r="G201" s="11"/>
      <c r="H201" s="14"/>
      <c r="I201" s="14"/>
      <c r="J201" s="14"/>
      <c r="K201" s="14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9"/>
      <c r="B202" s="40"/>
      <c r="C202" s="40"/>
      <c r="D202" s="40"/>
      <c r="E202" s="11"/>
      <c r="F202" s="11"/>
      <c r="G202" s="11"/>
      <c r="H202" s="14"/>
      <c r="I202" s="14"/>
      <c r="J202" s="14"/>
      <c r="K202" s="14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9"/>
      <c r="B203" s="40"/>
      <c r="C203" s="40"/>
      <c r="D203" s="40"/>
      <c r="E203" s="11"/>
      <c r="F203" s="11"/>
      <c r="G203" s="11"/>
      <c r="H203" s="14"/>
      <c r="I203" s="14"/>
      <c r="J203" s="14"/>
      <c r="K203" s="14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9"/>
      <c r="B204" s="40"/>
      <c r="C204" s="40"/>
      <c r="D204" s="40"/>
      <c r="E204" s="11"/>
      <c r="F204" s="11"/>
      <c r="G204" s="11"/>
      <c r="H204" s="14"/>
      <c r="I204" s="14"/>
      <c r="J204" s="14"/>
      <c r="K204" s="14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9"/>
      <c r="B205" s="40"/>
      <c r="C205" s="40"/>
      <c r="D205" s="40"/>
      <c r="E205" s="11"/>
      <c r="F205" s="11"/>
      <c r="G205" s="11"/>
      <c r="H205" s="14"/>
      <c r="I205" s="14"/>
      <c r="J205" s="14"/>
      <c r="K205" s="14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9"/>
      <c r="B206" s="40"/>
      <c r="C206" s="40"/>
      <c r="D206" s="40"/>
      <c r="E206" s="11"/>
      <c r="F206" s="11"/>
      <c r="G206" s="11"/>
      <c r="H206" s="14"/>
      <c r="I206" s="14"/>
      <c r="J206" s="14"/>
      <c r="K206" s="14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9"/>
      <c r="B207" s="40"/>
      <c r="C207" s="40"/>
      <c r="D207" s="40"/>
      <c r="E207" s="11"/>
      <c r="F207" s="11"/>
      <c r="G207" s="11"/>
      <c r="H207" s="14"/>
      <c r="I207" s="14"/>
      <c r="J207" s="14"/>
      <c r="K207" s="14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9"/>
      <c r="B208" s="40"/>
      <c r="C208" s="40"/>
      <c r="D208" s="40"/>
      <c r="E208" s="11"/>
      <c r="F208" s="11"/>
      <c r="G208" s="11"/>
      <c r="H208" s="14"/>
      <c r="I208" s="14"/>
      <c r="J208" s="14"/>
      <c r="K208" s="14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9"/>
      <c r="B209" s="40"/>
      <c r="C209" s="40"/>
      <c r="D209" s="40"/>
      <c r="E209" s="11"/>
      <c r="F209" s="11"/>
      <c r="G209" s="11"/>
      <c r="H209" s="14"/>
      <c r="I209" s="14"/>
      <c r="J209" s="14"/>
      <c r="K209" s="14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9"/>
      <c r="B210" s="40"/>
      <c r="C210" s="40"/>
      <c r="D210" s="40"/>
      <c r="E210" s="11"/>
      <c r="F210" s="11"/>
      <c r="G210" s="11"/>
      <c r="H210" s="14"/>
      <c r="I210" s="14"/>
      <c r="J210" s="14"/>
      <c r="K210" s="14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9"/>
      <c r="B211" s="40"/>
      <c r="C211" s="40"/>
      <c r="D211" s="40"/>
      <c r="E211" s="11"/>
      <c r="F211" s="11"/>
      <c r="G211" s="11"/>
      <c r="H211" s="14"/>
      <c r="I211" s="14"/>
      <c r="J211" s="14"/>
      <c r="K211" s="14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9"/>
      <c r="B212" s="40"/>
      <c r="C212" s="40"/>
      <c r="D212" s="40"/>
      <c r="E212" s="11"/>
      <c r="F212" s="11"/>
      <c r="G212" s="11"/>
      <c r="H212" s="14"/>
      <c r="I212" s="14"/>
      <c r="J212" s="14"/>
      <c r="K212" s="14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9"/>
      <c r="B213" s="40"/>
      <c r="C213" s="40"/>
      <c r="D213" s="40"/>
      <c r="E213" s="11"/>
      <c r="F213" s="11"/>
      <c r="G213" s="11"/>
      <c r="H213" s="14"/>
      <c r="I213" s="14"/>
      <c r="J213" s="14"/>
      <c r="K213" s="14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9"/>
      <c r="B214" s="40"/>
      <c r="C214" s="40"/>
      <c r="D214" s="40"/>
      <c r="E214" s="11"/>
      <c r="F214" s="11"/>
      <c r="G214" s="11"/>
      <c r="H214" s="14"/>
      <c r="I214" s="14"/>
      <c r="J214" s="14"/>
      <c r="K214" s="14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9"/>
      <c r="B215" s="40"/>
      <c r="C215" s="40"/>
      <c r="D215" s="40"/>
      <c r="E215" s="11"/>
      <c r="F215" s="11"/>
      <c r="G215" s="11"/>
      <c r="H215" s="14"/>
      <c r="I215" s="14"/>
      <c r="J215" s="14"/>
      <c r="K215" s="14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9"/>
      <c r="B216" s="40"/>
      <c r="C216" s="40"/>
      <c r="D216" s="40"/>
      <c r="E216" s="11"/>
      <c r="F216" s="11"/>
      <c r="G216" s="11"/>
      <c r="H216" s="14"/>
      <c r="I216" s="14"/>
      <c r="J216" s="14"/>
      <c r="K216" s="14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9"/>
      <c r="B217" s="40"/>
      <c r="C217" s="40"/>
      <c r="D217" s="40"/>
      <c r="E217" s="11"/>
      <c r="F217" s="11"/>
      <c r="G217" s="11"/>
      <c r="H217" s="14"/>
      <c r="I217" s="14"/>
      <c r="J217" s="14"/>
      <c r="K217" s="14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9"/>
      <c r="B218" s="40"/>
      <c r="C218" s="40"/>
      <c r="D218" s="40"/>
      <c r="E218" s="11"/>
      <c r="F218" s="11"/>
      <c r="G218" s="11"/>
      <c r="H218" s="14"/>
      <c r="I218" s="14"/>
      <c r="J218" s="14"/>
      <c r="K218" s="14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9"/>
      <c r="B219" s="40"/>
      <c r="C219" s="40"/>
      <c r="D219" s="40"/>
      <c r="E219" s="11"/>
      <c r="F219" s="11"/>
      <c r="G219" s="11"/>
      <c r="H219" s="14"/>
      <c r="I219" s="14"/>
      <c r="J219" s="14"/>
      <c r="K219" s="14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9"/>
      <c r="B220" s="40"/>
      <c r="C220" s="40"/>
      <c r="D220" s="40"/>
      <c r="E220" s="11"/>
      <c r="F220" s="11"/>
      <c r="G220" s="11"/>
      <c r="H220" s="14"/>
      <c r="I220" s="14"/>
      <c r="J220" s="14"/>
      <c r="K220" s="14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9"/>
      <c r="B221" s="40"/>
      <c r="C221" s="40"/>
      <c r="D221" s="40"/>
      <c r="E221" s="11"/>
      <c r="F221" s="11"/>
      <c r="G221" s="11"/>
      <c r="H221" s="14"/>
      <c r="I221" s="14"/>
      <c r="J221" s="14"/>
      <c r="K221" s="14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9"/>
      <c r="B222" s="40"/>
      <c r="C222" s="40"/>
      <c r="D222" s="40"/>
      <c r="E222" s="11"/>
      <c r="F222" s="11"/>
      <c r="G222" s="11"/>
      <c r="H222" s="14"/>
      <c r="I222" s="14"/>
      <c r="J222" s="14"/>
      <c r="K222" s="14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9"/>
      <c r="B223" s="40"/>
      <c r="C223" s="40"/>
      <c r="D223" s="40"/>
      <c r="E223" s="11"/>
      <c r="F223" s="11"/>
      <c r="G223" s="11"/>
      <c r="H223" s="14"/>
      <c r="I223" s="14"/>
      <c r="J223" s="14"/>
      <c r="K223" s="14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9"/>
      <c r="B224" s="40"/>
      <c r="C224" s="40"/>
      <c r="D224" s="40"/>
      <c r="E224" s="11"/>
      <c r="F224" s="11"/>
      <c r="G224" s="11"/>
      <c r="H224" s="14"/>
      <c r="I224" s="14"/>
      <c r="J224" s="14"/>
      <c r="K224" s="14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9"/>
      <c r="B225" s="40"/>
      <c r="C225" s="40"/>
      <c r="D225" s="40"/>
      <c r="E225" s="11"/>
      <c r="F225" s="11"/>
      <c r="G225" s="11"/>
      <c r="H225" s="14"/>
      <c r="I225" s="14"/>
      <c r="J225" s="14"/>
      <c r="K225" s="14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9"/>
      <c r="B226" s="40"/>
      <c r="C226" s="40"/>
      <c r="D226" s="40"/>
      <c r="E226" s="11"/>
      <c r="F226" s="11"/>
      <c r="G226" s="11"/>
      <c r="H226" s="14"/>
      <c r="I226" s="14"/>
      <c r="J226" s="14"/>
      <c r="K226" s="14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9"/>
      <c r="B227" s="40"/>
      <c r="C227" s="40"/>
      <c r="D227" s="40"/>
      <c r="E227" s="11"/>
      <c r="F227" s="11"/>
      <c r="G227" s="11"/>
      <c r="H227" s="14"/>
      <c r="I227" s="14"/>
      <c r="J227" s="14"/>
      <c r="K227" s="14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9"/>
      <c r="B228" s="40"/>
      <c r="C228" s="40"/>
      <c r="D228" s="40"/>
      <c r="E228" s="11"/>
      <c r="F228" s="11"/>
      <c r="G228" s="11"/>
      <c r="H228" s="14"/>
      <c r="I228" s="14"/>
      <c r="J228" s="14"/>
      <c r="K228" s="14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9"/>
      <c r="B229" s="40"/>
      <c r="C229" s="40"/>
      <c r="D229" s="40"/>
      <c r="E229" s="11"/>
      <c r="F229" s="11"/>
      <c r="G229" s="11"/>
      <c r="H229" s="14"/>
      <c r="I229" s="14"/>
      <c r="J229" s="14"/>
      <c r="K229" s="14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9"/>
      <c r="B230" s="40"/>
      <c r="C230" s="40"/>
      <c r="D230" s="40"/>
      <c r="E230" s="11"/>
      <c r="F230" s="11"/>
      <c r="G230" s="11"/>
      <c r="H230" s="14"/>
      <c r="I230" s="14"/>
      <c r="J230" s="14"/>
      <c r="K230" s="14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9"/>
      <c r="B231" s="40"/>
      <c r="C231" s="40"/>
      <c r="D231" s="40"/>
      <c r="E231" s="11"/>
      <c r="F231" s="11"/>
      <c r="G231" s="11"/>
      <c r="H231" s="14"/>
      <c r="I231" s="14"/>
      <c r="J231" s="14"/>
      <c r="K231" s="14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9"/>
      <c r="B232" s="40"/>
      <c r="C232" s="40"/>
      <c r="D232" s="40"/>
      <c r="E232" s="11"/>
      <c r="F232" s="11"/>
      <c r="G232" s="11"/>
      <c r="H232" s="14"/>
      <c r="I232" s="14"/>
      <c r="J232" s="14"/>
      <c r="K232" s="14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9"/>
      <c r="B233" s="40"/>
      <c r="C233" s="40"/>
      <c r="D233" s="40"/>
      <c r="E233" s="11"/>
      <c r="F233" s="11"/>
      <c r="G233" s="11"/>
      <c r="H233" s="14"/>
      <c r="I233" s="14"/>
      <c r="J233" s="14"/>
      <c r="K233" s="14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9"/>
      <c r="B234" s="40"/>
      <c r="C234" s="40"/>
      <c r="D234" s="40"/>
      <c r="E234" s="11"/>
      <c r="F234" s="11"/>
      <c r="G234" s="11"/>
      <c r="H234" s="14"/>
      <c r="I234" s="14"/>
      <c r="J234" s="14"/>
      <c r="K234" s="14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9"/>
      <c r="B235" s="40"/>
      <c r="C235" s="40"/>
      <c r="D235" s="40"/>
      <c r="E235" s="11"/>
      <c r="F235" s="11"/>
      <c r="G235" s="11"/>
      <c r="H235" s="14"/>
      <c r="I235" s="14"/>
      <c r="J235" s="14"/>
      <c r="K235" s="14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9"/>
      <c r="B236" s="40"/>
      <c r="C236" s="40"/>
      <c r="D236" s="40"/>
      <c r="E236" s="11"/>
      <c r="F236" s="11"/>
      <c r="G236" s="11"/>
      <c r="H236" s="14"/>
      <c r="I236" s="14"/>
      <c r="J236" s="14"/>
      <c r="K236" s="1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9"/>
      <c r="B237" s="40"/>
      <c r="C237" s="40"/>
      <c r="D237" s="40"/>
      <c r="E237" s="11"/>
      <c r="F237" s="11"/>
      <c r="G237" s="11"/>
      <c r="H237" s="14"/>
      <c r="I237" s="14"/>
      <c r="J237" s="14"/>
      <c r="K237" s="14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9"/>
      <c r="B238" s="40"/>
      <c r="C238" s="40"/>
      <c r="D238" s="40"/>
      <c r="E238" s="11"/>
      <c r="F238" s="11"/>
      <c r="G238" s="11"/>
      <c r="H238" s="14"/>
      <c r="I238" s="14"/>
      <c r="J238" s="14"/>
      <c r="K238" s="14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9"/>
      <c r="B239" s="40"/>
      <c r="C239" s="40"/>
      <c r="D239" s="40"/>
      <c r="E239" s="11"/>
      <c r="F239" s="11"/>
      <c r="G239" s="11"/>
      <c r="H239" s="14"/>
      <c r="I239" s="14"/>
      <c r="J239" s="14"/>
      <c r="K239" s="14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9"/>
      <c r="B240" s="40"/>
      <c r="C240" s="40"/>
      <c r="D240" s="40"/>
      <c r="E240" s="11"/>
      <c r="F240" s="11"/>
      <c r="G240" s="11"/>
      <c r="H240" s="14"/>
      <c r="I240" s="14"/>
      <c r="J240" s="14"/>
      <c r="K240" s="14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9"/>
      <c r="B241" s="40"/>
      <c r="C241" s="40"/>
      <c r="D241" s="40"/>
      <c r="E241" s="11"/>
      <c r="F241" s="11"/>
      <c r="G241" s="11"/>
      <c r="H241" s="14"/>
      <c r="I241" s="14"/>
      <c r="J241" s="14"/>
      <c r="K241" s="14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9"/>
      <c r="B242" s="40"/>
      <c r="C242" s="40"/>
      <c r="D242" s="40"/>
      <c r="E242" s="11"/>
      <c r="F242" s="11"/>
      <c r="G242" s="11"/>
      <c r="H242" s="14"/>
      <c r="I242" s="14"/>
      <c r="J242" s="14"/>
      <c r="K242" s="14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9"/>
      <c r="B243" s="40"/>
      <c r="C243" s="40"/>
      <c r="D243" s="40"/>
      <c r="E243" s="11"/>
      <c r="F243" s="11"/>
      <c r="G243" s="11"/>
      <c r="H243" s="14"/>
      <c r="I243" s="14"/>
      <c r="J243" s="14"/>
      <c r="K243" s="14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9"/>
      <c r="B244" s="40"/>
      <c r="C244" s="40"/>
      <c r="D244" s="40"/>
      <c r="E244" s="11"/>
      <c r="F244" s="11"/>
      <c r="G244" s="11"/>
      <c r="H244" s="14"/>
      <c r="I244" s="14"/>
      <c r="J244" s="14"/>
      <c r="K244" s="14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9"/>
      <c r="B245" s="40"/>
      <c r="C245" s="40"/>
      <c r="D245" s="40"/>
      <c r="E245" s="11"/>
      <c r="F245" s="11"/>
      <c r="G245" s="11"/>
      <c r="H245" s="14"/>
      <c r="I245" s="14"/>
      <c r="J245" s="14"/>
      <c r="K245" s="14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9"/>
      <c r="B246" s="40"/>
      <c r="C246" s="40"/>
      <c r="D246" s="40"/>
      <c r="E246" s="11"/>
      <c r="F246" s="11"/>
      <c r="G246" s="11"/>
      <c r="H246" s="14"/>
      <c r="I246" s="14"/>
      <c r="J246" s="14"/>
      <c r="K246" s="14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9"/>
      <c r="B247" s="40"/>
      <c r="C247" s="40"/>
      <c r="D247" s="40"/>
      <c r="E247" s="11"/>
      <c r="F247" s="11"/>
      <c r="G247" s="11"/>
      <c r="H247" s="14"/>
      <c r="I247" s="14"/>
      <c r="J247" s="14"/>
      <c r="K247" s="14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9"/>
      <c r="B248" s="40"/>
      <c r="C248" s="40"/>
      <c r="D248" s="40"/>
      <c r="E248" s="11"/>
      <c r="F248" s="11"/>
      <c r="G248" s="11"/>
      <c r="H248" s="14"/>
      <c r="I248" s="14"/>
      <c r="J248" s="14"/>
      <c r="K248" s="14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9"/>
      <c r="B249" s="40"/>
      <c r="C249" s="40"/>
      <c r="D249" s="40"/>
      <c r="E249" s="11"/>
      <c r="F249" s="11"/>
      <c r="G249" s="11"/>
      <c r="H249" s="14"/>
      <c r="I249" s="14"/>
      <c r="J249" s="14"/>
      <c r="K249" s="14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9"/>
      <c r="B250" s="40"/>
      <c r="C250" s="40"/>
      <c r="D250" s="40"/>
      <c r="E250" s="11"/>
      <c r="F250" s="11"/>
      <c r="G250" s="11"/>
      <c r="H250" s="14"/>
      <c r="I250" s="14"/>
      <c r="J250" s="14"/>
      <c r="K250" s="14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9"/>
      <c r="B251" s="40"/>
      <c r="C251" s="40"/>
      <c r="D251" s="40"/>
      <c r="E251" s="11"/>
      <c r="F251" s="11"/>
      <c r="G251" s="11"/>
      <c r="H251" s="14"/>
      <c r="I251" s="14"/>
      <c r="J251" s="14"/>
      <c r="K251" s="14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9"/>
      <c r="B252" s="40"/>
      <c r="C252" s="40"/>
      <c r="D252" s="40"/>
      <c r="E252" s="11"/>
      <c r="F252" s="11"/>
      <c r="G252" s="11"/>
      <c r="H252" s="14"/>
      <c r="I252" s="14"/>
      <c r="J252" s="14"/>
      <c r="K252" s="14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9"/>
      <c r="B253" s="40"/>
      <c r="C253" s="40"/>
      <c r="D253" s="40"/>
      <c r="E253" s="11"/>
      <c r="F253" s="11"/>
      <c r="G253" s="11"/>
      <c r="H253" s="14"/>
      <c r="I253" s="14"/>
      <c r="J253" s="14"/>
      <c r="K253" s="14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9"/>
      <c r="B254" s="40"/>
      <c r="C254" s="40"/>
      <c r="D254" s="40"/>
      <c r="E254" s="11"/>
      <c r="F254" s="11"/>
      <c r="G254" s="11"/>
      <c r="H254" s="14"/>
      <c r="I254" s="14"/>
      <c r="J254" s="14"/>
      <c r="K254" s="14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39"/>
      <c r="B255" s="40"/>
      <c r="C255" s="40"/>
      <c r="D255" s="40"/>
      <c r="E255" s="11"/>
      <c r="F255" s="11"/>
      <c r="G255" s="11"/>
      <c r="H255" s="14"/>
      <c r="I255" s="14"/>
      <c r="J255" s="14"/>
      <c r="K255" s="14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39"/>
      <c r="B256" s="40"/>
      <c r="C256" s="40"/>
      <c r="D256" s="40"/>
      <c r="E256" s="11"/>
      <c r="F256" s="11"/>
      <c r="G256" s="11"/>
      <c r="H256" s="14"/>
      <c r="I256" s="14"/>
      <c r="J256" s="14"/>
      <c r="K256" s="14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39"/>
      <c r="B257" s="40"/>
      <c r="C257" s="40"/>
      <c r="D257" s="40"/>
      <c r="E257" s="11"/>
      <c r="F257" s="11"/>
      <c r="G257" s="11"/>
      <c r="H257" s="14"/>
      <c r="I257" s="14"/>
      <c r="J257" s="14"/>
      <c r="K257" s="14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39"/>
      <c r="B258" s="40"/>
      <c r="C258" s="40"/>
      <c r="D258" s="40"/>
      <c r="E258" s="11"/>
      <c r="F258" s="11"/>
      <c r="G258" s="11"/>
      <c r="H258" s="14"/>
      <c r="I258" s="14"/>
      <c r="J258" s="14"/>
      <c r="K258" s="14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39"/>
      <c r="B259" s="40"/>
      <c r="C259" s="40"/>
      <c r="D259" s="40"/>
      <c r="E259" s="11"/>
      <c r="F259" s="11"/>
      <c r="G259" s="11"/>
      <c r="H259" s="14"/>
      <c r="I259" s="14"/>
      <c r="J259" s="14"/>
      <c r="K259" s="14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39"/>
      <c r="B260" s="40"/>
      <c r="C260" s="40"/>
      <c r="D260" s="40"/>
      <c r="E260" s="11"/>
      <c r="F260" s="11"/>
      <c r="G260" s="11"/>
      <c r="H260" s="14"/>
      <c r="I260" s="14"/>
      <c r="J260" s="14"/>
      <c r="K260" s="14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9"/>
      <c r="B261" s="40"/>
      <c r="C261" s="40"/>
      <c r="D261" s="40"/>
      <c r="E261" s="11"/>
      <c r="F261" s="11"/>
      <c r="G261" s="11"/>
      <c r="H261" s="14"/>
      <c r="I261" s="14"/>
      <c r="J261" s="14"/>
      <c r="K261" s="14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39"/>
      <c r="B262" s="40"/>
      <c r="C262" s="40"/>
      <c r="D262" s="40"/>
      <c r="E262" s="11"/>
      <c r="F262" s="11"/>
      <c r="G262" s="11"/>
      <c r="H262" s="14"/>
      <c r="I262" s="14"/>
      <c r="J262" s="14"/>
      <c r="K262" s="14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39"/>
      <c r="B263" s="40"/>
      <c r="C263" s="40"/>
      <c r="D263" s="40"/>
      <c r="E263" s="11"/>
      <c r="F263" s="11"/>
      <c r="G263" s="11"/>
      <c r="H263" s="14"/>
      <c r="I263" s="14"/>
      <c r="J263" s="14"/>
      <c r="K263" s="14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9"/>
      <c r="B264" s="40"/>
      <c r="C264" s="40"/>
      <c r="D264" s="40"/>
      <c r="E264" s="11"/>
      <c r="F264" s="11"/>
      <c r="G264" s="11"/>
      <c r="H264" s="14"/>
      <c r="I264" s="14"/>
      <c r="J264" s="14"/>
      <c r="K264" s="14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39"/>
      <c r="B265" s="40"/>
      <c r="C265" s="40"/>
      <c r="D265" s="40"/>
      <c r="E265" s="11"/>
      <c r="F265" s="11"/>
      <c r="G265" s="11"/>
      <c r="H265" s="14"/>
      <c r="I265" s="14"/>
      <c r="J265" s="14"/>
      <c r="K265" s="14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39"/>
      <c r="B266" s="40"/>
      <c r="C266" s="40"/>
      <c r="D266" s="40"/>
      <c r="E266" s="11"/>
      <c r="F266" s="11"/>
      <c r="G266" s="11"/>
      <c r="H266" s="14"/>
      <c r="I266" s="14"/>
      <c r="J266" s="14"/>
      <c r="K266" s="14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39"/>
      <c r="B267" s="40"/>
      <c r="C267" s="40"/>
      <c r="D267" s="40"/>
      <c r="E267" s="11"/>
      <c r="F267" s="11"/>
      <c r="G267" s="11"/>
      <c r="H267" s="14"/>
      <c r="I267" s="14"/>
      <c r="J267" s="14"/>
      <c r="K267" s="14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39"/>
      <c r="B268" s="40"/>
      <c r="C268" s="40"/>
      <c r="D268" s="40"/>
      <c r="E268" s="11"/>
      <c r="F268" s="11"/>
      <c r="G268" s="11"/>
      <c r="H268" s="14"/>
      <c r="I268" s="14"/>
      <c r="J268" s="14"/>
      <c r="K268" s="14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39"/>
      <c r="B269" s="40"/>
      <c r="C269" s="40"/>
      <c r="D269" s="40"/>
      <c r="E269" s="11"/>
      <c r="F269" s="11"/>
      <c r="G269" s="11"/>
      <c r="H269" s="14"/>
      <c r="I269" s="14"/>
      <c r="J269" s="14"/>
      <c r="K269" s="14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39"/>
      <c r="B270" s="40"/>
      <c r="C270" s="40"/>
      <c r="D270" s="40"/>
      <c r="E270" s="11"/>
      <c r="F270" s="11"/>
      <c r="G270" s="11"/>
      <c r="H270" s="14"/>
      <c r="I270" s="14"/>
      <c r="J270" s="14"/>
      <c r="K270" s="14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39"/>
      <c r="B271" s="40"/>
      <c r="C271" s="40"/>
      <c r="D271" s="40"/>
      <c r="E271" s="11"/>
      <c r="F271" s="11"/>
      <c r="G271" s="11"/>
      <c r="H271" s="14"/>
      <c r="I271" s="14"/>
      <c r="J271" s="14"/>
      <c r="K271" s="14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39"/>
      <c r="B272" s="40"/>
      <c r="C272" s="40"/>
      <c r="D272" s="40"/>
      <c r="E272" s="11"/>
      <c r="F272" s="11"/>
      <c r="G272" s="11"/>
      <c r="H272" s="14"/>
      <c r="I272" s="14"/>
      <c r="J272" s="14"/>
      <c r="K272" s="14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39"/>
      <c r="B273" s="40"/>
      <c r="C273" s="40"/>
      <c r="D273" s="40"/>
      <c r="E273" s="11"/>
      <c r="F273" s="11"/>
      <c r="G273" s="11"/>
      <c r="H273" s="14"/>
      <c r="I273" s="14"/>
      <c r="J273" s="14"/>
      <c r="K273" s="14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39"/>
      <c r="B274" s="40"/>
      <c r="C274" s="40"/>
      <c r="D274" s="40"/>
      <c r="E274" s="11"/>
      <c r="F274" s="11"/>
      <c r="G274" s="11"/>
      <c r="H274" s="14"/>
      <c r="I274" s="14"/>
      <c r="J274" s="14"/>
      <c r="K274" s="14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9"/>
      <c r="B275" s="40"/>
      <c r="C275" s="40"/>
      <c r="D275" s="40"/>
      <c r="E275" s="11"/>
      <c r="F275" s="11"/>
      <c r="G275" s="11"/>
      <c r="H275" s="14"/>
      <c r="I275" s="14"/>
      <c r="J275" s="14"/>
      <c r="K275" s="14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39"/>
      <c r="B276" s="40"/>
      <c r="C276" s="40"/>
      <c r="D276" s="40"/>
      <c r="E276" s="11"/>
      <c r="F276" s="11"/>
      <c r="G276" s="11"/>
      <c r="H276" s="14"/>
      <c r="I276" s="14"/>
      <c r="J276" s="14"/>
      <c r="K276" s="14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39"/>
      <c r="B277" s="40"/>
      <c r="C277" s="40"/>
      <c r="D277" s="40"/>
      <c r="E277" s="11"/>
      <c r="F277" s="11"/>
      <c r="G277" s="11"/>
      <c r="H277" s="14"/>
      <c r="I277" s="14"/>
      <c r="J277" s="14"/>
      <c r="K277" s="14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39"/>
      <c r="B278" s="40"/>
      <c r="C278" s="40"/>
      <c r="D278" s="40"/>
      <c r="E278" s="11"/>
      <c r="F278" s="11"/>
      <c r="G278" s="11"/>
      <c r="H278" s="14"/>
      <c r="I278" s="14"/>
      <c r="J278" s="14"/>
      <c r="K278" s="14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9"/>
      <c r="B279" s="40"/>
      <c r="C279" s="40"/>
      <c r="D279" s="40"/>
      <c r="E279" s="11"/>
      <c r="F279" s="11"/>
      <c r="G279" s="11"/>
      <c r="H279" s="14"/>
      <c r="I279" s="14"/>
      <c r="J279" s="14"/>
      <c r="K279" s="14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39"/>
      <c r="B280" s="40"/>
      <c r="C280" s="40"/>
      <c r="D280" s="40"/>
      <c r="E280" s="11"/>
      <c r="F280" s="11"/>
      <c r="G280" s="11"/>
      <c r="H280" s="14"/>
      <c r="I280" s="14"/>
      <c r="J280" s="14"/>
      <c r="K280" s="14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39"/>
      <c r="B281" s="40"/>
      <c r="C281" s="40"/>
      <c r="D281" s="40"/>
      <c r="E281" s="11"/>
      <c r="F281" s="11"/>
      <c r="G281" s="11"/>
      <c r="H281" s="14"/>
      <c r="I281" s="14"/>
      <c r="J281" s="14"/>
      <c r="K281" s="14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39"/>
      <c r="B282" s="40"/>
      <c r="C282" s="40"/>
      <c r="D282" s="40"/>
      <c r="E282" s="11"/>
      <c r="F282" s="11"/>
      <c r="G282" s="11"/>
      <c r="H282" s="14"/>
      <c r="I282" s="14"/>
      <c r="J282" s="14"/>
      <c r="K282" s="1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39"/>
      <c r="B283" s="40"/>
      <c r="C283" s="40"/>
      <c r="D283" s="40"/>
      <c r="E283" s="11"/>
      <c r="F283" s="11"/>
      <c r="G283" s="11"/>
      <c r="H283" s="14"/>
      <c r="I283" s="14"/>
      <c r="J283" s="14"/>
      <c r="K283" s="14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39"/>
      <c r="B284" s="40"/>
      <c r="C284" s="40"/>
      <c r="D284" s="40"/>
      <c r="E284" s="11"/>
      <c r="F284" s="11"/>
      <c r="G284" s="11"/>
      <c r="H284" s="14"/>
      <c r="I284" s="14"/>
      <c r="J284" s="14"/>
      <c r="K284" s="14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39"/>
      <c r="B285" s="40"/>
      <c r="C285" s="40"/>
      <c r="D285" s="40"/>
      <c r="E285" s="11"/>
      <c r="F285" s="11"/>
      <c r="G285" s="11"/>
      <c r="H285" s="14"/>
      <c r="I285" s="14"/>
      <c r="J285" s="14"/>
      <c r="K285" s="14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39"/>
      <c r="B286" s="40"/>
      <c r="C286" s="40"/>
      <c r="D286" s="40"/>
      <c r="E286" s="11"/>
      <c r="F286" s="11"/>
      <c r="G286" s="11"/>
      <c r="H286" s="14"/>
      <c r="I286" s="14"/>
      <c r="J286" s="14"/>
      <c r="K286" s="14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39"/>
      <c r="B287" s="40"/>
      <c r="C287" s="40"/>
      <c r="D287" s="40"/>
      <c r="E287" s="11"/>
      <c r="F287" s="11"/>
      <c r="G287" s="11"/>
      <c r="H287" s="14"/>
      <c r="I287" s="14"/>
      <c r="J287" s="14"/>
      <c r="K287" s="14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39"/>
      <c r="B288" s="40"/>
      <c r="C288" s="40"/>
      <c r="D288" s="40"/>
      <c r="E288" s="11"/>
      <c r="F288" s="11"/>
      <c r="G288" s="11"/>
      <c r="H288" s="14"/>
      <c r="I288" s="14"/>
      <c r="J288" s="14"/>
      <c r="K288" s="14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9"/>
      <c r="B289" s="40"/>
      <c r="C289" s="40"/>
      <c r="D289" s="40"/>
      <c r="E289" s="11"/>
      <c r="F289" s="11"/>
      <c r="G289" s="11"/>
      <c r="H289" s="14"/>
      <c r="I289" s="14"/>
      <c r="J289" s="14"/>
      <c r="K289" s="14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39"/>
      <c r="B290" s="40"/>
      <c r="C290" s="40"/>
      <c r="D290" s="40"/>
      <c r="E290" s="11"/>
      <c r="F290" s="11"/>
      <c r="G290" s="11"/>
      <c r="H290" s="14"/>
      <c r="I290" s="14"/>
      <c r="J290" s="14"/>
      <c r="K290" s="14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39"/>
      <c r="B291" s="40"/>
      <c r="C291" s="40"/>
      <c r="D291" s="40"/>
      <c r="E291" s="11"/>
      <c r="F291" s="11"/>
      <c r="G291" s="11"/>
      <c r="H291" s="14"/>
      <c r="I291" s="14"/>
      <c r="J291" s="14"/>
      <c r="K291" s="14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39"/>
      <c r="B292" s="40"/>
      <c r="C292" s="40"/>
      <c r="D292" s="40"/>
      <c r="E292" s="11"/>
      <c r="F292" s="11"/>
      <c r="G292" s="11"/>
      <c r="H292" s="14"/>
      <c r="I292" s="14"/>
      <c r="J292" s="14"/>
      <c r="K292" s="14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39"/>
      <c r="B293" s="40"/>
      <c r="C293" s="40"/>
      <c r="D293" s="40"/>
      <c r="E293" s="11"/>
      <c r="F293" s="11"/>
      <c r="G293" s="11"/>
      <c r="H293" s="14"/>
      <c r="I293" s="14"/>
      <c r="J293" s="14"/>
      <c r="K293" s="14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39"/>
      <c r="B294" s="40"/>
      <c r="C294" s="40"/>
      <c r="D294" s="40"/>
      <c r="E294" s="11"/>
      <c r="F294" s="11"/>
      <c r="G294" s="11"/>
      <c r="H294" s="14"/>
      <c r="I294" s="14"/>
      <c r="J294" s="14"/>
      <c r="K294" s="14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39"/>
      <c r="B295" s="40"/>
      <c r="C295" s="40"/>
      <c r="D295" s="40"/>
      <c r="E295" s="11"/>
      <c r="F295" s="11"/>
      <c r="G295" s="11"/>
      <c r="H295" s="14"/>
      <c r="I295" s="14"/>
      <c r="J295" s="14"/>
      <c r="K295" s="14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39"/>
      <c r="B296" s="40"/>
      <c r="C296" s="40"/>
      <c r="D296" s="40"/>
      <c r="E296" s="11"/>
      <c r="F296" s="11"/>
      <c r="G296" s="11"/>
      <c r="H296" s="14"/>
      <c r="I296" s="14"/>
      <c r="J296" s="14"/>
      <c r="K296" s="14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39"/>
      <c r="B297" s="40"/>
      <c r="C297" s="40"/>
      <c r="D297" s="40"/>
      <c r="E297" s="11"/>
      <c r="F297" s="11"/>
      <c r="G297" s="11"/>
      <c r="H297" s="14"/>
      <c r="I297" s="14"/>
      <c r="J297" s="14"/>
      <c r="K297" s="14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39"/>
      <c r="B298" s="40"/>
      <c r="C298" s="40"/>
      <c r="D298" s="40"/>
      <c r="E298" s="11"/>
      <c r="F298" s="11"/>
      <c r="G298" s="11"/>
      <c r="H298" s="14"/>
      <c r="I298" s="14"/>
      <c r="J298" s="14"/>
      <c r="K298" s="14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39"/>
      <c r="B299" s="40"/>
      <c r="C299" s="40"/>
      <c r="D299" s="40"/>
      <c r="E299" s="11"/>
      <c r="F299" s="11"/>
      <c r="G299" s="11"/>
      <c r="H299" s="14"/>
      <c r="I299" s="14"/>
      <c r="J299" s="14"/>
      <c r="K299" s="14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39"/>
      <c r="B300" s="40"/>
      <c r="C300" s="40"/>
      <c r="D300" s="40"/>
      <c r="E300" s="11"/>
      <c r="F300" s="11"/>
      <c r="G300" s="11"/>
      <c r="H300" s="14"/>
      <c r="I300" s="14"/>
      <c r="J300" s="14"/>
      <c r="K300" s="14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39"/>
      <c r="B301" s="40"/>
      <c r="C301" s="40"/>
      <c r="D301" s="40"/>
      <c r="E301" s="11"/>
      <c r="F301" s="11"/>
      <c r="G301" s="11"/>
      <c r="H301" s="14"/>
      <c r="I301" s="14"/>
      <c r="J301" s="14"/>
      <c r="K301" s="14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9"/>
      <c r="B302" s="40"/>
      <c r="C302" s="40"/>
      <c r="D302" s="40"/>
      <c r="E302" s="11"/>
      <c r="F302" s="11"/>
      <c r="G302" s="11"/>
      <c r="H302" s="14"/>
      <c r="I302" s="14"/>
      <c r="J302" s="14"/>
      <c r="K302" s="14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39"/>
      <c r="B303" s="40"/>
      <c r="C303" s="40"/>
      <c r="D303" s="40"/>
      <c r="E303" s="11"/>
      <c r="F303" s="11"/>
      <c r="G303" s="11"/>
      <c r="H303" s="14"/>
      <c r="I303" s="14"/>
      <c r="J303" s="14"/>
      <c r="K303" s="14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39"/>
      <c r="B304" s="40"/>
      <c r="C304" s="40"/>
      <c r="D304" s="40"/>
      <c r="E304" s="11"/>
      <c r="F304" s="11"/>
      <c r="G304" s="11"/>
      <c r="H304" s="14"/>
      <c r="I304" s="14"/>
      <c r="J304" s="14"/>
      <c r="K304" s="14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39"/>
      <c r="B305" s="40"/>
      <c r="C305" s="40"/>
      <c r="D305" s="40"/>
      <c r="E305" s="11"/>
      <c r="F305" s="11"/>
      <c r="G305" s="11"/>
      <c r="H305" s="14"/>
      <c r="I305" s="14"/>
      <c r="J305" s="14"/>
      <c r="K305" s="14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39"/>
      <c r="B306" s="40"/>
      <c r="C306" s="40"/>
      <c r="D306" s="40"/>
      <c r="E306" s="11"/>
      <c r="F306" s="11"/>
      <c r="G306" s="11"/>
      <c r="H306" s="14"/>
      <c r="I306" s="14"/>
      <c r="J306" s="14"/>
      <c r="K306" s="14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39"/>
      <c r="B307" s="40"/>
      <c r="C307" s="40"/>
      <c r="D307" s="40"/>
      <c r="E307" s="11"/>
      <c r="F307" s="11"/>
      <c r="G307" s="11"/>
      <c r="H307" s="14"/>
      <c r="I307" s="14"/>
      <c r="J307" s="14"/>
      <c r="K307" s="14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39"/>
      <c r="B308" s="40"/>
      <c r="C308" s="40"/>
      <c r="D308" s="40"/>
      <c r="E308" s="11"/>
      <c r="F308" s="11"/>
      <c r="G308" s="11"/>
      <c r="H308" s="14"/>
      <c r="I308" s="14"/>
      <c r="J308" s="14"/>
      <c r="K308" s="14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39"/>
      <c r="B309" s="40"/>
      <c r="C309" s="40"/>
      <c r="D309" s="40"/>
      <c r="E309" s="11"/>
      <c r="F309" s="11"/>
      <c r="G309" s="11"/>
      <c r="H309" s="14"/>
      <c r="I309" s="14"/>
      <c r="J309" s="14"/>
      <c r="K309" s="14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39"/>
      <c r="B310" s="40"/>
      <c r="C310" s="40"/>
      <c r="D310" s="40"/>
      <c r="E310" s="11"/>
      <c r="F310" s="11"/>
      <c r="G310" s="11"/>
      <c r="H310" s="14"/>
      <c r="I310" s="14"/>
      <c r="J310" s="14"/>
      <c r="K310" s="14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39"/>
      <c r="B311" s="40"/>
      <c r="C311" s="40"/>
      <c r="D311" s="40"/>
      <c r="E311" s="11"/>
      <c r="F311" s="11"/>
      <c r="G311" s="11"/>
      <c r="H311" s="14"/>
      <c r="I311" s="14"/>
      <c r="J311" s="14"/>
      <c r="K311" s="14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39"/>
      <c r="B312" s="40"/>
      <c r="C312" s="40"/>
      <c r="D312" s="40"/>
      <c r="E312" s="11"/>
      <c r="F312" s="11"/>
      <c r="G312" s="11"/>
      <c r="H312" s="14"/>
      <c r="I312" s="14"/>
      <c r="J312" s="14"/>
      <c r="K312" s="14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39"/>
      <c r="B313" s="40"/>
      <c r="C313" s="40"/>
      <c r="D313" s="40"/>
      <c r="E313" s="11"/>
      <c r="F313" s="11"/>
      <c r="G313" s="11"/>
      <c r="H313" s="14"/>
      <c r="I313" s="14"/>
      <c r="J313" s="14"/>
      <c r="K313" s="14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39"/>
      <c r="B314" s="40"/>
      <c r="C314" s="40"/>
      <c r="D314" s="40"/>
      <c r="E314" s="11"/>
      <c r="F314" s="11"/>
      <c r="G314" s="11"/>
      <c r="H314" s="14"/>
      <c r="I314" s="14"/>
      <c r="J314" s="14"/>
      <c r="K314" s="14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39"/>
      <c r="B315" s="40"/>
      <c r="C315" s="40"/>
      <c r="D315" s="40"/>
      <c r="E315" s="11"/>
      <c r="F315" s="11"/>
      <c r="G315" s="11"/>
      <c r="H315" s="14"/>
      <c r="I315" s="14"/>
      <c r="J315" s="14"/>
      <c r="K315" s="14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39"/>
      <c r="B316" s="40"/>
      <c r="C316" s="40"/>
      <c r="D316" s="40"/>
      <c r="E316" s="11"/>
      <c r="F316" s="11"/>
      <c r="G316" s="11"/>
      <c r="H316" s="14"/>
      <c r="I316" s="14"/>
      <c r="J316" s="14"/>
      <c r="K316" s="1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39"/>
      <c r="B317" s="40"/>
      <c r="C317" s="40"/>
      <c r="D317" s="40"/>
      <c r="E317" s="11"/>
      <c r="F317" s="11"/>
      <c r="G317" s="11"/>
      <c r="H317" s="14"/>
      <c r="I317" s="14"/>
      <c r="J317" s="14"/>
      <c r="K317" s="14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39"/>
      <c r="B318" s="40"/>
      <c r="C318" s="40"/>
      <c r="D318" s="40"/>
      <c r="E318" s="11"/>
      <c r="F318" s="11"/>
      <c r="G318" s="11"/>
      <c r="H318" s="14"/>
      <c r="I318" s="14"/>
      <c r="J318" s="14"/>
      <c r="K318" s="14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39"/>
      <c r="B319" s="40"/>
      <c r="C319" s="40"/>
      <c r="D319" s="40"/>
      <c r="E319" s="11"/>
      <c r="F319" s="11"/>
      <c r="G319" s="11"/>
      <c r="H319" s="14"/>
      <c r="I319" s="14"/>
      <c r="J319" s="14"/>
      <c r="K319" s="14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39"/>
      <c r="B320" s="40"/>
      <c r="C320" s="40"/>
      <c r="D320" s="40"/>
      <c r="E320" s="11"/>
      <c r="F320" s="11"/>
      <c r="G320" s="11"/>
      <c r="H320" s="14"/>
      <c r="I320" s="14"/>
      <c r="J320" s="14"/>
      <c r="K320" s="14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39"/>
      <c r="B321" s="40"/>
      <c r="C321" s="40"/>
      <c r="D321" s="40"/>
      <c r="E321" s="11"/>
      <c r="F321" s="11"/>
      <c r="G321" s="11"/>
      <c r="H321" s="14"/>
      <c r="I321" s="14"/>
      <c r="J321" s="14"/>
      <c r="K321" s="14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39"/>
      <c r="B322" s="40"/>
      <c r="C322" s="40"/>
      <c r="D322" s="40"/>
      <c r="E322" s="11"/>
      <c r="F322" s="11"/>
      <c r="G322" s="11"/>
      <c r="H322" s="14"/>
      <c r="I322" s="14"/>
      <c r="J322" s="14"/>
      <c r="K322" s="14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39"/>
      <c r="B323" s="40"/>
      <c r="C323" s="40"/>
      <c r="D323" s="40"/>
      <c r="E323" s="11"/>
      <c r="F323" s="11"/>
      <c r="G323" s="11"/>
      <c r="H323" s="14"/>
      <c r="I323" s="14"/>
      <c r="J323" s="14"/>
      <c r="K323" s="14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39"/>
      <c r="B324" s="40"/>
      <c r="C324" s="40"/>
      <c r="D324" s="40"/>
      <c r="E324" s="11"/>
      <c r="F324" s="11"/>
      <c r="G324" s="11"/>
      <c r="H324" s="14"/>
      <c r="I324" s="14"/>
      <c r="J324" s="14"/>
      <c r="K324" s="14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39"/>
      <c r="B325" s="40"/>
      <c r="C325" s="40"/>
      <c r="D325" s="40"/>
      <c r="E325" s="11"/>
      <c r="F325" s="11"/>
      <c r="G325" s="11"/>
      <c r="H325" s="14"/>
      <c r="I325" s="14"/>
      <c r="J325" s="14"/>
      <c r="K325" s="14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39"/>
      <c r="B326" s="40"/>
      <c r="C326" s="40"/>
      <c r="D326" s="40"/>
      <c r="E326" s="11"/>
      <c r="F326" s="11"/>
      <c r="G326" s="11"/>
      <c r="H326" s="14"/>
      <c r="I326" s="14"/>
      <c r="J326" s="14"/>
      <c r="K326" s="14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39"/>
      <c r="B327" s="40"/>
      <c r="C327" s="40"/>
      <c r="D327" s="40"/>
      <c r="E327" s="11"/>
      <c r="F327" s="11"/>
      <c r="G327" s="11"/>
      <c r="H327" s="14"/>
      <c r="I327" s="14"/>
      <c r="J327" s="14"/>
      <c r="K327" s="14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39"/>
      <c r="B328" s="40"/>
      <c r="C328" s="40"/>
      <c r="D328" s="40"/>
      <c r="E328" s="11"/>
      <c r="F328" s="11"/>
      <c r="G328" s="11"/>
      <c r="H328" s="14"/>
      <c r="I328" s="14"/>
      <c r="J328" s="14"/>
      <c r="K328" s="14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39"/>
      <c r="B329" s="40"/>
      <c r="C329" s="40"/>
      <c r="D329" s="40"/>
      <c r="E329" s="11"/>
      <c r="F329" s="11"/>
      <c r="G329" s="11"/>
      <c r="H329" s="14"/>
      <c r="I329" s="14"/>
      <c r="J329" s="14"/>
      <c r="K329" s="14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39"/>
      <c r="B330" s="40"/>
      <c r="C330" s="40"/>
      <c r="D330" s="40"/>
      <c r="E330" s="11"/>
      <c r="F330" s="11"/>
      <c r="G330" s="11"/>
      <c r="H330" s="14"/>
      <c r="I330" s="14"/>
      <c r="J330" s="14"/>
      <c r="K330" s="14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39"/>
      <c r="B331" s="40"/>
      <c r="C331" s="40"/>
      <c r="D331" s="40"/>
      <c r="E331" s="11"/>
      <c r="F331" s="11"/>
      <c r="G331" s="11"/>
      <c r="H331" s="14"/>
      <c r="I331" s="14"/>
      <c r="J331" s="14"/>
      <c r="K331" s="14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9"/>
      <c r="B332" s="40"/>
      <c r="C332" s="40"/>
      <c r="D332" s="40"/>
      <c r="E332" s="11"/>
      <c r="F332" s="11"/>
      <c r="G332" s="11"/>
      <c r="H332" s="14"/>
      <c r="I332" s="14"/>
      <c r="J332" s="14"/>
      <c r="K332" s="14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39"/>
      <c r="B333" s="40"/>
      <c r="C333" s="40"/>
      <c r="D333" s="40"/>
      <c r="E333" s="11"/>
      <c r="F333" s="11"/>
      <c r="G333" s="11"/>
      <c r="H333" s="14"/>
      <c r="I333" s="14"/>
      <c r="J333" s="14"/>
      <c r="K333" s="14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39"/>
      <c r="B334" s="40"/>
      <c r="C334" s="40"/>
      <c r="D334" s="40"/>
      <c r="E334" s="11"/>
      <c r="F334" s="11"/>
      <c r="G334" s="11"/>
      <c r="H334" s="14"/>
      <c r="I334" s="14"/>
      <c r="J334" s="14"/>
      <c r="K334" s="14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39"/>
      <c r="B335" s="40"/>
      <c r="C335" s="40"/>
      <c r="D335" s="40"/>
      <c r="E335" s="11"/>
      <c r="F335" s="11"/>
      <c r="G335" s="11"/>
      <c r="H335" s="14"/>
      <c r="I335" s="14"/>
      <c r="J335" s="14"/>
      <c r="K335" s="14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39"/>
      <c r="B336" s="40"/>
      <c r="C336" s="40"/>
      <c r="D336" s="40"/>
      <c r="E336" s="11"/>
      <c r="F336" s="11"/>
      <c r="G336" s="11"/>
      <c r="H336" s="14"/>
      <c r="I336" s="14"/>
      <c r="J336" s="14"/>
      <c r="K336" s="14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39"/>
      <c r="B337" s="40"/>
      <c r="C337" s="40"/>
      <c r="D337" s="40"/>
      <c r="E337" s="11"/>
      <c r="F337" s="11"/>
      <c r="G337" s="11"/>
      <c r="H337" s="14"/>
      <c r="I337" s="14"/>
      <c r="J337" s="14"/>
      <c r="K337" s="14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39"/>
      <c r="B338" s="40"/>
      <c r="C338" s="40"/>
      <c r="D338" s="40"/>
      <c r="E338" s="11"/>
      <c r="F338" s="11"/>
      <c r="G338" s="11"/>
      <c r="H338" s="14"/>
      <c r="I338" s="14"/>
      <c r="J338" s="14"/>
      <c r="K338" s="14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39"/>
      <c r="B339" s="40"/>
      <c r="C339" s="40"/>
      <c r="D339" s="40"/>
      <c r="E339" s="11"/>
      <c r="F339" s="11"/>
      <c r="G339" s="11"/>
      <c r="H339" s="14"/>
      <c r="I339" s="14"/>
      <c r="J339" s="14"/>
      <c r="K339" s="14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39"/>
      <c r="B340" s="40"/>
      <c r="C340" s="40"/>
      <c r="D340" s="40"/>
      <c r="E340" s="11"/>
      <c r="F340" s="11"/>
      <c r="G340" s="11"/>
      <c r="H340" s="14"/>
      <c r="I340" s="14"/>
      <c r="J340" s="14"/>
      <c r="K340" s="14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39"/>
      <c r="B341" s="40"/>
      <c r="C341" s="40"/>
      <c r="D341" s="40"/>
      <c r="E341" s="11"/>
      <c r="F341" s="11"/>
      <c r="G341" s="11"/>
      <c r="H341" s="14"/>
      <c r="I341" s="14"/>
      <c r="J341" s="14"/>
      <c r="K341" s="14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39"/>
      <c r="B342" s="40"/>
      <c r="C342" s="40"/>
      <c r="D342" s="40"/>
      <c r="E342" s="11"/>
      <c r="F342" s="11"/>
      <c r="G342" s="11"/>
      <c r="H342" s="14"/>
      <c r="I342" s="14"/>
      <c r="J342" s="14"/>
      <c r="K342" s="14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39"/>
      <c r="B343" s="40"/>
      <c r="C343" s="40"/>
      <c r="D343" s="40"/>
      <c r="E343" s="11"/>
      <c r="F343" s="11"/>
      <c r="G343" s="11"/>
      <c r="H343" s="14"/>
      <c r="I343" s="14"/>
      <c r="J343" s="14"/>
      <c r="K343" s="14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39"/>
      <c r="B344" s="40"/>
      <c r="C344" s="40"/>
      <c r="D344" s="40"/>
      <c r="E344" s="11"/>
      <c r="F344" s="11"/>
      <c r="G344" s="11"/>
      <c r="H344" s="14"/>
      <c r="I344" s="14"/>
      <c r="J344" s="14"/>
      <c r="K344" s="14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39"/>
      <c r="B345" s="40"/>
      <c r="C345" s="40"/>
      <c r="D345" s="40"/>
      <c r="E345" s="11"/>
      <c r="F345" s="11"/>
      <c r="G345" s="11"/>
      <c r="H345" s="14"/>
      <c r="I345" s="14"/>
      <c r="J345" s="14"/>
      <c r="K345" s="14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39"/>
      <c r="B346" s="40"/>
      <c r="C346" s="40"/>
      <c r="D346" s="40"/>
      <c r="E346" s="11"/>
      <c r="F346" s="11"/>
      <c r="G346" s="11"/>
      <c r="H346" s="14"/>
      <c r="I346" s="14"/>
      <c r="J346" s="14"/>
      <c r="K346" s="14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39"/>
      <c r="B347" s="40"/>
      <c r="C347" s="40"/>
      <c r="D347" s="40"/>
      <c r="E347" s="11"/>
      <c r="F347" s="11"/>
      <c r="G347" s="11"/>
      <c r="H347" s="14"/>
      <c r="I347" s="14"/>
      <c r="J347" s="14"/>
      <c r="K347" s="14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39"/>
      <c r="B348" s="40"/>
      <c r="C348" s="40"/>
      <c r="D348" s="40"/>
      <c r="E348" s="11"/>
      <c r="F348" s="11"/>
      <c r="G348" s="11"/>
      <c r="H348" s="14"/>
      <c r="I348" s="14"/>
      <c r="J348" s="14"/>
      <c r="K348" s="14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39"/>
      <c r="B349" s="40"/>
      <c r="C349" s="40"/>
      <c r="D349" s="40"/>
      <c r="E349" s="11"/>
      <c r="F349" s="11"/>
      <c r="G349" s="11"/>
      <c r="H349" s="14"/>
      <c r="I349" s="14"/>
      <c r="J349" s="14"/>
      <c r="K349" s="14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39"/>
      <c r="B350" s="40"/>
      <c r="C350" s="40"/>
      <c r="D350" s="40"/>
      <c r="E350" s="11"/>
      <c r="F350" s="11"/>
      <c r="G350" s="11"/>
      <c r="H350" s="14"/>
      <c r="I350" s="14"/>
      <c r="J350" s="14"/>
      <c r="K350" s="14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39"/>
      <c r="B351" s="40"/>
      <c r="C351" s="40"/>
      <c r="D351" s="40"/>
      <c r="E351" s="11"/>
      <c r="F351" s="11"/>
      <c r="G351" s="11"/>
      <c r="H351" s="14"/>
      <c r="I351" s="14"/>
      <c r="J351" s="14"/>
      <c r="K351" s="14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39"/>
      <c r="B352" s="40"/>
      <c r="C352" s="40"/>
      <c r="D352" s="40"/>
      <c r="E352" s="11"/>
      <c r="F352" s="11"/>
      <c r="G352" s="11"/>
      <c r="H352" s="14"/>
      <c r="I352" s="14"/>
      <c r="J352" s="14"/>
      <c r="K352" s="14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39"/>
      <c r="B353" s="40"/>
      <c r="C353" s="40"/>
      <c r="D353" s="40"/>
      <c r="E353" s="11"/>
      <c r="F353" s="11"/>
      <c r="G353" s="11"/>
      <c r="H353" s="14"/>
      <c r="I353" s="14"/>
      <c r="J353" s="14"/>
      <c r="K353" s="14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39"/>
      <c r="B354" s="40"/>
      <c r="C354" s="40"/>
      <c r="D354" s="40"/>
      <c r="E354" s="11"/>
      <c r="F354" s="11"/>
      <c r="G354" s="11"/>
      <c r="H354" s="14"/>
      <c r="I354" s="14"/>
      <c r="J354" s="14"/>
      <c r="K354" s="14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39"/>
      <c r="B355" s="40"/>
      <c r="C355" s="40"/>
      <c r="D355" s="40"/>
      <c r="E355" s="11"/>
      <c r="F355" s="11"/>
      <c r="G355" s="11"/>
      <c r="H355" s="14"/>
      <c r="I355" s="14"/>
      <c r="J355" s="14"/>
      <c r="K355" s="14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39"/>
      <c r="B356" s="40"/>
      <c r="C356" s="40"/>
      <c r="D356" s="40"/>
      <c r="E356" s="11"/>
      <c r="F356" s="11"/>
      <c r="G356" s="11"/>
      <c r="H356" s="14"/>
      <c r="I356" s="14"/>
      <c r="J356" s="14"/>
      <c r="K356" s="14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39"/>
      <c r="B357" s="40"/>
      <c r="C357" s="40"/>
      <c r="D357" s="40"/>
      <c r="E357" s="11"/>
      <c r="F357" s="11"/>
      <c r="G357" s="11"/>
      <c r="H357" s="14"/>
      <c r="I357" s="14"/>
      <c r="J357" s="14"/>
      <c r="K357" s="14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39"/>
      <c r="B358" s="40"/>
      <c r="C358" s="40"/>
      <c r="D358" s="40"/>
      <c r="E358" s="11"/>
      <c r="F358" s="11"/>
      <c r="G358" s="11"/>
      <c r="H358" s="14"/>
      <c r="I358" s="14"/>
      <c r="J358" s="14"/>
      <c r="K358" s="14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39"/>
      <c r="B359" s="40"/>
      <c r="C359" s="40"/>
      <c r="D359" s="40"/>
      <c r="E359" s="11"/>
      <c r="F359" s="11"/>
      <c r="G359" s="11"/>
      <c r="H359" s="14"/>
      <c r="I359" s="14"/>
      <c r="J359" s="14"/>
      <c r="K359" s="14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39"/>
      <c r="B360" s="40"/>
      <c r="C360" s="40"/>
      <c r="D360" s="40"/>
      <c r="E360" s="11"/>
      <c r="F360" s="11"/>
      <c r="G360" s="11"/>
      <c r="H360" s="14"/>
      <c r="I360" s="14"/>
      <c r="J360" s="14"/>
      <c r="K360" s="14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39"/>
      <c r="B361" s="40"/>
      <c r="C361" s="40"/>
      <c r="D361" s="40"/>
      <c r="E361" s="11"/>
      <c r="F361" s="11"/>
      <c r="G361" s="11"/>
      <c r="H361" s="14"/>
      <c r="I361" s="14"/>
      <c r="J361" s="14"/>
      <c r="K361" s="14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39"/>
      <c r="B362" s="40"/>
      <c r="C362" s="40"/>
      <c r="D362" s="40"/>
      <c r="E362" s="11"/>
      <c r="F362" s="11"/>
      <c r="G362" s="11"/>
      <c r="H362" s="14"/>
      <c r="I362" s="14"/>
      <c r="J362" s="14"/>
      <c r="K362" s="14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39"/>
      <c r="B363" s="40"/>
      <c r="C363" s="40"/>
      <c r="D363" s="40"/>
      <c r="E363" s="11"/>
      <c r="F363" s="11"/>
      <c r="G363" s="11"/>
      <c r="H363" s="14"/>
      <c r="I363" s="14"/>
      <c r="J363" s="14"/>
      <c r="K363" s="14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39"/>
      <c r="B364" s="40"/>
      <c r="C364" s="40"/>
      <c r="D364" s="40"/>
      <c r="E364" s="11"/>
      <c r="F364" s="11"/>
      <c r="G364" s="11"/>
      <c r="H364" s="14"/>
      <c r="I364" s="14"/>
      <c r="J364" s="14"/>
      <c r="K364" s="14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39"/>
      <c r="B365" s="40"/>
      <c r="C365" s="40"/>
      <c r="D365" s="40"/>
      <c r="E365" s="11"/>
      <c r="F365" s="11"/>
      <c r="G365" s="11"/>
      <c r="H365" s="14"/>
      <c r="I365" s="14"/>
      <c r="J365" s="14"/>
      <c r="K365" s="14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39"/>
      <c r="B366" s="40"/>
      <c r="C366" s="40"/>
      <c r="D366" s="40"/>
      <c r="E366" s="11"/>
      <c r="F366" s="11"/>
      <c r="G366" s="11"/>
      <c r="H366" s="14"/>
      <c r="I366" s="14"/>
      <c r="J366" s="14"/>
      <c r="K366" s="14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39"/>
      <c r="B367" s="40"/>
      <c r="C367" s="40"/>
      <c r="D367" s="40"/>
      <c r="E367" s="11"/>
      <c r="F367" s="11"/>
      <c r="G367" s="11"/>
      <c r="H367" s="14"/>
      <c r="I367" s="14"/>
      <c r="J367" s="14"/>
      <c r="K367" s="14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39"/>
      <c r="B368" s="40"/>
      <c r="C368" s="40"/>
      <c r="D368" s="40"/>
      <c r="E368" s="11"/>
      <c r="F368" s="11"/>
      <c r="G368" s="11"/>
      <c r="H368" s="14"/>
      <c r="I368" s="14"/>
      <c r="J368" s="14"/>
      <c r="K368" s="14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39"/>
      <c r="B369" s="40"/>
      <c r="C369" s="40"/>
      <c r="D369" s="40"/>
      <c r="E369" s="11"/>
      <c r="F369" s="11"/>
      <c r="G369" s="11"/>
      <c r="H369" s="14"/>
      <c r="I369" s="14"/>
      <c r="J369" s="14"/>
      <c r="K369" s="14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39"/>
      <c r="B370" s="40"/>
      <c r="C370" s="40"/>
      <c r="D370" s="40"/>
      <c r="E370" s="11"/>
      <c r="F370" s="11"/>
      <c r="G370" s="11"/>
      <c r="H370" s="14"/>
      <c r="I370" s="14"/>
      <c r="J370" s="14"/>
      <c r="K370" s="14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39"/>
      <c r="B371" s="40"/>
      <c r="C371" s="40"/>
      <c r="D371" s="40"/>
      <c r="E371" s="11"/>
      <c r="F371" s="11"/>
      <c r="G371" s="11"/>
      <c r="H371" s="14"/>
      <c r="I371" s="14"/>
      <c r="J371" s="14"/>
      <c r="K371" s="14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39"/>
      <c r="B372" s="40"/>
      <c r="C372" s="40"/>
      <c r="D372" s="40"/>
      <c r="E372" s="11"/>
      <c r="F372" s="11"/>
      <c r="G372" s="11"/>
      <c r="H372" s="14"/>
      <c r="I372" s="14"/>
      <c r="J372" s="14"/>
      <c r="K372" s="14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39"/>
      <c r="B373" s="40"/>
      <c r="C373" s="40"/>
      <c r="D373" s="40"/>
      <c r="E373" s="11"/>
      <c r="F373" s="11"/>
      <c r="G373" s="11"/>
      <c r="H373" s="14"/>
      <c r="I373" s="14"/>
      <c r="J373" s="14"/>
      <c r="K373" s="14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39"/>
      <c r="B374" s="40"/>
      <c r="C374" s="40"/>
      <c r="D374" s="40"/>
      <c r="E374" s="11"/>
      <c r="F374" s="11"/>
      <c r="G374" s="11"/>
      <c r="H374" s="14"/>
      <c r="I374" s="14"/>
      <c r="J374" s="14"/>
      <c r="K374" s="14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39"/>
      <c r="B375" s="40"/>
      <c r="C375" s="40"/>
      <c r="D375" s="40"/>
      <c r="E375" s="11"/>
      <c r="F375" s="11"/>
      <c r="G375" s="11"/>
      <c r="H375" s="14"/>
      <c r="I375" s="14"/>
      <c r="J375" s="14"/>
      <c r="K375" s="14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39"/>
      <c r="B376" s="40"/>
      <c r="C376" s="40"/>
      <c r="D376" s="40"/>
      <c r="E376" s="11"/>
      <c r="F376" s="11"/>
      <c r="G376" s="11"/>
      <c r="H376" s="14"/>
      <c r="I376" s="14"/>
      <c r="J376" s="14"/>
      <c r="K376" s="14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39"/>
      <c r="B377" s="40"/>
      <c r="C377" s="40"/>
      <c r="D377" s="40"/>
      <c r="E377" s="11"/>
      <c r="F377" s="11"/>
      <c r="G377" s="11"/>
      <c r="H377" s="14"/>
      <c r="I377" s="14"/>
      <c r="J377" s="14"/>
      <c r="K377" s="14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39"/>
      <c r="B378" s="40"/>
      <c r="C378" s="40"/>
      <c r="D378" s="40"/>
      <c r="E378" s="11"/>
      <c r="F378" s="11"/>
      <c r="G378" s="11"/>
      <c r="H378" s="14"/>
      <c r="I378" s="14"/>
      <c r="J378" s="14"/>
      <c r="K378" s="14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39"/>
      <c r="B379" s="40"/>
      <c r="C379" s="40"/>
      <c r="D379" s="40"/>
      <c r="E379" s="11"/>
      <c r="F379" s="11"/>
      <c r="G379" s="11"/>
      <c r="H379" s="14"/>
      <c r="I379" s="14"/>
      <c r="J379" s="14"/>
      <c r="K379" s="14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39"/>
      <c r="B380" s="40"/>
      <c r="C380" s="40"/>
      <c r="D380" s="40"/>
      <c r="E380" s="11"/>
      <c r="F380" s="11"/>
      <c r="G380" s="11"/>
      <c r="H380" s="14"/>
      <c r="I380" s="14"/>
      <c r="J380" s="14"/>
      <c r="K380" s="14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39"/>
      <c r="B381" s="40"/>
      <c r="C381" s="40"/>
      <c r="D381" s="40"/>
      <c r="E381" s="11"/>
      <c r="F381" s="11"/>
      <c r="G381" s="11"/>
      <c r="H381" s="14"/>
      <c r="I381" s="14"/>
      <c r="J381" s="14"/>
      <c r="K381" s="14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39"/>
      <c r="B382" s="40"/>
      <c r="C382" s="40"/>
      <c r="D382" s="40"/>
      <c r="E382" s="11"/>
      <c r="F382" s="11"/>
      <c r="G382" s="11"/>
      <c r="H382" s="14"/>
      <c r="I382" s="14"/>
      <c r="J382" s="14"/>
      <c r="K382" s="14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39"/>
      <c r="B383" s="40"/>
      <c r="C383" s="40"/>
      <c r="D383" s="40"/>
      <c r="E383" s="11"/>
      <c r="F383" s="11"/>
      <c r="G383" s="11"/>
      <c r="H383" s="14"/>
      <c r="I383" s="14"/>
      <c r="J383" s="14"/>
      <c r="K383" s="14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39"/>
      <c r="B384" s="40"/>
      <c r="C384" s="40"/>
      <c r="D384" s="40"/>
      <c r="E384" s="11"/>
      <c r="F384" s="11"/>
      <c r="G384" s="11"/>
      <c r="H384" s="14"/>
      <c r="I384" s="14"/>
      <c r="J384" s="14"/>
      <c r="K384" s="14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39"/>
      <c r="B385" s="40"/>
      <c r="C385" s="40"/>
      <c r="D385" s="40"/>
      <c r="E385" s="11"/>
      <c r="F385" s="11"/>
      <c r="G385" s="11"/>
      <c r="H385" s="14"/>
      <c r="I385" s="14"/>
      <c r="J385" s="14"/>
      <c r="K385" s="14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39"/>
      <c r="B386" s="40"/>
      <c r="C386" s="40"/>
      <c r="D386" s="40"/>
      <c r="E386" s="11"/>
      <c r="F386" s="11"/>
      <c r="G386" s="11"/>
      <c r="H386" s="14"/>
      <c r="I386" s="14"/>
      <c r="J386" s="14"/>
      <c r="K386" s="14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39"/>
      <c r="B387" s="40"/>
      <c r="C387" s="40"/>
      <c r="D387" s="40"/>
      <c r="E387" s="11"/>
      <c r="F387" s="11"/>
      <c r="G387" s="11"/>
      <c r="H387" s="14"/>
      <c r="I387" s="14"/>
      <c r="J387" s="14"/>
      <c r="K387" s="14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39"/>
      <c r="B388" s="40"/>
      <c r="C388" s="40"/>
      <c r="D388" s="40"/>
      <c r="E388" s="11"/>
      <c r="F388" s="11"/>
      <c r="G388" s="11"/>
      <c r="H388" s="14"/>
      <c r="I388" s="14"/>
      <c r="J388" s="14"/>
      <c r="K388" s="14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39"/>
      <c r="B389" s="40"/>
      <c r="C389" s="40"/>
      <c r="D389" s="40"/>
      <c r="E389" s="11"/>
      <c r="F389" s="11"/>
      <c r="G389" s="11"/>
      <c r="H389" s="14"/>
      <c r="I389" s="14"/>
      <c r="J389" s="14"/>
      <c r="K389" s="14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39"/>
      <c r="B390" s="40"/>
      <c r="C390" s="40"/>
      <c r="D390" s="40"/>
      <c r="E390" s="11"/>
      <c r="F390" s="11"/>
      <c r="G390" s="11"/>
      <c r="H390" s="14"/>
      <c r="I390" s="14"/>
      <c r="J390" s="14"/>
      <c r="K390" s="14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39"/>
      <c r="B391" s="40"/>
      <c r="C391" s="40"/>
      <c r="D391" s="40"/>
      <c r="E391" s="11"/>
      <c r="F391" s="11"/>
      <c r="G391" s="11"/>
      <c r="H391" s="14"/>
      <c r="I391" s="14"/>
      <c r="J391" s="14"/>
      <c r="K391" s="14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39"/>
      <c r="B392" s="40"/>
      <c r="C392" s="40"/>
      <c r="D392" s="40"/>
      <c r="E392" s="11"/>
      <c r="F392" s="11"/>
      <c r="G392" s="11"/>
      <c r="H392" s="14"/>
      <c r="I392" s="14"/>
      <c r="J392" s="14"/>
      <c r="K392" s="14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39"/>
      <c r="B393" s="40"/>
      <c r="C393" s="40"/>
      <c r="D393" s="40"/>
      <c r="E393" s="11"/>
      <c r="F393" s="11"/>
      <c r="G393" s="11"/>
      <c r="H393" s="14"/>
      <c r="I393" s="14"/>
      <c r="J393" s="14"/>
      <c r="K393" s="14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39"/>
      <c r="B394" s="40"/>
      <c r="C394" s="40"/>
      <c r="D394" s="40"/>
      <c r="E394" s="11"/>
      <c r="F394" s="11"/>
      <c r="G394" s="11"/>
      <c r="H394" s="14"/>
      <c r="I394" s="14"/>
      <c r="J394" s="14"/>
      <c r="K394" s="14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39"/>
      <c r="B395" s="40"/>
      <c r="C395" s="40"/>
      <c r="D395" s="40"/>
      <c r="E395" s="11"/>
      <c r="F395" s="11"/>
      <c r="G395" s="11"/>
      <c r="H395" s="14"/>
      <c r="I395" s="14"/>
      <c r="J395" s="14"/>
      <c r="K395" s="14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39"/>
      <c r="B396" s="40"/>
      <c r="C396" s="40"/>
      <c r="D396" s="40"/>
      <c r="E396" s="11"/>
      <c r="F396" s="11"/>
      <c r="G396" s="11"/>
      <c r="H396" s="14"/>
      <c r="I396" s="14"/>
      <c r="J396" s="14"/>
      <c r="K396" s="14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39"/>
      <c r="B397" s="40"/>
      <c r="C397" s="40"/>
      <c r="D397" s="40"/>
      <c r="E397" s="11"/>
      <c r="F397" s="11"/>
      <c r="G397" s="11"/>
      <c r="H397" s="14"/>
      <c r="I397" s="14"/>
      <c r="J397" s="14"/>
      <c r="K397" s="14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39"/>
      <c r="B398" s="40"/>
      <c r="C398" s="40"/>
      <c r="D398" s="40"/>
      <c r="E398" s="11"/>
      <c r="F398" s="11"/>
      <c r="G398" s="11"/>
      <c r="H398" s="14"/>
      <c r="I398" s="14"/>
      <c r="J398" s="14"/>
      <c r="K398" s="14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39"/>
      <c r="B399" s="40"/>
      <c r="C399" s="40"/>
      <c r="D399" s="40"/>
      <c r="E399" s="11"/>
      <c r="F399" s="11"/>
      <c r="G399" s="11"/>
      <c r="H399" s="14"/>
      <c r="I399" s="14"/>
      <c r="J399" s="14"/>
      <c r="K399" s="14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39"/>
      <c r="B400" s="40"/>
      <c r="C400" s="40"/>
      <c r="D400" s="40"/>
      <c r="E400" s="11"/>
      <c r="F400" s="11"/>
      <c r="G400" s="11"/>
      <c r="H400" s="14"/>
      <c r="I400" s="14"/>
      <c r="J400" s="14"/>
      <c r="K400" s="14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39"/>
      <c r="B401" s="40"/>
      <c r="C401" s="40"/>
      <c r="D401" s="40"/>
      <c r="E401" s="11"/>
      <c r="F401" s="11"/>
      <c r="G401" s="11"/>
      <c r="H401" s="14"/>
      <c r="I401" s="14"/>
      <c r="J401" s="14"/>
      <c r="K401" s="14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39"/>
      <c r="B402" s="40"/>
      <c r="C402" s="40"/>
      <c r="D402" s="40"/>
      <c r="E402" s="11"/>
      <c r="F402" s="11"/>
      <c r="G402" s="11"/>
      <c r="H402" s="14"/>
      <c r="I402" s="14"/>
      <c r="J402" s="14"/>
      <c r="K402" s="14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39"/>
      <c r="B403" s="40"/>
      <c r="C403" s="40"/>
      <c r="D403" s="40"/>
      <c r="E403" s="11"/>
      <c r="F403" s="11"/>
      <c r="G403" s="11"/>
      <c r="H403" s="14"/>
      <c r="I403" s="14"/>
      <c r="J403" s="14"/>
      <c r="K403" s="14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39"/>
      <c r="B404" s="40"/>
      <c r="C404" s="40"/>
      <c r="D404" s="40"/>
      <c r="E404" s="11"/>
      <c r="F404" s="11"/>
      <c r="G404" s="11"/>
      <c r="H404" s="14"/>
      <c r="I404" s="14"/>
      <c r="J404" s="14"/>
      <c r="K404" s="14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39"/>
      <c r="B405" s="40"/>
      <c r="C405" s="40"/>
      <c r="D405" s="40"/>
      <c r="E405" s="11"/>
      <c r="F405" s="11"/>
      <c r="G405" s="11"/>
      <c r="H405" s="14"/>
      <c r="I405" s="14"/>
      <c r="J405" s="14"/>
      <c r="K405" s="14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39"/>
      <c r="B406" s="40"/>
      <c r="C406" s="40"/>
      <c r="D406" s="40"/>
      <c r="E406" s="11"/>
      <c r="F406" s="11"/>
      <c r="G406" s="11"/>
      <c r="H406" s="14"/>
      <c r="I406" s="14"/>
      <c r="J406" s="14"/>
      <c r="K406" s="14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39"/>
      <c r="B407" s="40"/>
      <c r="C407" s="40"/>
      <c r="D407" s="40"/>
      <c r="E407" s="11"/>
      <c r="F407" s="11"/>
      <c r="G407" s="11"/>
      <c r="H407" s="14"/>
      <c r="I407" s="14"/>
      <c r="J407" s="14"/>
      <c r="K407" s="14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39"/>
      <c r="B408" s="40"/>
      <c r="C408" s="40"/>
      <c r="D408" s="40"/>
      <c r="E408" s="11"/>
      <c r="F408" s="11"/>
      <c r="G408" s="11"/>
      <c r="H408" s="14"/>
      <c r="I408" s="14"/>
      <c r="J408" s="14"/>
      <c r="K408" s="14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39"/>
      <c r="B409" s="40"/>
      <c r="C409" s="40"/>
      <c r="D409" s="40"/>
      <c r="E409" s="11"/>
      <c r="F409" s="11"/>
      <c r="G409" s="11"/>
      <c r="H409" s="14"/>
      <c r="I409" s="14"/>
      <c r="J409" s="14"/>
      <c r="K409" s="14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39"/>
      <c r="B410" s="40"/>
      <c r="C410" s="40"/>
      <c r="D410" s="40"/>
      <c r="E410" s="11"/>
      <c r="F410" s="11"/>
      <c r="G410" s="11"/>
      <c r="H410" s="14"/>
      <c r="I410" s="14"/>
      <c r="J410" s="14"/>
      <c r="K410" s="14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39"/>
      <c r="B411" s="40"/>
      <c r="C411" s="40"/>
      <c r="D411" s="40"/>
      <c r="E411" s="11"/>
      <c r="F411" s="11"/>
      <c r="G411" s="11"/>
      <c r="H411" s="14"/>
      <c r="I411" s="14"/>
      <c r="J411" s="14"/>
      <c r="K411" s="14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39"/>
      <c r="B412" s="40"/>
      <c r="C412" s="40"/>
      <c r="D412" s="40"/>
      <c r="E412" s="11"/>
      <c r="F412" s="11"/>
      <c r="G412" s="11"/>
      <c r="H412" s="14"/>
      <c r="I412" s="14"/>
      <c r="J412" s="14"/>
      <c r="K412" s="14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39"/>
      <c r="B413" s="40"/>
      <c r="C413" s="40"/>
      <c r="D413" s="40"/>
      <c r="E413" s="11"/>
      <c r="F413" s="11"/>
      <c r="G413" s="11"/>
      <c r="H413" s="14"/>
      <c r="I413" s="14"/>
      <c r="J413" s="14"/>
      <c r="K413" s="14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39"/>
      <c r="B414" s="40"/>
      <c r="C414" s="40"/>
      <c r="D414" s="40"/>
      <c r="E414" s="11"/>
      <c r="F414" s="11"/>
      <c r="G414" s="11"/>
      <c r="H414" s="14"/>
      <c r="I414" s="14"/>
      <c r="J414" s="14"/>
      <c r="K414" s="14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39"/>
      <c r="B415" s="40"/>
      <c r="C415" s="40"/>
      <c r="D415" s="40"/>
      <c r="E415" s="11"/>
      <c r="F415" s="11"/>
      <c r="G415" s="11"/>
      <c r="H415" s="14"/>
      <c r="I415" s="14"/>
      <c r="J415" s="14"/>
      <c r="K415" s="14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39"/>
      <c r="B416" s="40"/>
      <c r="C416" s="40"/>
      <c r="D416" s="40"/>
      <c r="E416" s="11"/>
      <c r="F416" s="11"/>
      <c r="G416" s="11"/>
      <c r="H416" s="14"/>
      <c r="I416" s="14"/>
      <c r="J416" s="14"/>
      <c r="K416" s="14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39"/>
      <c r="B417" s="40"/>
      <c r="C417" s="40"/>
      <c r="D417" s="40"/>
      <c r="E417" s="11"/>
      <c r="F417" s="11"/>
      <c r="G417" s="11"/>
      <c r="H417" s="14"/>
      <c r="I417" s="14"/>
      <c r="J417" s="14"/>
      <c r="K417" s="14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39"/>
      <c r="B418" s="40"/>
      <c r="C418" s="40"/>
      <c r="D418" s="40"/>
      <c r="E418" s="11"/>
      <c r="F418" s="11"/>
      <c r="G418" s="11"/>
      <c r="H418" s="14"/>
      <c r="I418" s="14"/>
      <c r="J418" s="14"/>
      <c r="K418" s="14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39"/>
      <c r="B419" s="40"/>
      <c r="C419" s="40"/>
      <c r="D419" s="40"/>
      <c r="E419" s="11"/>
      <c r="F419" s="11"/>
      <c r="G419" s="11"/>
      <c r="H419" s="14"/>
      <c r="I419" s="14"/>
      <c r="J419" s="14"/>
      <c r="K419" s="14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39"/>
      <c r="B420" s="40"/>
      <c r="C420" s="40"/>
      <c r="D420" s="40"/>
      <c r="E420" s="11"/>
      <c r="F420" s="11"/>
      <c r="G420" s="11"/>
      <c r="H420" s="14"/>
      <c r="I420" s="14"/>
      <c r="J420" s="14"/>
      <c r="K420" s="14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39"/>
      <c r="B421" s="40"/>
      <c r="C421" s="40"/>
      <c r="D421" s="40"/>
      <c r="E421" s="11"/>
      <c r="F421" s="11"/>
      <c r="G421" s="11"/>
      <c r="H421" s="14"/>
      <c r="I421" s="14"/>
      <c r="J421" s="14"/>
      <c r="K421" s="14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39"/>
      <c r="B422" s="40"/>
      <c r="C422" s="40"/>
      <c r="D422" s="40"/>
      <c r="E422" s="11"/>
      <c r="F422" s="11"/>
      <c r="G422" s="11"/>
      <c r="H422" s="14"/>
      <c r="I422" s="14"/>
      <c r="J422" s="14"/>
      <c r="K422" s="14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39"/>
      <c r="B423" s="40"/>
      <c r="C423" s="40"/>
      <c r="D423" s="40"/>
      <c r="E423" s="11"/>
      <c r="F423" s="11"/>
      <c r="G423" s="11"/>
      <c r="H423" s="14"/>
      <c r="I423" s="14"/>
      <c r="J423" s="14"/>
      <c r="K423" s="14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39"/>
      <c r="B424" s="40"/>
      <c r="C424" s="40"/>
      <c r="D424" s="40"/>
      <c r="E424" s="11"/>
      <c r="F424" s="11"/>
      <c r="G424" s="11"/>
      <c r="H424" s="14"/>
      <c r="I424" s="14"/>
      <c r="J424" s="14"/>
      <c r="K424" s="14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39"/>
      <c r="B425" s="40"/>
      <c r="C425" s="40"/>
      <c r="D425" s="40"/>
      <c r="E425" s="11"/>
      <c r="F425" s="11"/>
      <c r="G425" s="11"/>
      <c r="H425" s="14"/>
      <c r="I425" s="14"/>
      <c r="J425" s="14"/>
      <c r="K425" s="14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39"/>
      <c r="B426" s="40"/>
      <c r="C426" s="40"/>
      <c r="D426" s="40"/>
      <c r="E426" s="11"/>
      <c r="F426" s="11"/>
      <c r="G426" s="11"/>
      <c r="H426" s="14"/>
      <c r="I426" s="14"/>
      <c r="J426" s="14"/>
      <c r="K426" s="14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39"/>
      <c r="B427" s="40"/>
      <c r="C427" s="40"/>
      <c r="D427" s="40"/>
      <c r="E427" s="11"/>
      <c r="F427" s="11"/>
      <c r="G427" s="11"/>
      <c r="H427" s="14"/>
      <c r="I427" s="14"/>
      <c r="J427" s="14"/>
      <c r="K427" s="14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39"/>
      <c r="B428" s="40"/>
      <c r="C428" s="40"/>
      <c r="D428" s="40"/>
      <c r="E428" s="11"/>
      <c r="F428" s="11"/>
      <c r="G428" s="11"/>
      <c r="H428" s="14"/>
      <c r="I428" s="14"/>
      <c r="J428" s="14"/>
      <c r="K428" s="14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39"/>
      <c r="B429" s="40"/>
      <c r="C429" s="40"/>
      <c r="D429" s="40"/>
      <c r="E429" s="11"/>
      <c r="F429" s="11"/>
      <c r="G429" s="11"/>
      <c r="H429" s="14"/>
      <c r="I429" s="14"/>
      <c r="J429" s="14"/>
      <c r="K429" s="14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39"/>
      <c r="B430" s="40"/>
      <c r="C430" s="40"/>
      <c r="D430" s="40"/>
      <c r="E430" s="11"/>
      <c r="F430" s="11"/>
      <c r="G430" s="11"/>
      <c r="H430" s="14"/>
      <c r="I430" s="14"/>
      <c r="J430" s="14"/>
      <c r="K430" s="14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39"/>
      <c r="B431" s="40"/>
      <c r="C431" s="40"/>
      <c r="D431" s="40"/>
      <c r="E431" s="11"/>
      <c r="F431" s="11"/>
      <c r="G431" s="11"/>
      <c r="H431" s="14"/>
      <c r="I431" s="14"/>
      <c r="J431" s="14"/>
      <c r="K431" s="14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39"/>
      <c r="B432" s="40"/>
      <c r="C432" s="40"/>
      <c r="D432" s="40"/>
      <c r="E432" s="11"/>
      <c r="F432" s="11"/>
      <c r="G432" s="11"/>
      <c r="H432" s="14"/>
      <c r="I432" s="14"/>
      <c r="J432" s="14"/>
      <c r="K432" s="14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39"/>
      <c r="B433" s="40"/>
      <c r="C433" s="40"/>
      <c r="D433" s="40"/>
      <c r="E433" s="11"/>
      <c r="F433" s="11"/>
      <c r="G433" s="11"/>
      <c r="H433" s="14"/>
      <c r="I433" s="14"/>
      <c r="J433" s="14"/>
      <c r="K433" s="14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39"/>
      <c r="B434" s="40"/>
      <c r="C434" s="40"/>
      <c r="D434" s="40"/>
      <c r="E434" s="11"/>
      <c r="F434" s="11"/>
      <c r="G434" s="11"/>
      <c r="H434" s="14"/>
      <c r="I434" s="14"/>
      <c r="J434" s="14"/>
      <c r="K434" s="14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39"/>
      <c r="B435" s="40"/>
      <c r="C435" s="40"/>
      <c r="D435" s="40"/>
      <c r="E435" s="11"/>
      <c r="F435" s="11"/>
      <c r="G435" s="11"/>
      <c r="H435" s="14"/>
      <c r="I435" s="14"/>
      <c r="J435" s="14"/>
      <c r="K435" s="14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39"/>
      <c r="B436" s="40"/>
      <c r="C436" s="40"/>
      <c r="D436" s="40"/>
      <c r="E436" s="11"/>
      <c r="F436" s="11"/>
      <c r="G436" s="11"/>
      <c r="H436" s="14"/>
      <c r="I436" s="14"/>
      <c r="J436" s="14"/>
      <c r="K436" s="14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39"/>
      <c r="B437" s="40"/>
      <c r="C437" s="40"/>
      <c r="D437" s="40"/>
      <c r="E437" s="11"/>
      <c r="F437" s="11"/>
      <c r="G437" s="11"/>
      <c r="H437" s="14"/>
      <c r="I437" s="14"/>
      <c r="J437" s="14"/>
      <c r="K437" s="14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39"/>
      <c r="B438" s="40"/>
      <c r="C438" s="40"/>
      <c r="D438" s="40"/>
      <c r="E438" s="11"/>
      <c r="F438" s="11"/>
      <c r="G438" s="11"/>
      <c r="H438" s="14"/>
      <c r="I438" s="14"/>
      <c r="J438" s="14"/>
      <c r="K438" s="14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39"/>
      <c r="B439" s="40"/>
      <c r="C439" s="40"/>
      <c r="D439" s="40"/>
      <c r="E439" s="11"/>
      <c r="F439" s="11"/>
      <c r="G439" s="11"/>
      <c r="H439" s="14"/>
      <c r="I439" s="14"/>
      <c r="J439" s="14"/>
      <c r="K439" s="14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39"/>
      <c r="B440" s="40"/>
      <c r="C440" s="40"/>
      <c r="D440" s="40"/>
      <c r="E440" s="11"/>
      <c r="F440" s="11"/>
      <c r="G440" s="11"/>
      <c r="H440" s="14"/>
      <c r="I440" s="14"/>
      <c r="J440" s="14"/>
      <c r="K440" s="14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39"/>
      <c r="B441" s="40"/>
      <c r="C441" s="40"/>
      <c r="D441" s="40"/>
      <c r="E441" s="11"/>
      <c r="F441" s="11"/>
      <c r="G441" s="11"/>
      <c r="H441" s="14"/>
      <c r="I441" s="14"/>
      <c r="J441" s="14"/>
      <c r="K441" s="14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39"/>
      <c r="B442" s="40"/>
      <c r="C442" s="40"/>
      <c r="D442" s="40"/>
      <c r="E442" s="11"/>
      <c r="F442" s="11"/>
      <c r="G442" s="11"/>
      <c r="H442" s="14"/>
      <c r="I442" s="14"/>
      <c r="J442" s="14"/>
      <c r="K442" s="14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39"/>
      <c r="B443" s="40"/>
      <c r="C443" s="40"/>
      <c r="D443" s="40"/>
      <c r="E443" s="11"/>
      <c r="F443" s="11"/>
      <c r="G443" s="11"/>
      <c r="H443" s="14"/>
      <c r="I443" s="14"/>
      <c r="J443" s="14"/>
      <c r="K443" s="14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39"/>
      <c r="B444" s="40"/>
      <c r="C444" s="40"/>
      <c r="D444" s="40"/>
      <c r="E444" s="11"/>
      <c r="F444" s="11"/>
      <c r="G444" s="11"/>
      <c r="H444" s="14"/>
      <c r="I444" s="14"/>
      <c r="J444" s="14"/>
      <c r="K444" s="14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39"/>
      <c r="B445" s="40"/>
      <c r="C445" s="40"/>
      <c r="D445" s="40"/>
      <c r="E445" s="11"/>
      <c r="F445" s="11"/>
      <c r="G445" s="11"/>
      <c r="H445" s="14"/>
      <c r="I445" s="14"/>
      <c r="J445" s="14"/>
      <c r="K445" s="14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39"/>
      <c r="B446" s="40"/>
      <c r="C446" s="40"/>
      <c r="D446" s="40"/>
      <c r="E446" s="11"/>
      <c r="F446" s="11"/>
      <c r="G446" s="11"/>
      <c r="H446" s="14"/>
      <c r="I446" s="14"/>
      <c r="J446" s="14"/>
      <c r="K446" s="14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39"/>
      <c r="B447" s="40"/>
      <c r="C447" s="40"/>
      <c r="D447" s="40"/>
      <c r="E447" s="11"/>
      <c r="F447" s="11"/>
      <c r="G447" s="11"/>
      <c r="H447" s="14"/>
      <c r="I447" s="14"/>
      <c r="J447" s="14"/>
      <c r="K447" s="14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39"/>
      <c r="B448" s="40"/>
      <c r="C448" s="40"/>
      <c r="D448" s="40"/>
      <c r="E448" s="11"/>
      <c r="F448" s="11"/>
      <c r="G448" s="11"/>
      <c r="H448" s="14"/>
      <c r="I448" s="14"/>
      <c r="J448" s="14"/>
      <c r="K448" s="14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</sheetData>
  <conditionalFormatting sqref="A4:D448">
    <cfRule type="cellIs" dxfId="0" priority="1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43"/>
    <col customWidth="1" min="3" max="3" width="9.71"/>
    <col customWidth="1" min="4" max="4" width="26.14"/>
    <col customWidth="1" min="5" max="5" width="13.29"/>
    <col customWidth="1" min="6" max="6" width="10.0"/>
    <col customWidth="1" min="7" max="7" width="15.29"/>
    <col customWidth="1" min="8" max="8" width="8.29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5" t="s">
        <v>3</v>
      </c>
      <c r="C1" s="6"/>
      <c r="D1" s="7"/>
      <c r="E1" s="8" t="s">
        <v>4</v>
      </c>
      <c r="F1" s="11">
        <f>SUM(C:C)</f>
        <v>-37682.497</v>
      </c>
      <c r="G1" s="13" t="s">
        <v>6</v>
      </c>
      <c r="H1" s="14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158</v>
      </c>
      <c r="C2" s="6"/>
      <c r="D2" s="7"/>
      <c r="E2" s="21" t="s">
        <v>8</v>
      </c>
      <c r="F2" s="22">
        <v>80915.44</v>
      </c>
      <c r="G2" s="11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21">
        <f>F1+F2</f>
        <v>43232.943</v>
      </c>
      <c r="G3" s="22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IF(ROWS(A$4:A4)&lt;=$B$2,INDEX(data!C$3:C$16128,SMALL(IF(data!$D$3:$D$16128=$B$1,ROW(data!$A$3:$A$16128)-ROW($A$3)+1),ROWS(A$4:A4))),"")</f>
        <v>44557</v>
      </c>
      <c r="B4" s="19" t="str">
        <f t="array" ref="B4">IF(ROWS(B$4:B4)&lt;=$B$2,INDEX(data!A$3:A$16128,SMALL(IF(data!$D$3:$D$16128='Лозeнец'!$B$1,ROW(data!$A$3:$A$16128)-ROW($A$3)+1),ROWS(B$4:B4))),"")</f>
        <v>MYPOS Бакалия</v>
      </c>
      <c r="C4" s="19">
        <f t="array" ref="C4">IF(ROWS(C$4:C4)&lt;=$B$2,INDEX(data!B$3:B$16128,SMALL(IF(data!$D$3:$D$16128='Лозeнец'!$B$1,ROW(data!$A$3:$A$16128)-ROW($A$3)+1),ROWS(C$4:C4))),"")</f>
        <v>-0.01</v>
      </c>
      <c r="D4" s="7" t="str">
        <f t="array" ref="D4">IF(ROWS(D$4:D4)&lt;=$B$2,INDEX(data!E$3:E$16128,SMALL(IF(data!$D$3:$D$16128='Лозeнец'!$B$1,ROW(data!$A$3:$A$16128)-ROW($A$3)+1),ROWS(D$4:D4))),"")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IF(ROWS(A$4:A5)&lt;=$B$2,INDEX(data!C$3:C$16128,SMALL(IF(data!$D$3:$D$16128=$B$1,ROW(data!$A$3:$A$16128)-ROW($A$3)+1),ROWS(A$4:A5))),"")</f>
        <v>46025</v>
      </c>
      <c r="B5" s="19" t="str">
        <f t="array" ref="B5">IF(ROWS(B$4:B5)&lt;=$B$2,INDEX(data!A$3:A$16128,SMALL(IF(data!$D$3:$D$16128='Лозeнец'!$B$1,ROW(data!$A$3:$A$16128)-ROW($A$3)+1),ROWS(B$4:B5))),"")</f>
        <v>ЗАЕМ</v>
      </c>
      <c r="C5" s="19">
        <f t="array" ref="C5">IF(ROWS(C$4:C5)&lt;=$B$2,INDEX(data!B$3:B$16128,SMALL(IF(data!$D$3:$D$16128='Лозeнец'!$B$1,ROW(data!$A$3:$A$16128)-ROW($A$3)+1),ROWS(C$4:C5))),"")</f>
        <v>16789.63</v>
      </c>
      <c r="D5" s="7" t="str">
        <f t="array" ref="D5">IF(ROWS(D$4:D5)&lt;=$B$2,INDEX(data!E$3:E$16128,SMALL(IF(data!$D$3:$D$16128='Лозeнец'!$B$1,ROW(data!$A$3:$A$16128)-ROW($A$3)+1),ROWS(D$4:D5))),"")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IF(ROWS(A$4:A6)&lt;=$B$2,INDEX(data!C$3:C$16128,SMALL(IF(data!$D$3:$D$16128=$B$1,ROW(data!$A$3:$A$16128)-ROW($A$3)+1),ROWS(A$4:A6))),"")</f>
        <v>46027</v>
      </c>
      <c r="B6" s="19" t="str">
        <f t="array" ref="B6">IF(ROWS(B$4:B6)&lt;=$B$2,INDEX(data!A$3:A$16128,SMALL(IF(data!$D$3:$D$16128='Лозeнец'!$B$1,ROW(data!$A$3:$A$16128)-ROW($A$3)+1),ROWS(B$4:B6))),"")</f>
        <v>КАСОВА КНИГА</v>
      </c>
      <c r="C6" s="19">
        <f t="array" ref="C6">IF(ROWS(C$4:C6)&lt;=$B$2,INDEX(data!B$3:B$16128,SMALL(IF(data!$D$3:$D$16128='Лозeнец'!$B$1,ROW(data!$A$3:$A$16128)-ROW($A$3)+1),ROWS(C$4:C6))),"")</f>
        <v>-5624.21</v>
      </c>
      <c r="D6" s="7" t="str">
        <f t="array" ref="D6">IF(ROWS(D$4:D6)&lt;=$B$2,INDEX(data!E$3:E$16128,SMALL(IF(data!$D$3:$D$16128='Лозeнец'!$B$1,ROW(data!$A$3:$A$16128)-ROW($A$3)+1),ROWS(D$4:D6))),"")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IF(ROWS(A$4:A7)&lt;=$B$2,INDEX(data!C$3:C$16128,SMALL(IF(data!$D$3:$D$16128=$B$1,ROW(data!$A$3:$A$16128)-ROW($A$3)+1),ROWS(A$4:A7))),"")</f>
        <v>46027</v>
      </c>
      <c r="B7" s="19" t="str">
        <f t="array" ref="B7">IF(ROWS(B$4:B7)&lt;=$B$2,INDEX(data!A$3:A$16128,SMALL(IF(data!$D$3:$D$16128='Лозeнец'!$B$1,ROW(data!$A$3:$A$16128)-ROW($A$3)+1),ROWS(B$4:B7))),"")</f>
        <v>MYPOS Бакалия</v>
      </c>
      <c r="C7" s="19">
        <f t="array" ref="C7">IF(ROWS(C$4:C7)&lt;=$B$2,INDEX(data!B$3:B$16128,SMALL(IF(data!$D$3:$D$16128='Лозeнец'!$B$1,ROW(data!$A$3:$A$16128)-ROW($A$3)+1),ROWS(C$4:C7))),"")</f>
        <v>-3973.32</v>
      </c>
      <c r="D7" s="7" t="str">
        <f t="array" ref="D7">IF(ROWS(D$4:D7)&lt;=$B$2,INDEX(data!E$3:E$16128,SMALL(IF(data!$D$3:$D$16128='Лозeнец'!$B$1,ROW(data!$A$3:$A$16128)-ROW($A$3)+1),ROWS(D$4:D7))),"")</f>
        <v/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IF(ROWS(A$4:A8)&lt;=$B$2,INDEX(data!C$3:C$16128,SMALL(IF(data!$D$3:$D$16128=$B$1,ROW(data!$A$3:$A$16128)-ROW($A$3)+1),ROWS(A$4:A8))),"")</f>
        <v>46027</v>
      </c>
      <c r="B8" s="19" t="str">
        <f t="array" ref="B8">IF(ROWS(B$4:B8)&lt;=$B$2,INDEX(data!A$3:A$16128,SMALL(IF(data!$D$3:$D$16128='Лозeнец'!$B$1,ROW(data!$A$3:$A$16128)-ROW($A$3)+1),ROWS(B$4:B8))),"")</f>
        <v>КАСОВА КНИГА</v>
      </c>
      <c r="C8" s="19">
        <f t="array" ref="C8">IF(ROWS(C$4:C8)&lt;=$B$2,INDEX(data!B$3:B$16128,SMALL(IF(data!$D$3:$D$16128='Лозeнец'!$B$1,ROW(data!$A$3:$A$16128)-ROW($A$3)+1),ROWS(C$4:C8))),"")</f>
        <v>-1789.52</v>
      </c>
      <c r="D8" s="7" t="str">
        <f t="array" ref="D8">IF(ROWS(D$4:D8)&lt;=$B$2,INDEX(data!E$3:E$16128,SMALL(IF(data!$D$3:$D$16128='Лозeнец'!$B$1,ROW(data!$A$3:$A$16128)-ROW($A$3)+1),ROWS(D$4:D8))),"")</f>
        <v/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IF(ROWS(A$4:A9)&lt;=$B$2,INDEX(data!C$3:C$16128,SMALL(IF(data!$D$3:$D$16128=$B$1,ROW(data!$A$3:$A$16128)-ROW($A$3)+1),ROWS(A$4:A9))),"")</f>
        <v>46027</v>
      </c>
      <c r="B9" s="19" t="str">
        <f t="array" ref="B9">IF(ROWS(B$4:B9)&lt;=$B$2,INDEX(data!A$3:A$16128,SMALL(IF(data!$D$3:$D$16128='Лозeнец'!$B$1,ROW(data!$A$3:$A$16128)-ROW($A$3)+1),ROWS(B$4:B9))),"")</f>
        <v>MYPOS Бакалия</v>
      </c>
      <c r="C9" s="19">
        <f t="array" ref="C9">IF(ROWS(C$4:C9)&lt;=$B$2,INDEX(data!B$3:B$16128,SMALL(IF(data!$D$3:$D$16128='Лозeнец'!$B$1,ROW(data!$A$3:$A$16128)-ROW($A$3)+1),ROWS(C$4:C9))),"")</f>
        <v>-5151.96</v>
      </c>
      <c r="D9" s="7" t="str">
        <f t="array" ref="D9">IF(ROWS(D$4:D9)&lt;=$B$2,INDEX(data!E$3:E$16128,SMALL(IF(data!$D$3:$D$16128='Лозeнец'!$B$1,ROW(data!$A$3:$A$16128)-ROW($A$3)+1),ROWS(D$4:D9))),"")</f>
        <v>29-31,12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IF(ROWS(A$4:A10)&lt;=$B$2,INDEX(data!C$3:C$16128,SMALL(IF(data!$D$3:$D$16128=$B$1,ROW(data!$A$3:$A$16128)-ROW($A$3)+1),ROWS(A$4:A10))),"")</f>
        <v>46027</v>
      </c>
      <c r="B10" s="19" t="str">
        <f t="array" ref="B10">IF(ROWS(B$4:B10)&lt;=$B$2,INDEX(data!A$3:A$16128,SMALL(IF(data!$D$3:$D$16128='Лозeнец'!$B$1,ROW(data!$A$3:$A$16128)-ROW($A$3)+1),ROWS(B$4:B10))),"")</f>
        <v>КАСОВА КНИГА</v>
      </c>
      <c r="C10" s="19">
        <f t="array" ref="C10">IF(ROWS(C$4:C10)&lt;=$B$2,INDEX(data!B$3:B$16128,SMALL(IF(data!$D$3:$D$16128='Лозeнец'!$B$1,ROW(data!$A$3:$A$16128)-ROW($A$3)+1),ROWS(C$4:C10))),"")</f>
        <v>5665</v>
      </c>
      <c r="D10" s="7" t="str">
        <f t="array" ref="D10">IF(ROWS(D$4:D10)&lt;=$B$2,INDEX(data!E$3:E$16128,SMALL(IF(data!$D$3:$D$16128='Лозeнец'!$B$1,ROW(data!$A$3:$A$16128)-ROW($A$3)+1),ROWS(D$4:D10))),"")</f>
        <v>евро</v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IF(ROWS(A$4:A11)&lt;=$B$2,INDEX(data!C$3:C$16128,SMALL(IF(data!$D$3:$D$16128=$B$1,ROW(data!$A$3:$A$16128)-ROW($A$3)+1),ROWS(A$4:A11))),"")</f>
        <v>46028</v>
      </c>
      <c r="B11" s="19" t="str">
        <f t="array" ref="B11">IF(ROWS(B$4:B11)&lt;=$B$2,INDEX(data!A$3:A$16128,SMALL(IF(data!$D$3:$D$16128='Лозeнец'!$B$1,ROW(data!$A$3:$A$16128)-ROW($A$3)+1),ROWS(B$4:B11))),"")</f>
        <v>каса ФИКТИВНА</v>
      </c>
      <c r="C11" s="19">
        <f t="array" ref="C11">IF(ROWS(C$4:C11)&lt;=$B$2,INDEX(data!B$3:B$16128,SMALL(IF(data!$D$3:$D$16128='Лозeнец'!$B$1,ROW(data!$A$3:$A$16128)-ROW($A$3)+1),ROWS(C$4:C11))),"")</f>
        <v>-350</v>
      </c>
      <c r="D11" s="7" t="str">
        <f t="array" ref="D11">IF(ROWS(D$4:D11)&lt;=$B$2,INDEX(data!E$3:E$16128,SMALL(IF(data!$D$3:$D$16128='Лозeнец'!$B$1,ROW(data!$A$3:$A$16128)-ROW($A$3)+1),ROWS(D$4:D11))),"")</f>
        <v>Мимето от премиите</v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IF(ROWS(A$4:A12)&lt;=$B$2,INDEX(data!C$3:C$16128,SMALL(IF(data!$D$3:$D$16128=$B$1,ROW(data!$A$3:$A$16128)-ROW($A$3)+1),ROWS(A$4:A12))),"")</f>
        <v>46029</v>
      </c>
      <c r="B12" s="19" t="str">
        <f t="array" ref="B12">IF(ROWS(B$4:B12)&lt;=$B$2,INDEX(data!A$3:A$16128,SMALL(IF(data!$D$3:$D$16128='Лозeнец'!$B$1,ROW(data!$A$3:$A$16128)-ROW($A$3)+1),ROWS(B$4:B12))),"")</f>
        <v>КАСОВА КНИГА</v>
      </c>
      <c r="C12" s="19">
        <f t="array" ref="C12">IF(ROWS(C$4:C12)&lt;=$B$2,INDEX(data!B$3:B$16128,SMALL(IF(data!$D$3:$D$16128='Лозeнец'!$B$1,ROW(data!$A$3:$A$16128)-ROW($A$3)+1),ROWS(C$4:C12))),"")</f>
        <v>-2000</v>
      </c>
      <c r="D12" s="7" t="str">
        <f t="array" ref="D12">IF(ROWS(D$4:D12)&lt;=$B$2,INDEX(data!E$3:E$16128,SMALL(IF(data!$D$3:$D$16128='Лозeнец'!$B$1,ROW(data!$A$3:$A$16128)-ROW($A$3)+1),ROWS(D$4:D12))),"")</f>
        <v/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IF(ROWS(A$4:A13)&lt;=$B$2,INDEX(data!C$3:C$16128,SMALL(IF(data!$D$3:$D$16128=$B$1,ROW(data!$A$3:$A$16128)-ROW($A$3)+1),ROWS(A$4:A13))),"")</f>
        <v>46030</v>
      </c>
      <c r="B13" s="19" t="str">
        <f t="array" ref="B13">IF(ROWS(B$4:B13)&lt;=$B$2,INDEX(data!A$3:A$16128,SMALL(IF(data!$D$3:$D$16128='Лозeнец'!$B$1,ROW(data!$A$3:$A$16128)-ROW($A$3)+1),ROWS(B$4:B13))),"")</f>
        <v>КАСОВА КНИГА</v>
      </c>
      <c r="C13" s="19">
        <f t="array" ref="C13">IF(ROWS(C$4:C13)&lt;=$B$2,INDEX(data!B$3:B$16128,SMALL(IF(data!$D$3:$D$16128='Лозeнец'!$B$1,ROW(data!$A$3:$A$16128)-ROW($A$3)+1),ROWS(C$4:C13))),"")</f>
        <v>-777</v>
      </c>
      <c r="D13" s="7" t="str">
        <f t="array" ref="D13">IF(ROWS(D$4:D13)&lt;=$B$2,INDEX(data!E$3:E$16128,SMALL(IF(data!$D$3:$D$16128='Лозeнец'!$B$1,ROW(data!$A$3:$A$16128)-ROW($A$3)+1),ROWS(D$4:D13))),"")</f>
        <v/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IF(ROWS(A$4:A14)&lt;=$B$2,INDEX(data!C$3:C$16128,SMALL(IF(data!$D$3:$D$16128=$B$1,ROW(data!$A$3:$A$16128)-ROW($A$3)+1),ROWS(A$4:A14))),"")</f>
        <v>46030</v>
      </c>
      <c r="B14" s="19" t="str">
        <f t="array" ref="B14">IF(ROWS(B$4:B14)&lt;=$B$2,INDEX(data!A$3:A$16128,SMALL(IF(data!$D$3:$D$16128='Лозeнец'!$B$1,ROW(data!$A$3:$A$16128)-ROW($A$3)+1),ROWS(B$4:B14))),"")</f>
        <v>Каса ВАУЧЕРИ</v>
      </c>
      <c r="C14" s="19">
        <f t="array" ref="C14">IF(ROWS(C$4:C14)&lt;=$B$2,INDEX(data!B$3:B$16128,SMALL(IF(data!$D$3:$D$16128='Лозeнец'!$B$1,ROW(data!$A$3:$A$16128)-ROW($A$3)+1),ROWS(C$4:C14))),"")</f>
        <v>-7.16</v>
      </c>
      <c r="D14" s="7" t="str">
        <f t="array" ref="D14">IF(ROWS(D$4:D14)&lt;=$B$2,INDEX(data!E$3:E$16128,SMALL(IF(data!$D$3:$D$16128='Лозeнец'!$B$1,ROW(data!$A$3:$A$16128)-ROW($A$3)+1),ROWS(D$4:D14))),"")</f>
        <v>за 22.12</v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IF(ROWS(A$4:A15)&lt;=$B$2,INDEX(data!C$3:C$16128,SMALL(IF(data!$D$3:$D$16128=$B$1,ROW(data!$A$3:$A$16128)-ROW($A$3)+1),ROWS(A$4:A15))),"")</f>
        <v>46031</v>
      </c>
      <c r="B15" s="19" t="str">
        <f t="array" ref="B15">IF(ROWS(B$4:B15)&lt;=$B$2,INDEX(data!A$3:A$16128,SMALL(IF(data!$D$3:$D$16128='Лозeнец'!$B$1,ROW(data!$A$3:$A$16128)-ROW($A$3)+1),ROWS(B$4:B15))),"")</f>
        <v>КАСОВА КНИГА</v>
      </c>
      <c r="C15" s="19">
        <f t="array" ref="C15">IF(ROWS(C$4:C15)&lt;=$B$2,INDEX(data!B$3:B$16128,SMALL(IF(data!$D$3:$D$16128='Лозeнец'!$B$1,ROW(data!$A$3:$A$16128)-ROW($A$3)+1),ROWS(C$4:C15))),"")</f>
        <v>-2000</v>
      </c>
      <c r="D15" s="7" t="str">
        <f t="array" ref="D15">IF(ROWS(D$4:D15)&lt;=$B$2,INDEX(data!E$3:E$16128,SMALL(IF(data!$D$3:$D$16128='Лозeнец'!$B$1,ROW(data!$A$3:$A$16128)-ROW($A$3)+1),ROWS(D$4:D15))),"")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IF(ROWS(A$4:A16)&lt;=$B$2,INDEX(data!C$3:C$16128,SMALL(IF(data!$D$3:$D$16128=$B$1,ROW(data!$A$3:$A$16128)-ROW($A$3)+1),ROWS(A$4:A16))),"")</f>
        <v>46035</v>
      </c>
      <c r="B16" s="19" t="str">
        <f t="array" ref="B16">IF(ROWS(B$4:B16)&lt;=$B$2,INDEX(data!A$3:A$16128,SMALL(IF(data!$D$3:$D$16128='Лозeнец'!$B$1,ROW(data!$A$3:$A$16128)-ROW($A$3)+1),ROWS(B$4:B16))),"")</f>
        <v>MYPOS Бакалия</v>
      </c>
      <c r="C16" s="19">
        <f t="array" ref="C16">IF(ROWS(C$4:C16)&lt;=$B$2,INDEX(data!B$3:B$16128,SMALL(IF(data!$D$3:$D$16128='Лозeнец'!$B$1,ROW(data!$A$3:$A$16128)-ROW($A$3)+1),ROWS(C$4:C16))),"")</f>
        <v>-10453.3</v>
      </c>
      <c r="D16" s="7" t="str">
        <f t="array" ref="D16">IF(ROWS(D$4:D16)&lt;=$B$2,INDEX(data!E$3:E$16128,SMALL(IF(data!$D$3:$D$16128='Лозeнец'!$B$1,ROW(data!$A$3:$A$16128)-ROW($A$3)+1),ROWS(D$4:D16))),"")</f>
        <v/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IF(ROWS(A$4:A17)&lt;=$B$2,INDEX(data!C$3:C$16128,SMALL(IF(data!$D$3:$D$16128=$B$1,ROW(data!$A$3:$A$16128)-ROW($A$3)+1),ROWS(A$4:A17))),"")</f>
        <v>46037</v>
      </c>
      <c r="B17" s="19" t="str">
        <f t="array" ref="B17">IF(ROWS(B$4:B17)&lt;=$B$2,INDEX(data!A$3:A$16128,SMALL(IF(data!$D$3:$D$16128='Лозeнец'!$B$1,ROW(data!$A$3:$A$16128)-ROW($A$3)+1),ROWS(B$4:B17))),"")</f>
        <v>каса ФИКТИВНА</v>
      </c>
      <c r="C17" s="19">
        <f t="array" ref="C17">IF(ROWS(C$4:C17)&lt;=$B$2,INDEX(data!B$3:B$16128,SMALL(IF(data!$D$3:$D$16128='Лозeнец'!$B$1,ROW(data!$A$3:$A$16128)-ROW($A$3)+1),ROWS(C$4:C17))),"")</f>
        <v>-12.19</v>
      </c>
      <c r="D17" s="7" t="str">
        <f t="array" ref="D17">IF(ROWS(D$4:D17)&lt;=$B$2,INDEX(data!E$3:E$16128,SMALL(IF(data!$D$3:$D$16128='Лозeнец'!$B$1,ROW(data!$A$3:$A$16128)-ROW($A$3)+1),ROWS(D$4:D17))),"")</f>
        <v>аптека Тихомир</v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IF(ROWS(A$4:A18)&lt;=$B$2,INDEX(data!C$3:C$16128,SMALL(IF(data!$D$3:$D$16128=$B$1,ROW(data!$A$3:$A$16128)-ROW($A$3)+1),ROWS(A$4:A18))),"")</f>
        <v>46037</v>
      </c>
      <c r="B18" s="19" t="str">
        <f t="array" ref="B18">IF(ROWS(B$4:B18)&lt;=$B$2,INDEX(data!A$3:A$16128,SMALL(IF(data!$D$3:$D$16128='Лозeнец'!$B$1,ROW(data!$A$3:$A$16128)-ROW($A$3)+1),ROWS(B$4:B18))),"")</f>
        <v>каса ФИКТИВНА</v>
      </c>
      <c r="C18" s="19">
        <f t="array" ref="C18">IF(ROWS(C$4:C18)&lt;=$B$2,INDEX(data!B$3:B$16128,SMALL(IF(data!$D$3:$D$16128='Лозeнец'!$B$1,ROW(data!$A$3:$A$16128)-ROW($A$3)+1),ROWS(C$4:C18))),"")</f>
        <v>-38.3</v>
      </c>
      <c r="D18" s="7" t="str">
        <f t="array" ref="D18">IF(ROWS(D$4:D18)&lt;=$B$2,INDEX(data!E$3:E$16128,SMALL(IF(data!$D$3:$D$16128='Лозeнец'!$B$1,ROW(data!$A$3:$A$16128)-ROW($A$3)+1),ROWS(D$4:D18))),"")</f>
        <v>аптека Тихомир 14.01</v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IF(ROWS(A$4:A19)&lt;=$B$2,INDEX(data!C$3:C$16128,SMALL(IF(data!$D$3:$D$16128=$B$1,ROW(data!$A$3:$A$16128)-ROW($A$3)+1),ROWS(A$4:A19))),"")</f>
        <v>46041</v>
      </c>
      <c r="B19" s="19" t="str">
        <f t="array" ref="B19">IF(ROWS(B$4:B19)&lt;=$B$2,INDEX(data!A$3:A$16128,SMALL(IF(data!$D$3:$D$16128='Лозeнец'!$B$1,ROW(data!$A$3:$A$16128)-ROW($A$3)+1),ROWS(B$4:B19))),"")</f>
        <v>MYPOS Бакалия</v>
      </c>
      <c r="C19" s="19">
        <f t="array" ref="C19">IF(ROWS(C$4:C19)&lt;=$B$2,INDEX(data!B$3:B$16128,SMALL(IF(data!$D$3:$D$16128='Лозeнец'!$B$1,ROW(data!$A$3:$A$16128)-ROW($A$3)+1),ROWS(C$4:C19))),"")</f>
        <v>-12029.91</v>
      </c>
      <c r="D19" s="7" t="str">
        <f t="array" ref="D19">IF(ROWS(D$4:D19)&lt;=$B$2,INDEX(data!E$3:E$16128,SMALL(IF(data!$D$3:$D$16128='Лозeнец'!$B$1,ROW(data!$A$3:$A$16128)-ROW($A$3)+1),ROWS(D$4:D19))),"")</f>
        <v/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IF(ROWS(A$4:A20)&lt;=$B$2,INDEX(data!C$3:C$16128,SMALL(IF(data!$D$3:$D$16128=$B$1,ROW(data!$A$3:$A$16128)-ROW($A$3)+1),ROWS(A$4:A20))),"")</f>
        <v>46043</v>
      </c>
      <c r="B20" s="19" t="str">
        <f t="array" ref="B20">IF(ROWS(B$4:B20)&lt;=$B$2,INDEX(data!A$3:A$16128,SMALL(IF(data!$D$3:$D$16128='Лозeнец'!$B$1,ROW(data!$A$3:$A$16128)-ROW($A$3)+1),ROWS(B$4:B20))),"")</f>
        <v>Каса ВАУЧЕРИ</v>
      </c>
      <c r="C20" s="19">
        <f t="array" ref="C20">IF(ROWS(C$4:C20)&lt;=$B$2,INDEX(data!B$3:B$16128,SMALL(IF(data!$D$3:$D$16128='Лозeнец'!$B$1,ROW(data!$A$3:$A$16128)-ROW($A$3)+1),ROWS(C$4:C20))),"")</f>
        <v>920.33</v>
      </c>
      <c r="D20" s="7" t="str">
        <f t="array" ref="D20">IF(ROWS(D$4:D20)&lt;=$B$2,INDEX(data!E$3:E$16128,SMALL(IF(data!$D$3:$D$16128='Лозeнец'!$B$1,ROW(data!$A$3:$A$16128)-ROW($A$3)+1),ROWS(D$4:D20))),"")</f>
        <v>ваучери персонал</v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IF(ROWS(A$4:A21)&lt;=$B$2,INDEX(data!C$3:C$16128,SMALL(IF(data!$D$3:$D$16128=$B$1,ROW(data!$A$3:$A$16128)-ROW($A$3)+1),ROWS(A$4:A21))),"")</f>
        <v>46043</v>
      </c>
      <c r="B21" s="19" t="str">
        <f t="array" ref="B21">IF(ROWS(B$4:B21)&lt;=$B$2,INDEX(data!A$3:A$16128,SMALL(IF(data!$D$3:$D$16128='Лозeнец'!$B$1,ROW(data!$A$3:$A$16128)-ROW($A$3)+1),ROWS(B$4:B21))),"")</f>
        <v>каса ФИКТИВНА</v>
      </c>
      <c r="C21" s="19">
        <f t="array" ref="C21">IF(ROWS(C$4:C21)&lt;=$B$2,INDEX(data!B$3:B$16128,SMALL(IF(data!$D$3:$D$16128='Лозeнец'!$B$1,ROW(data!$A$3:$A$16128)-ROW($A$3)+1),ROWS(C$4:C21))),"")</f>
        <v>-8</v>
      </c>
      <c r="D21" s="7" t="str">
        <f t="array" ref="D21">IF(ROWS(D$4:D21)&lt;=$B$2,INDEX(data!E$3:E$16128,SMALL(IF(data!$D$3:$D$16128='Лозeнец'!$B$1,ROW(data!$A$3:$A$16128)-ROW($A$3)+1),ROWS(D$4:D21))),"")</f>
        <v>Ния от заплатата</v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IF(ROWS(A$4:A22)&lt;=$B$2,INDEX(data!C$3:C$16128,SMALL(IF(data!$D$3:$D$16128=$B$1,ROW(data!$A$3:$A$16128)-ROW($A$3)+1),ROWS(A$4:A22))),"")</f>
        <v>46048</v>
      </c>
      <c r="B22" s="19" t="str">
        <f t="array" ref="B22">IF(ROWS(B$4:B22)&lt;=$B$2,INDEX(data!A$3:A$16128,SMALL(IF(data!$D$3:$D$16128='Лозeнец'!$B$1,ROW(data!$A$3:$A$16128)-ROW($A$3)+1),ROWS(B$4:B22))),"")</f>
        <v>MYPOS Бакалия</v>
      </c>
      <c r="C22" s="19">
        <f t="array" ref="C22">IF(ROWS(C$4:C22)&lt;=$B$2,INDEX(data!B$3:B$16128,SMALL(IF(data!$D$3:$D$16128='Лозeнец'!$B$1,ROW(data!$A$3:$A$16128)-ROW($A$3)+1),ROWS(C$4:C22))),"")</f>
        <v>-12698.31</v>
      </c>
      <c r="D22" s="7" t="str">
        <f t="array" ref="D22">IF(ROWS(D$4:D22)&lt;=$B$2,INDEX(data!E$3:E$16128,SMALL(IF(data!$D$3:$D$16128='Лозeнец'!$B$1,ROW(data!$A$3:$A$16128)-ROW($A$3)+1),ROWS(D$4:D22))),"")</f>
        <v/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IF(ROWS(A$4:A23)&lt;=$B$2,INDEX(data!C$3:C$16128,SMALL(IF(data!$D$3:$D$16128=$B$1,ROW(data!$A$3:$A$16128)-ROW($A$3)+1),ROWS(A$4:A23))),"")</f>
        <v>46049</v>
      </c>
      <c r="B23" s="19" t="str">
        <f t="array" ref="B23">IF(ROWS(B$4:B23)&lt;=$B$2,INDEX(data!A$3:A$16128,SMALL(IF(data!$D$3:$D$16128='Лозeнец'!$B$1,ROW(data!$A$3:$A$16128)-ROW($A$3)+1),ROWS(B$4:B23))),"")</f>
        <v>Каса ВАУЧЕРИ</v>
      </c>
      <c r="C23" s="19">
        <f t="array" ref="C23">IF(ROWS(C$4:C23)&lt;=$B$2,INDEX(data!B$3:B$16128,SMALL(IF(data!$D$3:$D$16128='Лозeнец'!$B$1,ROW(data!$A$3:$A$16128)-ROW($A$3)+1),ROWS(C$4:C23))),"")</f>
        <v>-10.26</v>
      </c>
      <c r="D23" s="7" t="str">
        <f t="array" ref="D23">IF(ROWS(D$4:D23)&lt;=$B$2,INDEX(data!E$3:E$16128,SMALL(IF(data!$D$3:$D$16128='Лозeнец'!$B$1,ROW(data!$A$3:$A$16128)-ROW($A$3)+1),ROWS(D$4:D23))),"")</f>
        <v>ваучери 19,01</v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IF(ROWS(A$4:A24)&lt;=$B$2,INDEX(data!C$3:C$16128,SMALL(IF(data!$D$3:$D$16128=$B$1,ROW(data!$A$3:$A$16128)-ROW($A$3)+1),ROWS(A$4:A24))),"")</f>
        <v>46052</v>
      </c>
      <c r="B24" s="19" t="str">
        <f t="array" ref="B24">IF(ROWS(B$4:B24)&lt;=$B$2,INDEX(data!A$3:A$16128,SMALL(IF(data!$D$3:$D$16128='Лозeнец'!$B$1,ROW(data!$A$3:$A$16128)-ROW($A$3)+1),ROWS(B$4:B24))),"")</f>
        <v>КАСОВА КНИГА</v>
      </c>
      <c r="C24" s="19">
        <f t="array" ref="C24">IF(ROWS(C$4:C24)&lt;=$B$2,INDEX(data!B$3:B$16128,SMALL(IF(data!$D$3:$D$16128='Лозeнец'!$B$1,ROW(data!$A$3:$A$16128)-ROW($A$3)+1),ROWS(C$4:C24))),"")</f>
        <v>-1000</v>
      </c>
      <c r="D24" s="7" t="str">
        <f t="array" ref="D24">IF(ROWS(D$4:D24)&lt;=$B$2,INDEX(data!E$3:E$16128,SMALL(IF(data!$D$3:$D$16128='Лозeнец'!$B$1,ROW(data!$A$3:$A$16128)-ROW($A$3)+1),ROWS(D$4:D24))),"")</f>
        <v/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IF(ROWS(A$4:A25)&lt;=$B$2,INDEX(data!C$3:C$16128,SMALL(IF(data!$D$3:$D$16128=$B$1,ROW(data!$A$3:$A$16128)-ROW($A$3)+1),ROWS(A$4:A25))),"")</f>
        <v>46055</v>
      </c>
      <c r="B25" s="19" t="str">
        <f t="array" ref="B25">IF(ROWS(B$4:B25)&lt;=$B$2,INDEX(data!A$3:A$16128,SMALL(IF(data!$D$3:$D$16128='Лозeнец'!$B$1,ROW(data!$A$3:$A$16128)-ROW($A$3)+1),ROWS(B$4:B25))),"")</f>
        <v>MYPOS Бакалия</v>
      </c>
      <c r="C25" s="19">
        <f t="array" ref="C25">IF(ROWS(C$4:C25)&lt;=$B$2,INDEX(data!B$3:B$16128,SMALL(IF(data!$D$3:$D$16128='Лозeнец'!$B$1,ROW(data!$A$3:$A$16128)-ROW($A$3)+1),ROWS(C$4:C25))),"")</f>
        <v>-10669.41</v>
      </c>
      <c r="D25" s="7" t="str">
        <f t="array" ref="D25">IF(ROWS(D$4:D25)&lt;=$B$2,INDEX(data!E$3:E$16128,SMALL(IF(data!$D$3:$D$16128='Лозeнец'!$B$1,ROW(data!$A$3:$A$16128)-ROW($A$3)+1),ROWS(D$4:D25))),"")</f>
        <v/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IF(ROWS(A$4:A26)&lt;=$B$2,INDEX(data!C$3:C$16128,SMALL(IF(data!$D$3:$D$16128=$B$1,ROW(data!$A$3:$A$16128)-ROW($A$3)+1),ROWS(A$4:A26))),"")</f>
        <v>46056</v>
      </c>
      <c r="B26" s="19" t="str">
        <f t="array" ref="B26">IF(ROWS(B$4:B26)&lt;=$B$2,INDEX(data!A$3:A$16128,SMALL(IF(data!$D$3:$D$16128='Лозeнец'!$B$1,ROW(data!$A$3:$A$16128)-ROW($A$3)+1),ROWS(B$4:B26))),"")</f>
        <v>каса ФИКТИВНА</v>
      </c>
      <c r="C26" s="19">
        <f t="array" ref="C26">IF(ROWS(C$4:C26)&lt;=$B$2,INDEX(data!B$3:B$16128,SMALL(IF(data!$D$3:$D$16128='Лозeнец'!$B$1,ROW(data!$A$3:$A$16128)-ROW($A$3)+1),ROWS(C$4:C26))),"")</f>
        <v>-2045.17</v>
      </c>
      <c r="D26" s="7" t="str">
        <f t="array" ref="D26">IF(ROWS(D$4:D26)&lt;=$B$2,INDEX(data!E$3:E$16128,SMALL(IF(data!$D$3:$D$16128='Лозeнец'!$B$1,ROW(data!$A$3:$A$16128)-ROW($A$3)+1),ROWS(D$4:D26))),"")</f>
        <v>пл. наем Астарта</v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IF(ROWS(A$4:A27)&lt;=$B$2,INDEX(data!C$3:C$16128,SMALL(IF(data!$D$3:$D$16128=$B$1,ROW(data!$A$3:$A$16128)-ROW($A$3)+1),ROWS(A$4:A27))),"")</f>
        <v>46057</v>
      </c>
      <c r="B27" s="19" t="str">
        <f t="array" ref="B27">IF(ROWS(B$4:B27)&lt;=$B$2,INDEX(data!A$3:A$16128,SMALL(IF(data!$D$3:$D$16128='Лозeнец'!$B$1,ROW(data!$A$3:$A$16128)-ROW($A$3)+1),ROWS(B$4:B27))),"")</f>
        <v>КАСОВА КНИГА</v>
      </c>
      <c r="C27" s="19">
        <f t="array" ref="C27">IF(ROWS(C$4:C27)&lt;=$B$2,INDEX(data!B$3:B$16128,SMALL(IF(data!$D$3:$D$16128='Лозeнец'!$B$1,ROW(data!$A$3:$A$16128)-ROW($A$3)+1),ROWS(C$4:C27))),"")</f>
        <v>-463.15</v>
      </c>
      <c r="D27" s="7" t="str">
        <f t="array" ref="D27">IF(ROWS(D$4:D27)&lt;=$B$2,INDEX(data!E$3:E$16128,SMALL(IF(data!$D$3:$D$16128='Лозeнец'!$B$1,ROW(data!$A$3:$A$16128)-ROW($A$3)+1),ROWS(D$4:D27))),"")</f>
        <v>905,85лв</v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IF(ROWS(A$4:A28)&lt;=$B$2,INDEX(data!C$3:C$16128,SMALL(IF(data!$D$3:$D$16128=$B$1,ROW(data!$A$3:$A$16128)-ROW($A$3)+1),ROWS(A$4:A28))),"")</f>
        <v>46057</v>
      </c>
      <c r="B28" s="19" t="str">
        <f t="array" ref="B28">IF(ROWS(B$4:B28)&lt;=$B$2,INDEX(data!A$3:A$16128,SMALL(IF(data!$D$3:$D$16128='Лозeнец'!$B$1,ROW(data!$A$3:$A$16128)-ROW($A$3)+1),ROWS(B$4:B28))),"")</f>
        <v>Каса ВАУЧЕРИ</v>
      </c>
      <c r="C28" s="19">
        <f t="array" ref="C28">IF(ROWS(C$4:C28)&lt;=$B$2,INDEX(data!B$3:B$16128,SMALL(IF(data!$D$3:$D$16128='Лозeнец'!$B$1,ROW(data!$A$3:$A$16128)-ROW($A$3)+1),ROWS(C$4:C28))),"")</f>
        <v>-25.02</v>
      </c>
      <c r="D28" s="7" t="str">
        <f t="array" ref="D28">IF(ROWS(D$4:D28)&lt;=$B$2,INDEX(data!E$3:E$16128,SMALL(IF(data!$D$3:$D$16128='Лозeнец'!$B$1,ROW(data!$A$3:$A$16128)-ROW($A$3)+1),ROWS(D$4:D28))),"")</f>
        <v/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IF(ROWS(A$4:A29)&lt;=$B$2,INDEX(data!C$3:C$16128,SMALL(IF(data!$D$3:$D$16128=$B$1,ROW(data!$A$3:$A$16128)-ROW($A$3)+1),ROWS(A$4:A29))),"")</f>
        <v>46059</v>
      </c>
      <c r="B29" s="19" t="str">
        <f t="array" ref="B29">IF(ROWS(B$4:B29)&lt;=$B$2,INDEX(data!A$3:A$16128,SMALL(IF(data!$D$3:$D$16128='Лозeнец'!$B$1,ROW(data!$A$3:$A$16128)-ROW($A$3)+1),ROWS(B$4:B29))),"")</f>
        <v>ПОС ДСК Бакалия</v>
      </c>
      <c r="C29" s="19">
        <f t="array" ref="C29">IF(ROWS(C$4:C29)&lt;=$B$2,INDEX(data!B$3:B$16128,SMALL(IF(data!$D$3:$D$16128='Лозeнец'!$B$1,ROW(data!$A$3:$A$16128)-ROW($A$3)+1),ROWS(C$4:C29))),"")</f>
        <v>-1953.89</v>
      </c>
      <c r="D29" s="7" t="str">
        <f t="array" ref="D29">IF(ROWS(D$4:D29)&lt;=$B$2,INDEX(data!E$3:E$16128,SMALL(IF(data!$D$3:$D$16128='Лозeнец'!$B$1,ROW(data!$A$3:$A$16128)-ROW($A$3)+1),ROWS(D$4:D29))),"")</f>
        <v/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IF(ROWS(A$4:A30)&lt;=$B$2,INDEX(data!C$3:C$16128,SMALL(IF(data!$D$3:$D$16128=$B$1,ROW(data!$A$3:$A$16128)-ROW($A$3)+1),ROWS(A$4:A30))),"")</f>
        <v>46059</v>
      </c>
      <c r="B30" s="19" t="str">
        <f t="array" ref="B30">IF(ROWS(B$4:B30)&lt;=$B$2,INDEX(data!A$3:A$16128,SMALL(IF(data!$D$3:$D$16128='Лозeнец'!$B$1,ROW(data!$A$3:$A$16128)-ROW($A$3)+1),ROWS(B$4:B30))),"")</f>
        <v>каса ФИКТИВНА</v>
      </c>
      <c r="C30" s="19">
        <f t="array" ref="C30">IF(ROWS(C$4:C30)&lt;=$B$2,INDEX(data!B$3:B$16128,SMALL(IF(data!$D$3:$D$16128='Лозeнец'!$B$1,ROW(data!$A$3:$A$16128)-ROW($A$3)+1),ROWS(C$4:C30))),"")</f>
        <v>-1.84</v>
      </c>
      <c r="D30" s="7" t="str">
        <f t="array" ref="D30">IF(ROWS(D$4:D30)&lt;=$B$2,INDEX(data!E$3:E$16128,SMALL(IF(data!$D$3:$D$16128='Лозeнец'!$B$1,ROW(data!$A$3:$A$16128)-ROW($A$3)+1),ROWS(D$4:D30))),"")</f>
        <v>пазар Тихомир</v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IF(ROWS(A$4:A31)&lt;=$B$2,INDEX(data!C$3:C$16128,SMALL(IF(data!$D$3:$D$16128=$B$1,ROW(data!$A$3:$A$16128)-ROW($A$3)+1),ROWS(A$4:A31))),"")</f>
        <v>46062</v>
      </c>
      <c r="B31" s="19" t="str">
        <f t="array" ref="B31">IF(ROWS(B$4:B31)&lt;=$B$2,INDEX(data!A$3:A$16128,SMALL(IF(data!$D$3:$D$16128='Лозeнец'!$B$1,ROW(data!$A$3:$A$16128)-ROW($A$3)+1),ROWS(B$4:B31))),"")</f>
        <v>MYPOS Бакалия</v>
      </c>
      <c r="C31" s="19">
        <f t="array" ref="C31">IF(ROWS(C$4:C31)&lt;=$B$2,INDEX(data!B$3:B$16128,SMALL(IF(data!$D$3:$D$16128='Лозeнец'!$B$1,ROW(data!$A$3:$A$16128)-ROW($A$3)+1),ROWS(C$4:C31))),"")</f>
        <v>-12668.54</v>
      </c>
      <c r="D31" s="7" t="str">
        <f t="array" ref="D31">IF(ROWS(D$4:D31)&lt;=$B$2,INDEX(data!E$3:E$16128,SMALL(IF(data!$D$3:$D$16128='Лозeнец'!$B$1,ROW(data!$A$3:$A$16128)-ROW($A$3)+1),ROWS(D$4:D31))),"")</f>
        <v/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IF(ROWS(A$4:A32)&lt;=$B$2,INDEX(data!C$3:C$16128,SMALL(IF(data!$D$3:$D$16128=$B$1,ROW(data!$A$3:$A$16128)-ROW($A$3)+1),ROWS(A$4:A32))),"")</f>
        <v>46062</v>
      </c>
      <c r="B32" s="19" t="str">
        <f t="array" ref="B32">IF(ROWS(B$4:B32)&lt;=$B$2,INDEX(data!A$3:A$16128,SMALL(IF(data!$D$3:$D$16128='Лозeнец'!$B$1,ROW(data!$A$3:$A$16128)-ROW($A$3)+1),ROWS(B$4:B32))),"")</f>
        <v>ЗАЕМ</v>
      </c>
      <c r="C32" s="19">
        <f t="array" ref="C32">IF(ROWS(C$4:C32)&lt;=$B$2,INDEX(data!B$3:B$16128,SMALL(IF(data!$D$3:$D$16128='Лозeнец'!$B$1,ROW(data!$A$3:$A$16128)-ROW($A$3)+1),ROWS(C$4:C32))),"")</f>
        <v>60449.32</v>
      </c>
      <c r="D32" s="7" t="str">
        <f t="array" ref="D32">IF(ROWS(D$4:D32)&lt;=$B$2,INDEX(data!E$3:E$16128,SMALL(IF(data!$D$3:$D$16128='Лозeнец'!$B$1,ROW(data!$A$3:$A$16128)-ROW($A$3)+1),ROWS(D$4:D32))),"")</f>
        <v>С-до склад + вътр п-не</v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IF(ROWS(A$4:A33)&lt;=$B$2,INDEX(data!C$3:C$16128,SMALL(IF(data!$D$3:$D$16128=$B$1,ROW(data!$A$3:$A$16128)-ROW($A$3)+1),ROWS(A$4:A33))),"")</f>
        <v>46069</v>
      </c>
      <c r="B33" s="19" t="str">
        <f t="array" ref="B33">IF(ROWS(B$4:B33)&lt;=$B$2,INDEX(data!A$3:A$16128,SMALL(IF(data!$D$3:$D$16128='Лозeнец'!$B$1,ROW(data!$A$3:$A$16128)-ROW($A$3)+1),ROWS(B$4:B33))),"")</f>
        <v>MYPOS Бакалия</v>
      </c>
      <c r="C33" s="19">
        <f t="array" ref="C33">IF(ROWS(C$4:C33)&lt;=$B$2,INDEX(data!B$3:B$16128,SMALL(IF(data!$D$3:$D$16128='Лозeнец'!$B$1,ROW(data!$A$3:$A$16128)-ROW($A$3)+1),ROWS(C$4:C33))),"")</f>
        <v>-10888.14</v>
      </c>
      <c r="D33" s="7" t="str">
        <f t="array" ref="D33">IF(ROWS(D$4:D33)&lt;=$B$2,INDEX(data!E$3:E$16128,SMALL(IF(data!$D$3:$D$16128='Лозeнец'!$B$1,ROW(data!$A$3:$A$16128)-ROW($A$3)+1),ROWS(D$4:D33))),"")</f>
        <v/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IF(ROWS(A$4:A34)&lt;=$B$2,INDEX(data!C$3:C$16128,SMALL(IF(data!$D$3:$D$16128=$B$1,ROW(data!$A$3:$A$16128)-ROW($A$3)+1),ROWS(A$4:A34))),"")</f>
        <v>46072</v>
      </c>
      <c r="B34" s="19" t="str">
        <f t="array" ref="B34">IF(ROWS(B$4:B34)&lt;=$B$2,INDEX(data!A$3:A$16128,SMALL(IF(data!$D$3:$D$16128='Лозeнец'!$B$1,ROW(data!$A$3:$A$16128)-ROW($A$3)+1),ROWS(B$4:B34))),"")</f>
        <v>Каса ВАУЧЕРИ</v>
      </c>
      <c r="C34" s="19">
        <f t="array" ref="C34">IF(ROWS(C$4:C34)&lt;=$B$2,INDEX(data!B$3:B$16128,SMALL(IF(data!$D$3:$D$16128='Лозeнец'!$B$1,ROW(data!$A$3:$A$16128)-ROW($A$3)+1),ROWS(C$4:C34))),"")</f>
        <v>-25.11</v>
      </c>
      <c r="D34" s="7" t="str">
        <f t="array" ref="D34">IF(ROWS(D$4:D34)&lt;=$B$2,INDEX(data!E$3:E$16128,SMALL(IF(data!$D$3:$D$16128='Лозeнец'!$B$1,ROW(data!$A$3:$A$16128)-ROW($A$3)+1),ROWS(D$4:D34))),"")</f>
        <v>за 02.02-08.02</v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IF(ROWS(A$4:A35)&lt;=$B$2,INDEX(data!C$3:C$16128,SMALL(IF(data!$D$3:$D$16128=$B$1,ROW(data!$A$3:$A$16128)-ROW($A$3)+1),ROWS(A$4:A35))),"")</f>
        <v>46072</v>
      </c>
      <c r="B35" s="19" t="str">
        <f t="array" ref="B35">IF(ROWS(B$4:B35)&lt;=$B$2,INDEX(data!A$3:A$16128,SMALL(IF(data!$D$3:$D$16128='Лозeнец'!$B$1,ROW(data!$A$3:$A$16128)-ROW($A$3)+1),ROWS(B$4:B35))),"")</f>
        <v>Каса ВАУЧЕРИ</v>
      </c>
      <c r="C35" s="19">
        <f t="array" ref="C35">IF(ROWS(C$4:C35)&lt;=$B$2,INDEX(data!B$3:B$16128,SMALL(IF(data!$D$3:$D$16128='Лозeнец'!$B$1,ROW(data!$A$3:$A$16128)-ROW($A$3)+1),ROWS(C$4:C35))),"")</f>
        <v>-40</v>
      </c>
      <c r="D35" s="7" t="str">
        <f t="array" ref="D35">IF(ROWS(D$4:D35)&lt;=$B$2,INDEX(data!E$3:E$16128,SMALL(IF(data!$D$3:$D$16128='Лозeнец'!$B$1,ROW(data!$A$3:$A$16128)-ROW($A$3)+1),ROWS(D$4:D35))),"")</f>
        <v>за 26.01-01.02</v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IF(ROWS(A$4:A36)&lt;=$B$2,INDEX(data!C$3:C$16128,SMALL(IF(data!$D$3:$D$16128=$B$1,ROW(data!$A$3:$A$16128)-ROW($A$3)+1),ROWS(A$4:A36))),"")</f>
        <v>46073</v>
      </c>
      <c r="B36" s="19" t="str">
        <f t="array" ref="B36">IF(ROWS(B$4:B36)&lt;=$B$2,INDEX(data!A$3:A$16128,SMALL(IF(data!$D$3:$D$16128='Лозeнец'!$B$1,ROW(data!$A$3:$A$16128)-ROW($A$3)+1),ROWS(B$4:B36))),"")</f>
        <v>Каса ВАУЧЕРИ</v>
      </c>
      <c r="C36" s="19">
        <f t="array" ref="C36">IF(ROWS(C$4:C36)&lt;=$B$2,INDEX(data!B$3:B$16128,SMALL(IF(data!$D$3:$D$16128='Лозeнец'!$B$1,ROW(data!$A$3:$A$16128)-ROW($A$3)+1),ROWS(C$4:C36))),"")</f>
        <v>1100</v>
      </c>
      <c r="D36" s="7" t="str">
        <f t="array" ref="D36">IF(ROWS(D$4:D36)&lt;=$B$2,INDEX(data!E$3:E$16128,SMALL(IF(data!$D$3:$D$16128='Лозeнец'!$B$1,ROW(data!$A$3:$A$16128)-ROW($A$3)+1),ROWS(D$4:D36))),"")</f>
        <v>ваучери персонал</v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IF(ROWS(A$4:A37)&lt;=$B$2,INDEX(data!C$3:C$16128,SMALL(IF(data!$D$3:$D$16128=$B$1,ROW(data!$A$3:$A$16128)-ROW($A$3)+1),ROWS(A$4:A37))),"")</f>
        <v>46076</v>
      </c>
      <c r="B37" s="19" t="str">
        <f t="array" ref="B37">IF(ROWS(B$4:B37)&lt;=$B$2,INDEX(data!A$3:A$16128,SMALL(IF(data!$D$3:$D$16128='Лозeнец'!$B$1,ROW(data!$A$3:$A$16128)-ROW($A$3)+1),ROWS(B$4:B37))),"")</f>
        <v>MYPOS Бакалия</v>
      </c>
      <c r="C37" s="19">
        <f t="array" ref="C37">IF(ROWS(C$4:C37)&lt;=$B$2,INDEX(data!B$3:B$16128,SMALL(IF(data!$D$3:$D$16128='Лозeнец'!$B$1,ROW(data!$A$3:$A$16128)-ROW($A$3)+1),ROWS(C$4:C37))),"")</f>
        <v>-13970.91</v>
      </c>
      <c r="D37" s="7" t="str">
        <f t="array" ref="D37">IF(ROWS(D$4:D37)&lt;=$B$2,INDEX(data!E$3:E$16128,SMALL(IF(data!$D$3:$D$16128='Лозeнец'!$B$1,ROW(data!$A$3:$A$16128)-ROW($A$3)+1),ROWS(D$4:D37))),"")</f>
        <v/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IF(ROWS(A$4:A38)&lt;=$B$2,INDEX(data!C$3:C$16128,SMALL(IF(data!$D$3:$D$16128=$B$1,ROW(data!$A$3:$A$16128)-ROW($A$3)+1),ROWS(A$4:A38))),"")</f>
        <v>46076</v>
      </c>
      <c r="B38" s="19" t="str">
        <f t="array" ref="B38">IF(ROWS(B$4:B38)&lt;=$B$2,INDEX(data!A$3:A$16128,SMALL(IF(data!$D$3:$D$16128='Лозeнец'!$B$1,ROW(data!$A$3:$A$16128)-ROW($A$3)+1),ROWS(B$4:B38))),"")</f>
        <v>ПОС ДСК Бакалия</v>
      </c>
      <c r="C38" s="19">
        <f t="array" ref="C38">IF(ROWS(C$4:C38)&lt;=$B$2,INDEX(data!B$3:B$16128,SMALL(IF(data!$D$3:$D$16128='Лозeнец'!$B$1,ROW(data!$A$3:$A$16128)-ROW($A$3)+1),ROWS(C$4:C38))),"")</f>
        <v>-2922.97</v>
      </c>
      <c r="D38" s="7" t="str">
        <f t="array" ref="D38">IF(ROWS(D$4:D38)&lt;=$B$2,INDEX(data!E$3:E$16128,SMALL(IF(data!$D$3:$D$16128='Лозeнец'!$B$1,ROW(data!$A$3:$A$16128)-ROW($A$3)+1),ROWS(D$4:D38))),"")</f>
        <v/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IF(ROWS(A$4:A39)&lt;=$B$2,INDEX(data!C$3:C$16128,SMALL(IF(data!$D$3:$D$16128=$B$1,ROW(data!$A$3:$A$16128)-ROW($A$3)+1),ROWS(A$4:A39))),"")</f>
        <v>46079</v>
      </c>
      <c r="B39" s="19" t="str">
        <f t="array" ref="B39">IF(ROWS(B$4:B39)&lt;=$B$2,INDEX(data!A$3:A$16128,SMALL(IF(data!$D$3:$D$16128='Лозeнец'!$B$1,ROW(data!$A$3:$A$16128)-ROW($A$3)+1),ROWS(B$4:B39))),"")</f>
        <v>каса ФИКТИВНА</v>
      </c>
      <c r="C39" s="19">
        <f t="array" ref="C39">IF(ROWS(C$4:C39)&lt;=$B$2,INDEX(data!B$3:B$16128,SMALL(IF(data!$D$3:$D$16128='Лозeнец'!$B$1,ROW(data!$A$3:$A$16128)-ROW($A$3)+1),ROWS(C$4:C39))),"")</f>
        <v>-65</v>
      </c>
      <c r="D39" s="7" t="str">
        <f t="array" ref="D39">IF(ROWS(D$4:D39)&lt;=$B$2,INDEX(data!E$3:E$16128,SMALL(IF(data!$D$3:$D$16128='Лозeнец'!$B$1,ROW(data!$A$3:$A$16128)-ROW($A$3)+1),ROWS(D$4:D39))),"")</f>
        <v>букет шефката</v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IF(ROWS(A$4:A40)&lt;=$B$2,INDEX(data!C$3:C$16128,SMALL(IF(data!$D$3:$D$16128=$B$1,ROW(data!$A$3:$A$16128)-ROW($A$3)+1),ROWS(A$4:A40))),"")</f>
        <v>46083</v>
      </c>
      <c r="B40" s="19" t="str">
        <f t="array" ref="B40">IF(ROWS(B$4:B40)&lt;=$B$2,INDEX(data!A$3:A$16128,SMALL(IF(data!$D$3:$D$16128='Лозeнец'!$B$1,ROW(data!$A$3:$A$16128)-ROW($A$3)+1),ROWS(B$4:B40))),"")</f>
        <v>MYPOS Бакалия</v>
      </c>
      <c r="C40" s="19">
        <f t="array" ref="C40">IF(ROWS(C$4:C40)&lt;=$B$2,INDEX(data!B$3:B$16128,SMALL(IF(data!$D$3:$D$16128='Лозeнец'!$B$1,ROW(data!$A$3:$A$16128)-ROW($A$3)+1),ROWS(C$4:C40))),"")</f>
        <v>-13498.36</v>
      </c>
      <c r="D40" s="7" t="str">
        <f t="array" ref="D40">IF(ROWS(D$4:D40)&lt;=$B$2,INDEX(data!E$3:E$16128,SMALL(IF(data!$D$3:$D$16128='Лозeнец'!$B$1,ROW(data!$A$3:$A$16128)-ROW($A$3)+1),ROWS(D$4:D40))),"")</f>
        <v/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IF(ROWS(A$4:A41)&lt;=$B$2,INDEX(data!C$3:C$16128,SMALL(IF(data!$D$3:$D$16128=$B$1,ROW(data!$A$3:$A$16128)-ROW($A$3)+1),ROWS(A$4:A41))),"")</f>
        <v>46086</v>
      </c>
      <c r="B41" s="19" t="str">
        <f t="array" ref="B41">IF(ROWS(B$4:B41)&lt;=$B$2,INDEX(data!A$3:A$16128,SMALL(IF(data!$D$3:$D$16128='Лозeнец'!$B$1,ROW(data!$A$3:$A$16128)-ROW($A$3)+1),ROWS(B$4:B41))),"")</f>
        <v>ЗАЕМ</v>
      </c>
      <c r="C41" s="19">
        <f t="array" ref="C41">IF(ROWS(C$4:C41)&lt;=$B$2,INDEX(data!B$3:B$16128,SMALL(IF(data!$D$3:$D$16128='Лозeнец'!$B$1,ROW(data!$A$3:$A$16128)-ROW($A$3)+1),ROWS(C$4:C41))),"")</f>
        <v>46596.52</v>
      </c>
      <c r="D41" s="7" t="str">
        <f t="array" ref="D41">IF(ROWS(D$4:D41)&lt;=$B$2,INDEX(data!E$3:E$16128,SMALL(IF(data!$D$3:$D$16128='Лозeнец'!$B$1,ROW(data!$A$3:$A$16128)-ROW($A$3)+1),ROWS(D$4:D41))),"")</f>
        <v>Салдо склад + вътр. п-не</v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IF(ROWS(A$4:A42)&lt;=$B$2,INDEX(data!C$3:C$16128,SMALL(IF(data!$D$3:$D$16128=$B$1,ROW(data!$A$3:$A$16128)-ROW($A$3)+1),ROWS(A$4:A42))),"")</f>
        <v>46087</v>
      </c>
      <c r="B42" s="19" t="str">
        <f t="array" ref="B42">IF(ROWS(B$4:B42)&lt;=$B$2,INDEX(data!A$3:A$16128,SMALL(IF(data!$D$3:$D$16128='Лозeнец'!$B$1,ROW(data!$A$3:$A$16128)-ROW($A$3)+1),ROWS(B$4:B42))),"")</f>
        <v>Каса ВАУЧЕРИ</v>
      </c>
      <c r="C42" s="19">
        <f t="array" ref="C42">IF(ROWS(C$4:C42)&lt;=$B$2,INDEX(data!B$3:B$16128,SMALL(IF(data!$D$3:$D$16128='Лозeнец'!$B$1,ROW(data!$A$3:$A$16128)-ROW($A$3)+1),ROWS(C$4:C42))),"")</f>
        <v>-11.11</v>
      </c>
      <c r="D42" s="7" t="str">
        <f t="array" ref="D42">IF(ROWS(D$4:D42)&lt;=$B$2,INDEX(data!E$3:E$16128,SMALL(IF(data!$D$3:$D$16128='Лозeнец'!$B$1,ROW(data!$A$3:$A$16128)-ROW($A$3)+1),ROWS(D$4:D42))),"")</f>
        <v>за 09-15.02</v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IF(ROWS(A$4:A43)&lt;=$B$2,INDEX(data!C$3:C$16128,SMALL(IF(data!$D$3:$D$16128=$B$1,ROW(data!$A$3:$A$16128)-ROW($A$3)+1),ROWS(A$4:A43))),"")</f>
        <v>46087</v>
      </c>
      <c r="B43" s="19" t="str">
        <f t="array" ref="B43">IF(ROWS(B$4:B43)&lt;=$B$2,INDEX(data!A$3:A$16128,SMALL(IF(data!$D$3:$D$16128='Лозeнец'!$B$1,ROW(data!$A$3:$A$16128)-ROW($A$3)+1),ROWS(B$4:B43))),"")</f>
        <v>Каса ВАУЧЕРИ</v>
      </c>
      <c r="C43" s="19">
        <f t="array" ref="C43">IF(ROWS(C$4:C43)&lt;=$B$2,INDEX(data!B$3:B$16128,SMALL(IF(data!$D$3:$D$16128='Лозeнец'!$B$1,ROW(data!$A$3:$A$16128)-ROW($A$3)+1),ROWS(C$4:C43))),"")</f>
        <v>-130.23</v>
      </c>
      <c r="D43" s="7" t="str">
        <f t="array" ref="D43">IF(ROWS(D$4:D43)&lt;=$B$2,INDEX(data!E$3:E$16128,SMALL(IF(data!$D$3:$D$16128='Лозeнец'!$B$1,ROW(data!$A$3:$A$16128)-ROW($A$3)+1),ROWS(D$4:D43))),"")</f>
        <v>за 16-22.02</v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IF(ROWS(A$4:A44)&lt;=$B$2,INDEX(data!C$3:C$16128,SMALL(IF(data!$D$3:$D$16128=$B$1,ROW(data!$A$3:$A$16128)-ROW($A$3)+1),ROWS(A$4:A44))),"")</f>
        <v>46090</v>
      </c>
      <c r="B44" s="19" t="str">
        <f t="array" ref="B44">IF(ROWS(B$4:B44)&lt;=$B$2,INDEX(data!A$3:A$16128,SMALL(IF(data!$D$3:$D$16128='Лозeнец'!$B$1,ROW(data!$A$3:$A$16128)-ROW($A$3)+1),ROWS(B$4:B44))),"")</f>
        <v>MYPOS Бакалия</v>
      </c>
      <c r="C44" s="19">
        <f t="array" ref="C44">IF(ROWS(C$4:C44)&lt;=$B$2,INDEX(data!B$3:B$16128,SMALL(IF(data!$D$3:$D$16128='Лозeнец'!$B$1,ROW(data!$A$3:$A$16128)-ROW($A$3)+1),ROWS(C$4:C44))),"")</f>
        <v>-9776.9</v>
      </c>
      <c r="D44" s="7" t="str">
        <f t="array" ref="D44">IF(ROWS(D$4:D44)&lt;=$B$2,INDEX(data!E$3:E$16128,SMALL(IF(data!$D$3:$D$16128='Лозeнец'!$B$1,ROW(data!$A$3:$A$16128)-ROW($A$3)+1),ROWS(D$4:D44))),"")</f>
        <v/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IF(ROWS(A$4:A45)&lt;=$B$2,INDEX(data!C$3:C$16128,SMALL(IF(data!$D$3:$D$16128=$B$1,ROW(data!$A$3:$A$16128)-ROW($A$3)+1),ROWS(A$4:A45))),"")</f>
        <v>46090</v>
      </c>
      <c r="B45" s="19" t="str">
        <f t="array" ref="B45">IF(ROWS(B$4:B45)&lt;=$B$2,INDEX(data!A$3:A$16128,SMALL(IF(data!$D$3:$D$16128='Лозeнец'!$B$1,ROW(data!$A$3:$A$16128)-ROW($A$3)+1),ROWS(B$4:B45))),"")</f>
        <v>ПроКредит бакал</v>
      </c>
      <c r="C45" s="19">
        <f t="array" ref="C45">IF(ROWS(C$4:C45)&lt;=$B$2,INDEX(data!B$3:B$16128,SMALL(IF(data!$D$3:$D$16128='Лозeнец'!$B$1,ROW(data!$A$3:$A$16128)-ROW($A$3)+1),ROWS(C$4:C45))),"")</f>
        <v>-4502.03</v>
      </c>
      <c r="D45" s="7" t="str">
        <f t="array" ref="D45">IF(ROWS(D$4:D45)&lt;=$B$2,INDEX(data!E$3:E$16128,SMALL(IF(data!$D$3:$D$16128='Лозeнец'!$B$1,ROW(data!$A$3:$A$16128)-ROW($A$3)+1),ROWS(D$4:D45))),"")</f>
        <v/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IF(ROWS(A$4:A46)&lt;=$B$2,INDEX(data!C$3:C$16128,SMALL(IF(data!$D$3:$D$16128=$B$1,ROW(data!$A$3:$A$16128)-ROW($A$3)+1),ROWS(A$4:A46))),"")</f>
        <v>46092</v>
      </c>
      <c r="B46" s="19" t="str">
        <f t="array" ref="B46">IF(ROWS(B$4:B46)&lt;=$B$2,INDEX(data!A$3:A$16128,SMALL(IF(data!$D$3:$D$16128='Лозeнец'!$B$1,ROW(data!$A$3:$A$16128)-ROW($A$3)+1),ROWS(B$4:B46))),"")</f>
        <v>каса ФИКТИВНА</v>
      </c>
      <c r="C46" s="19">
        <f t="array" ref="C46">IF(ROWS(C$4:C46)&lt;=$B$2,INDEX(data!B$3:B$16128,SMALL(IF(data!$D$3:$D$16128='Лозeнец'!$B$1,ROW(data!$A$3:$A$16128)-ROW($A$3)+1),ROWS(C$4:C46))),"")</f>
        <v>-43.7</v>
      </c>
      <c r="D46" s="7" t="str">
        <f t="array" ref="D46">IF(ROWS(D$4:D46)&lt;=$B$2,INDEX(data!E$3:E$16128,SMALL(IF(data!$D$3:$D$16128='Лозeнец'!$B$1,ROW(data!$A$3:$A$16128)-ROW($A$3)+1),ROWS(D$4:D46))),"")</f>
        <v>аптека Тихомир</v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IF(ROWS(A$4:A47)&lt;=$B$2,INDEX(data!C$3:C$16128,SMALL(IF(data!$D$3:$D$16128=$B$1,ROW(data!$A$3:$A$16128)-ROW($A$3)+1),ROWS(A$4:A47))),"")</f>
        <v>46093</v>
      </c>
      <c r="B47" s="19" t="str">
        <f t="array" ref="B47">IF(ROWS(B$4:B47)&lt;=$B$2,INDEX(data!A$3:A$16128,SMALL(IF(data!$D$3:$D$16128='Лозeнец'!$B$1,ROW(data!$A$3:$A$16128)-ROW($A$3)+1),ROWS(B$4:B47))),"")</f>
        <v>каса ФИКТИВНА</v>
      </c>
      <c r="C47" s="19">
        <f t="array" ref="C47">IF(ROWS(C$4:C47)&lt;=$B$2,INDEX(data!B$3:B$16128,SMALL(IF(data!$D$3:$D$16128='Лозeнец'!$B$1,ROW(data!$A$3:$A$16128)-ROW($A$3)+1),ROWS(C$4:C47))),"")</f>
        <v>-2045.2</v>
      </c>
      <c r="D47" s="7" t="str">
        <f t="array" ref="D47">IF(ROWS(D$4:D47)&lt;=$B$2,INDEX(data!E$3:E$16128,SMALL(IF(data!$D$3:$D$16128='Лозeнец'!$B$1,ROW(data!$A$3:$A$16128)-ROW($A$3)+1),ROWS(D$4:D47))),"")</f>
        <v>платен наем Астарта</v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IF(ROWS(A$4:A48)&lt;=$B$2,INDEX(data!C$3:C$16128,SMALL(IF(data!$D$3:$D$16128=$B$1,ROW(data!$A$3:$A$16128)-ROW($A$3)+1),ROWS(A$4:A48))),"")</f>
        <v>46097</v>
      </c>
      <c r="B48" s="19" t="str">
        <f t="array" ref="B48">IF(ROWS(B$4:B48)&lt;=$B$2,INDEX(data!A$3:A$16128,SMALL(IF(data!$D$3:$D$16128='Лозeнец'!$B$1,ROW(data!$A$3:$A$16128)-ROW($A$3)+1),ROWS(B$4:B48))),"")</f>
        <v>MYPOS Бакалия</v>
      </c>
      <c r="C48" s="19">
        <f t="array" ref="C48">IF(ROWS(C$4:C48)&lt;=$B$2,INDEX(data!B$3:B$16128,SMALL(IF(data!$D$3:$D$16128='Лозeнец'!$B$1,ROW(data!$A$3:$A$16128)-ROW($A$3)+1),ROWS(C$4:C48))),"")</f>
        <v>-14386.94</v>
      </c>
      <c r="D48" s="7" t="str">
        <f t="array" ref="D48">IF(ROWS(D$4:D48)&lt;=$B$2,INDEX(data!E$3:E$16128,SMALL(IF(data!$D$3:$D$16128='Лозeнец'!$B$1,ROW(data!$A$3:$A$16128)-ROW($A$3)+1),ROWS(D$4:D48))),"")</f>
        <v/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IF(ROWS(A$4:A49)&lt;=$B$2,INDEX(data!C$3:C$16128,SMALL(IF(data!$D$3:$D$16128=$B$1,ROW(data!$A$3:$A$16128)-ROW($A$3)+1),ROWS(A$4:A49))),"")</f>
        <v>46097</v>
      </c>
      <c r="B49" s="19" t="str">
        <f t="array" ref="B49">IF(ROWS(B$4:B49)&lt;=$B$2,INDEX(data!A$3:A$16128,SMALL(IF(data!$D$3:$D$16128='Лозeнец'!$B$1,ROW(data!$A$3:$A$16128)-ROW($A$3)+1),ROWS(B$4:B49))),"")</f>
        <v>каса ФИКТИВНА</v>
      </c>
      <c r="C49" s="19">
        <f t="array" ref="C49">IF(ROWS(C$4:C49)&lt;=$B$2,INDEX(data!B$3:B$16128,SMALL(IF(data!$D$3:$D$16128='Лозeнец'!$B$1,ROW(data!$A$3:$A$16128)-ROW($A$3)+1),ROWS(C$4:C49))),"")</f>
        <v>-27</v>
      </c>
      <c r="D49" s="7" t="str">
        <f t="array" ref="D49">IF(ROWS(D$4:D49)&lt;=$B$2,INDEX(data!E$3:E$16128,SMALL(IF(data!$D$3:$D$16128='Лозeнец'!$B$1,ROW(data!$A$3:$A$16128)-ROW($A$3)+1),ROWS(D$4:D49))),"")</f>
        <v>лекарства шефа</v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IF(ROWS(A$4:A50)&lt;=$B$2,INDEX(data!C$3:C$16128,SMALL(IF(data!$D$3:$D$16128=$B$1,ROW(data!$A$3:$A$16128)-ROW($A$3)+1),ROWS(A$4:A50))),"")</f>
        <v>46100</v>
      </c>
      <c r="B50" s="19" t="str">
        <f t="array" ref="B50">IF(ROWS(B$4:B50)&lt;=$B$2,INDEX(data!A$3:A$16128,SMALL(IF(data!$D$3:$D$16128='Лозeнец'!$B$1,ROW(data!$A$3:$A$16128)-ROW($A$3)+1),ROWS(B$4:B50))),"")</f>
        <v>каса ФИКТИВНА</v>
      </c>
      <c r="C50" s="19">
        <f t="array" ref="C50">IF(ROWS(C$4:C50)&lt;=$B$2,INDEX(data!B$3:B$16128,SMALL(IF(data!$D$3:$D$16128='Лозeнец'!$B$1,ROW(data!$A$3:$A$16128)-ROW($A$3)+1),ROWS(C$4:C50))),"")</f>
        <v>-300</v>
      </c>
      <c r="D50" s="7" t="str">
        <f t="array" ref="D50">IF(ROWS(D$4:D50)&lt;=$B$2,INDEX(data!E$3:E$16128,SMALL(IF(data!$D$3:$D$16128='Лозeнец'!$B$1,ROW(data!$A$3:$A$16128)-ROW($A$3)+1),ROWS(D$4:D50))),"")</f>
        <v>Мимето от премиите</v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IF(ROWS(A$4:A51)&lt;=$B$2,INDEX(data!C$3:C$16128,SMALL(IF(data!$D$3:$D$16128=$B$1,ROW(data!$A$3:$A$16128)-ROW($A$3)+1),ROWS(A$4:A51))),"")</f>
        <v>46101</v>
      </c>
      <c r="B51" s="19" t="str">
        <f t="array" ref="B51">IF(ROWS(B$4:B51)&lt;=$B$2,INDEX(data!A$3:A$16128,SMALL(IF(data!$D$3:$D$16128='Лозeнец'!$B$1,ROW(data!$A$3:$A$16128)-ROW($A$3)+1),ROWS(B$4:B51))),"")</f>
        <v>Каса ВАУЧЕРИ</v>
      </c>
      <c r="C51" s="19">
        <f t="array" ref="C51">IF(ROWS(C$4:C51)&lt;=$B$2,INDEX(data!B$3:B$16128,SMALL(IF(data!$D$3:$D$16128='Лозeнец'!$B$1,ROW(data!$A$3:$A$16128)-ROW($A$3)+1),ROWS(C$4:C51))),"")</f>
        <v>-58</v>
      </c>
      <c r="D51" s="7" t="str">
        <f t="array" ref="D51">IF(ROWS(D$4:D51)&lt;=$B$2,INDEX(data!E$3:E$16128,SMALL(IF(data!$D$3:$D$16128='Лозeнец'!$B$1,ROW(data!$A$3:$A$16128)-ROW($A$3)+1),ROWS(D$4:D51))),"")</f>
        <v>от 02-08.03</v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IF(ROWS(A$4:A52)&lt;=$B$2,INDEX(data!C$3:C$16128,SMALL(IF(data!$D$3:$D$16128=$B$1,ROW(data!$A$3:$A$16128)-ROW($A$3)+1),ROWS(A$4:A52))),"")</f>
        <v>46104</v>
      </c>
      <c r="B52" s="19" t="str">
        <f t="array" ref="B52">IF(ROWS(B$4:B52)&lt;=$B$2,INDEX(data!A$3:A$16128,SMALL(IF(data!$D$3:$D$16128='Лозeнец'!$B$1,ROW(data!$A$3:$A$16128)-ROW($A$3)+1),ROWS(B$4:B52))),"")</f>
        <v>MYPOS Бакалия</v>
      </c>
      <c r="C52" s="19">
        <f t="array" ref="C52">IF(ROWS(C$4:C52)&lt;=$B$2,INDEX(data!B$3:B$16128,SMALL(IF(data!$D$3:$D$16128='Лозeнец'!$B$1,ROW(data!$A$3:$A$16128)-ROW($A$3)+1),ROWS(C$4:C52))),"")</f>
        <v>-14630.467</v>
      </c>
      <c r="D52" s="7" t="str">
        <f t="array" ref="D52">IF(ROWS(D$4:D52)&lt;=$B$2,INDEX(data!E$3:E$16128,SMALL(IF(data!$D$3:$D$16128='Лозeнец'!$B$1,ROW(data!$A$3:$A$16128)-ROW($A$3)+1),ROWS(D$4:D52))),"")</f>
        <v/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IF(ROWS(A$4:A53)&lt;=$B$2,INDEX(data!C$3:C$16128,SMALL(IF(data!$D$3:$D$16128=$B$1,ROW(data!$A$3:$A$16128)-ROW($A$3)+1),ROWS(A$4:A53))),"")</f>
        <v>46104</v>
      </c>
      <c r="B53" s="19" t="str">
        <f t="array" ref="B53">IF(ROWS(B$4:B53)&lt;=$B$2,INDEX(data!A$3:A$16128,SMALL(IF(data!$D$3:$D$16128='Лозeнец'!$B$1,ROW(data!$A$3:$A$16128)-ROW($A$3)+1),ROWS(B$4:B53))),"")</f>
        <v>Каса ВАУЧЕРИ</v>
      </c>
      <c r="C53" s="19">
        <f t="array" ref="C53">IF(ROWS(C$4:C53)&lt;=$B$2,INDEX(data!B$3:B$16128,SMALL(IF(data!$D$3:$D$16128='Лозeнец'!$B$1,ROW(data!$A$3:$A$16128)-ROW($A$3)+1),ROWS(C$4:C53))),"")</f>
        <v>1000</v>
      </c>
      <c r="D53" s="7" t="str">
        <f t="array" ref="D53">IF(ROWS(D$4:D53)&lt;=$B$2,INDEX(data!E$3:E$16128,SMALL(IF(data!$D$3:$D$16128='Лозeнец'!$B$1,ROW(data!$A$3:$A$16128)-ROW($A$3)+1),ROWS(D$4:D53))),"")</f>
        <v>ваучери персонал</v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IF(ROWS(A$4:A54)&lt;=$B$2,INDEX(data!C$3:C$16128,SMALL(IF(data!$D$3:$D$16128=$B$1,ROW(data!$A$3:$A$16128)-ROW($A$3)+1),ROWS(A$4:A54))),"")</f>
        <v>46105</v>
      </c>
      <c r="B54" s="19" t="str">
        <f t="array" ref="B54">IF(ROWS(B$4:B54)&lt;=$B$2,INDEX(data!A$3:A$16128,SMALL(IF(data!$D$3:$D$16128='Лозeнец'!$B$1,ROW(data!$A$3:$A$16128)-ROW($A$3)+1),ROWS(B$4:B54))),"")</f>
        <v>каса ФИКТИВНА</v>
      </c>
      <c r="C54" s="19">
        <f t="array" ref="C54">IF(ROWS(C$4:C54)&lt;=$B$2,INDEX(data!B$3:B$16128,SMALL(IF(data!$D$3:$D$16128='Лозeнец'!$B$1,ROW(data!$A$3:$A$16128)-ROW($A$3)+1),ROWS(C$4:C54))),"")</f>
        <v>-205</v>
      </c>
      <c r="D54" s="7" t="str">
        <f t="array" ref="D54">IF(ROWS(D$4:D54)&lt;=$B$2,INDEX(data!E$3:E$16128,SMALL(IF(data!$D$3:$D$16128='Лозeнец'!$B$1,ROW(data!$A$3:$A$16128)-ROW($A$3)+1),ROWS(D$4:D54))),"")</f>
        <v>колет Милена</v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IF(ROWS(A$4:A55)&lt;=$B$2,INDEX(data!C$3:C$16128,SMALL(IF(data!$D$3:$D$16128=$B$1,ROW(data!$A$3:$A$16128)-ROW($A$3)+1),ROWS(A$4:A55))),"")</f>
        <v>46108</v>
      </c>
      <c r="B55" s="19" t="str">
        <f t="array" ref="B55">IF(ROWS(B$4:B55)&lt;=$B$2,INDEX(data!A$3:A$16128,SMALL(IF(data!$D$3:$D$16128='Лозeнец'!$B$1,ROW(data!$A$3:$A$16128)-ROW($A$3)+1),ROWS(B$4:B55))),"")</f>
        <v>каса ФИКТИВНА</v>
      </c>
      <c r="C55" s="19">
        <f t="array" ref="C55">IF(ROWS(C$4:C55)&lt;=$B$2,INDEX(data!B$3:B$16128,SMALL(IF(data!$D$3:$D$16128='Лозeнец'!$B$1,ROW(data!$A$3:$A$16128)-ROW($A$3)+1),ROWS(C$4:C55))),"")</f>
        <v>-52.5</v>
      </c>
      <c r="D55" s="7" t="str">
        <f t="array" ref="D55">IF(ROWS(D$4:D55)&lt;=$B$2,INDEX(data!E$3:E$16128,SMALL(IF(data!$D$3:$D$16128='Лозeнец'!$B$1,ROW(data!$A$3:$A$16128)-ROW($A$3)+1),ROWS(D$4:D55))),"")</f>
        <v>аптека Тихомир</v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IF(ROWS(A$4:A56)&lt;=$B$2,INDEX(data!C$3:C$16128,SMALL(IF(data!$D$3:$D$16128=$B$1,ROW(data!$A$3:$A$16128)-ROW($A$3)+1),ROWS(A$4:A56))),"")</f>
        <v>46111</v>
      </c>
      <c r="B56" s="19" t="str">
        <f t="array" ref="B56">IF(ROWS(B$4:B56)&lt;=$B$2,INDEX(data!A$3:A$16128,SMALL(IF(data!$D$3:$D$16128='Лозeнец'!$B$1,ROW(data!$A$3:$A$16128)-ROW($A$3)+1),ROWS(B$4:B56))),"")</f>
        <v>MYPOS Бакалия</v>
      </c>
      <c r="C56" s="19">
        <f t="array" ref="C56">IF(ROWS(C$4:C56)&lt;=$B$2,INDEX(data!B$3:B$16128,SMALL(IF(data!$D$3:$D$16128='Лозeнец'!$B$1,ROW(data!$A$3:$A$16128)-ROW($A$3)+1),ROWS(C$4:C56))),"")</f>
        <v>-10795.51</v>
      </c>
      <c r="D56" s="7" t="str">
        <f t="array" ref="D56">IF(ROWS(D$4:D56)&lt;=$B$2,INDEX(data!E$3:E$16128,SMALL(IF(data!$D$3:$D$16128='Лозeнец'!$B$1,ROW(data!$A$3:$A$16128)-ROW($A$3)+1),ROWS(D$4:D56))),"")</f>
        <v/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IF(ROWS(A$4:A57)&lt;=$B$2,INDEX(data!C$3:C$16128,SMALL(IF(data!$D$3:$D$16128=$B$1,ROW(data!$A$3:$A$16128)-ROW($A$3)+1),ROWS(A$4:A57))),"")</f>
        <v>46111</v>
      </c>
      <c r="B57" s="19" t="str">
        <f t="array" ref="B57">IF(ROWS(B$4:B57)&lt;=$B$2,INDEX(data!A$3:A$16128,SMALL(IF(data!$D$3:$D$16128='Лозeнец'!$B$1,ROW(data!$A$3:$A$16128)-ROW($A$3)+1),ROWS(B$4:B57))),"")</f>
        <v>каса ФИКТИВНА</v>
      </c>
      <c r="C57" s="19">
        <f t="array" ref="C57">IF(ROWS(C$4:C57)&lt;=$B$2,INDEX(data!B$3:B$16128,SMALL(IF(data!$D$3:$D$16128='Лозeнец'!$B$1,ROW(data!$A$3:$A$16128)-ROW($A$3)+1),ROWS(C$4:C57))),"")</f>
        <v>-38.82</v>
      </c>
      <c r="D57" s="7" t="str">
        <f t="array" ref="D57">IF(ROWS(D$4:D57)&lt;=$B$2,INDEX(data!E$3:E$16128,SMALL(IF(data!$D$3:$D$16128='Лозeнец'!$B$1,ROW(data!$A$3:$A$16128)-ROW($A$3)+1),ROWS(D$4:D57))),"")</f>
        <v>аптека шефа</v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IF(ROWS(A$4:A58)&lt;=$B$2,INDEX(data!C$3:C$16128,SMALL(IF(data!$D$3:$D$16128=$B$1,ROW(data!$A$3:$A$16128)-ROW($A$3)+1),ROWS(A$4:A58))),"")</f>
        <v>46112</v>
      </c>
      <c r="B58" s="19" t="str">
        <f t="array" ref="B58">IF(ROWS(B$4:B58)&lt;=$B$2,INDEX(data!A$3:A$16128,SMALL(IF(data!$D$3:$D$16128='Лозeнец'!$B$1,ROW(data!$A$3:$A$16128)-ROW($A$3)+1),ROWS(B$4:B58))),"")</f>
        <v>ЗАЕМ</v>
      </c>
      <c r="C58" s="19">
        <f t="array" ref="C58">IF(ROWS(C$4:C58)&lt;=$B$2,INDEX(data!B$3:B$16128,SMALL(IF(data!$D$3:$D$16128='Лозeнец'!$B$1,ROW(data!$A$3:$A$16128)-ROW($A$3)+1),ROWS(C$4:C58))),"")</f>
        <v>50132.54</v>
      </c>
      <c r="D58" s="7" t="str">
        <f t="array" ref="D58">IF(ROWS(D$4:D58)&lt;=$B$2,INDEX(data!E$3:E$16128,SMALL(IF(data!$D$3:$D$16128='Лозeнец'!$B$1,ROW(data!$A$3:$A$16128)-ROW($A$3)+1),ROWS(D$4:D58))),"")</f>
        <v>Салдо склад + вътр</v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IF(ROWS(A$4:A59)&lt;=$B$2,INDEX(data!C$3:C$16128,SMALL(IF(data!$D$3:$D$16128=$B$1,ROW(data!$A$3:$A$16128)-ROW($A$3)+1),ROWS(A$4:A59))),"")</f>
        <v>46113</v>
      </c>
      <c r="B59" s="19" t="str">
        <f t="array" ref="B59">IF(ROWS(B$4:B59)&lt;=$B$2,INDEX(data!A$3:A$16128,SMALL(IF(data!$D$3:$D$16128='Лозeнец'!$B$1,ROW(data!$A$3:$A$16128)-ROW($A$3)+1),ROWS(B$4:B59))),"")</f>
        <v>КАСОВА КНИГА</v>
      </c>
      <c r="C59" s="19">
        <f t="array" ref="C59">IF(ROWS(C$4:C59)&lt;=$B$2,INDEX(data!B$3:B$16128,SMALL(IF(data!$D$3:$D$16128='Лозeнец'!$B$1,ROW(data!$A$3:$A$16128)-ROW($A$3)+1),ROWS(C$4:C59))),"")</f>
        <v>1000</v>
      </c>
      <c r="D59" s="7" t="str">
        <f t="array" ref="D59">IF(ROWS(D$4:D59)&lt;=$B$2,INDEX(data!E$3:E$16128,SMALL(IF(data!$D$3:$D$16128='Лозeнец'!$B$1,ROW(data!$A$3:$A$16128)-ROW($A$3)+1),ROWS(D$4:D59))),"")</f>
        <v>заем</v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IF(ROWS(A$4:A60)&lt;=$B$2,INDEX(data!C$3:C$16128,SMALL(IF(data!$D$3:$D$16128=$B$1,ROW(data!$A$3:$A$16128)-ROW($A$3)+1),ROWS(A$4:A60))),"")</f>
        <v>46115</v>
      </c>
      <c r="B60" s="19" t="str">
        <f t="array" ref="B60">IF(ROWS(B$4:B60)&lt;=$B$2,INDEX(data!A$3:A$16128,SMALL(IF(data!$D$3:$D$16128='Лозeнец'!$B$1,ROW(data!$A$3:$A$16128)-ROW($A$3)+1),ROWS(B$4:B60))),"")</f>
        <v>Каса ВАУЧЕРИ</v>
      </c>
      <c r="C60" s="19">
        <f t="array" ref="C60">IF(ROWS(C$4:C60)&lt;=$B$2,INDEX(data!B$3:B$16128,SMALL(IF(data!$D$3:$D$16128='Лозeнец'!$B$1,ROW(data!$A$3:$A$16128)-ROW($A$3)+1),ROWS(C$4:C60))),"")</f>
        <v>-87.92</v>
      </c>
      <c r="D60" s="7" t="str">
        <f t="array" ref="D60">IF(ROWS(D$4:D60)&lt;=$B$2,INDEX(data!E$3:E$16128,SMALL(IF(data!$D$3:$D$16128='Лозeнец'!$B$1,ROW(data!$A$3:$A$16128)-ROW($A$3)+1),ROWS(D$4:D60))),"")</f>
        <v>09-15.03</v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IF(ROWS(A$4:A61)&lt;=$B$2,INDEX(data!C$3:C$16128,SMALL(IF(data!$D$3:$D$16128=$B$1,ROW(data!$A$3:$A$16128)-ROW($A$3)+1),ROWS(A$4:A61))),"")</f>
        <v>46115</v>
      </c>
      <c r="B61" s="19" t="str">
        <f t="array" ref="B61">IF(ROWS(B$4:B61)&lt;=$B$2,INDEX(data!A$3:A$16128,SMALL(IF(data!$D$3:$D$16128='Лозeнец'!$B$1,ROW(data!$A$3:$A$16128)-ROW($A$3)+1),ROWS(B$4:B61))),"")</f>
        <v>Каса ВАУЧЕРИ</v>
      </c>
      <c r="C61" s="19">
        <f t="array" ref="C61">IF(ROWS(C$4:C61)&lt;=$B$2,INDEX(data!B$3:B$16128,SMALL(IF(data!$D$3:$D$16128='Лозeнец'!$B$1,ROW(data!$A$3:$A$16128)-ROW($A$3)+1),ROWS(C$4:C61))),"")</f>
        <v>-62.48</v>
      </c>
      <c r="D61" s="7" t="str">
        <f t="array" ref="D61">IF(ROWS(D$4:D61)&lt;=$B$2,INDEX(data!E$3:E$16128,SMALL(IF(data!$D$3:$D$16128='Лозeнец'!$B$1,ROW(data!$A$3:$A$16128)-ROW($A$3)+1),ROWS(D$4:D61))),"")</f>
        <v>16-22.03</v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IF(ROWS(A$4:A62)&lt;=$B$2,INDEX(data!C$3:C$16128,SMALL(IF(data!$D$3:$D$16128=$B$1,ROW(data!$A$3:$A$16128)-ROW($A$3)+1),ROWS(A$4:A62))),"")</f>
        <v>46118</v>
      </c>
      <c r="B62" s="19" t="str">
        <f t="array" ref="B62">IF(ROWS(B$4:B62)&lt;=$B$2,INDEX(data!A$3:A$16128,SMALL(IF(data!$D$3:$D$16128='Лозeнец'!$B$1,ROW(data!$A$3:$A$16128)-ROW($A$3)+1),ROWS(B$4:B62))),"")</f>
        <v>MYPOS Бакалия</v>
      </c>
      <c r="C62" s="19">
        <f t="array" ref="C62">IF(ROWS(C$4:C62)&lt;=$B$2,INDEX(data!B$3:B$16128,SMALL(IF(data!$D$3:$D$16128='Лозeнец'!$B$1,ROW(data!$A$3:$A$16128)-ROW($A$3)+1),ROWS(C$4:C62))),"")</f>
        <v>-13872.71</v>
      </c>
      <c r="D62" s="7" t="str">
        <f t="array" ref="D62">IF(ROWS(D$4:D62)&lt;=$B$2,INDEX(data!E$3:E$16128,SMALL(IF(data!$D$3:$D$16128='Лозeнец'!$B$1,ROW(data!$A$3:$A$16128)-ROW($A$3)+1),ROWS(D$4:D62))),"")</f>
        <v/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IF(ROWS(A$4:A63)&lt;=$B$2,INDEX(data!C$3:C$16128,SMALL(IF(data!$D$3:$D$16128=$B$1,ROW(data!$A$3:$A$16128)-ROW($A$3)+1),ROWS(A$4:A63))),"")</f>
        <v>46118</v>
      </c>
      <c r="B63" s="19" t="str">
        <f t="array" ref="B63">IF(ROWS(B$4:B63)&lt;=$B$2,INDEX(data!A$3:A$16128,SMALL(IF(data!$D$3:$D$16128='Лозeнец'!$B$1,ROW(data!$A$3:$A$16128)-ROW($A$3)+1),ROWS(B$4:B63))),"")</f>
        <v>ПОС ДСК Бакалия</v>
      </c>
      <c r="C63" s="19">
        <f t="array" ref="C63">IF(ROWS(C$4:C63)&lt;=$B$2,INDEX(data!B$3:B$16128,SMALL(IF(data!$D$3:$D$16128='Лозeнец'!$B$1,ROW(data!$A$3:$A$16128)-ROW($A$3)+1),ROWS(C$4:C63))),"")</f>
        <v>-3308.37</v>
      </c>
      <c r="D63" s="7" t="str">
        <f t="array" ref="D63">IF(ROWS(D$4:D63)&lt;=$B$2,INDEX(data!E$3:E$16128,SMALL(IF(data!$D$3:$D$16128='Лозeнец'!$B$1,ROW(data!$A$3:$A$16128)-ROW($A$3)+1),ROWS(D$4:D63))),"")</f>
        <v>30,03-05,04</v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IF(ROWS(A$4:A64)&lt;=$B$2,INDEX(data!C$3:C$16128,SMALL(IF(data!$D$3:$D$16128=$B$1,ROW(data!$A$3:$A$16128)-ROW($A$3)+1),ROWS(A$4:A64))),"")</f>
        <v>46118</v>
      </c>
      <c r="B64" s="19" t="str">
        <f t="array" ref="B64">IF(ROWS(B$4:B64)&lt;=$B$2,INDEX(data!A$3:A$16128,SMALL(IF(data!$D$3:$D$16128='Лозeнец'!$B$1,ROW(data!$A$3:$A$16128)-ROW($A$3)+1),ROWS(B$4:B64))),"")</f>
        <v>каса ФИКТИВНА</v>
      </c>
      <c r="C64" s="19">
        <f t="array" ref="C64">IF(ROWS(C$4:C64)&lt;=$B$2,INDEX(data!B$3:B$16128,SMALL(IF(data!$D$3:$D$16128='Лозeнец'!$B$1,ROW(data!$A$3:$A$16128)-ROW($A$3)+1),ROWS(C$4:C64))),"")</f>
        <v>-300</v>
      </c>
      <c r="D64" s="7" t="str">
        <f t="array" ref="D64">IF(ROWS(D$4:D64)&lt;=$B$2,INDEX(data!E$3:E$16128,SMALL(IF(data!$D$3:$D$16128='Лозeнец'!$B$1,ROW(data!$A$3:$A$16128)-ROW($A$3)+1),ROWS(D$4:D64))),"")</f>
        <v>Мимето от премиите</v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IF(ROWS(A$4:A65)&lt;=$B$2,INDEX(data!C$3:C$16128,SMALL(IF(data!$D$3:$D$16128=$B$1,ROW(data!$A$3:$A$16128)-ROW($A$3)+1),ROWS(A$4:A65))),"")</f>
        <v>46118</v>
      </c>
      <c r="B65" s="19" t="str">
        <f t="array" ref="B65">IF(ROWS(B$4:B65)&lt;=$B$2,INDEX(data!A$3:A$16128,SMALL(IF(data!$D$3:$D$16128='Лозeнец'!$B$1,ROW(data!$A$3:$A$16128)-ROW($A$3)+1),ROWS(B$4:B65))),"")</f>
        <v>каса ФИКТИВНА</v>
      </c>
      <c r="C65" s="19">
        <f t="array" ref="C65">IF(ROWS(C$4:C65)&lt;=$B$2,INDEX(data!B$3:B$16128,SMALL(IF(data!$D$3:$D$16128='Лозeнец'!$B$1,ROW(data!$A$3:$A$16128)-ROW($A$3)+1),ROWS(C$4:C65))),"")</f>
        <v>-2045.2</v>
      </c>
      <c r="D65" s="7" t="str">
        <f t="array" ref="D65">IF(ROWS(D$4:D65)&lt;=$B$2,INDEX(data!E$3:E$16128,SMALL(IF(data!$D$3:$D$16128='Лозeнец'!$B$1,ROW(data!$A$3:$A$16128)-ROW($A$3)+1),ROWS(D$4:D65))),"")</f>
        <v>платен наем Астарта</v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IF(ROWS(A$4:A66)&lt;=$B$2,INDEX(data!C$3:C$16128,SMALL(IF(data!$D$3:$D$16128=$B$1,ROW(data!$A$3:$A$16128)-ROW($A$3)+1),ROWS(A$4:A66))),"")</f>
        <v>46120</v>
      </c>
      <c r="B66" s="19" t="str">
        <f t="array" ref="B66">IF(ROWS(B$4:B66)&lt;=$B$2,INDEX(data!A$3:A$16128,SMALL(IF(data!$D$3:$D$16128='Лозeнец'!$B$1,ROW(data!$A$3:$A$16128)-ROW($A$3)+1),ROWS(B$4:B66))),"")</f>
        <v>каса ФИКТИВНА</v>
      </c>
      <c r="C66" s="19">
        <f t="array" ref="C66">IF(ROWS(C$4:C66)&lt;=$B$2,INDEX(data!B$3:B$16128,SMALL(IF(data!$D$3:$D$16128='Лозeнец'!$B$1,ROW(data!$A$3:$A$16128)-ROW($A$3)+1),ROWS(C$4:C66))),"")</f>
        <v>-236</v>
      </c>
      <c r="D66" s="7" t="str">
        <f t="array" ref="D66">IF(ROWS(D$4:D66)&lt;=$B$2,INDEX(data!E$3:E$16128,SMALL(IF(data!$D$3:$D$16128='Лозeнец'!$B$1,ROW(data!$A$3:$A$16128)-ROW($A$3)+1),ROWS(D$4:D66))),"")</f>
        <v>очила Милена</v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IF(ROWS(A$4:A67)&lt;=$B$2,INDEX(data!C$3:C$16128,SMALL(IF(data!$D$3:$D$16128=$B$1,ROW(data!$A$3:$A$16128)-ROW($A$3)+1),ROWS(A$4:A67))),"")</f>
        <v>46120</v>
      </c>
      <c r="B67" s="19" t="str">
        <f t="array" ref="B67">IF(ROWS(B$4:B67)&lt;=$B$2,INDEX(data!A$3:A$16128,SMALL(IF(data!$D$3:$D$16128='Лозeнец'!$B$1,ROW(data!$A$3:$A$16128)-ROW($A$3)+1),ROWS(B$4:B67))),"")</f>
        <v>каса ФИКТИВНА</v>
      </c>
      <c r="C67" s="19">
        <f t="array" ref="C67">IF(ROWS(C$4:C67)&lt;=$B$2,INDEX(data!B$3:B$16128,SMALL(IF(data!$D$3:$D$16128='Лозeнец'!$B$1,ROW(data!$A$3:$A$16128)-ROW($A$3)+1),ROWS(C$4:C67))),"")</f>
        <v>-8.12</v>
      </c>
      <c r="D67" s="7" t="str">
        <f t="array" ref="D67">IF(ROWS(D$4:D67)&lt;=$B$2,INDEX(data!E$3:E$16128,SMALL(IF(data!$D$3:$D$16128='Лозeнец'!$B$1,ROW(data!$A$3:$A$16128)-ROW($A$3)+1),ROWS(D$4:D67))),"")</f>
        <v>пазар Тихомир</v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IF(ROWS(A$4:A68)&lt;=$B$2,INDEX(data!C$3:C$16128,SMALL(IF(data!$D$3:$D$16128=$B$1,ROW(data!$A$3:$A$16128)-ROW($A$3)+1),ROWS(A$4:A68))),"")</f>
        <v>46126</v>
      </c>
      <c r="B68" s="19" t="str">
        <f t="array" ref="B68">IF(ROWS(B$4:B68)&lt;=$B$2,INDEX(data!A$3:A$16128,SMALL(IF(data!$D$3:$D$16128='Лозeнец'!$B$1,ROW(data!$A$3:$A$16128)-ROW($A$3)+1),ROWS(B$4:B68))),"")</f>
        <v>MYPOS Бакалия</v>
      </c>
      <c r="C68" s="19">
        <f t="array" ref="C68">IF(ROWS(C$4:C68)&lt;=$B$2,INDEX(data!B$3:B$16128,SMALL(IF(data!$D$3:$D$16128='Лозeнец'!$B$1,ROW(data!$A$3:$A$16128)-ROW($A$3)+1),ROWS(C$4:C68))),"")</f>
        <v>-14572.44</v>
      </c>
      <c r="D68" s="7" t="str">
        <f t="array" ref="D68">IF(ROWS(D$4:D68)&lt;=$B$2,INDEX(data!E$3:E$16128,SMALL(IF(data!$D$3:$D$16128='Лозeнец'!$B$1,ROW(data!$A$3:$A$16128)-ROW($A$3)+1),ROWS(D$4:D68))),"")</f>
        <v/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IF(ROWS(A$4:A69)&lt;=$B$2,INDEX(data!C$3:C$16128,SMALL(IF(data!$D$3:$D$16128=$B$1,ROW(data!$A$3:$A$16128)-ROW($A$3)+1),ROWS(A$4:A69))),"")</f>
        <v>46126</v>
      </c>
      <c r="B69" s="19" t="str">
        <f t="array" ref="B69">IF(ROWS(B$4:B69)&lt;=$B$2,INDEX(data!A$3:A$16128,SMALL(IF(data!$D$3:$D$16128='Лозeнец'!$B$1,ROW(data!$A$3:$A$16128)-ROW($A$3)+1),ROWS(B$4:B69))),"")</f>
        <v>КАСОВА КНИГА</v>
      </c>
      <c r="C69" s="19">
        <f t="array" ref="C69">IF(ROWS(C$4:C69)&lt;=$B$2,INDEX(data!B$3:B$16128,SMALL(IF(data!$D$3:$D$16128='Лозeнец'!$B$1,ROW(data!$A$3:$A$16128)-ROW($A$3)+1),ROWS(C$4:C69))),"")</f>
        <v>-1000</v>
      </c>
      <c r="D69" s="7" t="str">
        <f t="array" ref="D69">IF(ROWS(D$4:D69)&lt;=$B$2,INDEX(data!E$3:E$16128,SMALL(IF(data!$D$3:$D$16128='Лозeнец'!$B$1,ROW(data!$A$3:$A$16128)-ROW($A$3)+1),ROWS(D$4:D69))),"")</f>
        <v/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IF(ROWS(A$4:A70)&lt;=$B$2,INDEX(data!C$3:C$16128,SMALL(IF(data!$D$3:$D$16128=$B$1,ROW(data!$A$3:$A$16128)-ROW($A$3)+1),ROWS(A$4:A70))),"")</f>
        <v>46132</v>
      </c>
      <c r="B70" s="19" t="str">
        <f t="array" ref="B70">IF(ROWS(B$4:B70)&lt;=$B$2,INDEX(data!A$3:A$16128,SMALL(IF(data!$D$3:$D$16128='Лозeнец'!$B$1,ROW(data!$A$3:$A$16128)-ROW($A$3)+1),ROWS(B$4:B70))),"")</f>
        <v>MYPOS Бакалия</v>
      </c>
      <c r="C70" s="19">
        <f t="array" ref="C70">IF(ROWS(C$4:C70)&lt;=$B$2,INDEX(data!B$3:B$16128,SMALL(IF(data!$D$3:$D$16128='Лозeнец'!$B$1,ROW(data!$A$3:$A$16128)-ROW($A$3)+1),ROWS(C$4:C70))),"")</f>
        <v>-13351.38</v>
      </c>
      <c r="D70" s="7" t="str">
        <f t="array" ref="D70">IF(ROWS(D$4:D70)&lt;=$B$2,INDEX(data!E$3:E$16128,SMALL(IF(data!$D$3:$D$16128='Лозeнец'!$B$1,ROW(data!$A$3:$A$16128)-ROW($A$3)+1),ROWS(D$4:D70))),"")</f>
        <v/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IF(ROWS(A$4:A71)&lt;=$B$2,INDEX(data!C$3:C$16128,SMALL(IF(data!$D$3:$D$16128=$B$1,ROW(data!$A$3:$A$16128)-ROW($A$3)+1),ROWS(A$4:A71))),"")</f>
        <v>46134</v>
      </c>
      <c r="B71" s="19" t="str">
        <f t="array" ref="B71">IF(ROWS(B$4:B71)&lt;=$B$2,INDEX(data!A$3:A$16128,SMALL(IF(data!$D$3:$D$16128='Лозeнец'!$B$1,ROW(data!$A$3:$A$16128)-ROW($A$3)+1),ROWS(B$4:B71))),"")</f>
        <v>Каса ВАУЧЕРИ</v>
      </c>
      <c r="C71" s="19">
        <f t="array" ref="C71">IF(ROWS(C$4:C71)&lt;=$B$2,INDEX(data!B$3:B$16128,SMALL(IF(data!$D$3:$D$16128='Лозeнец'!$B$1,ROW(data!$A$3:$A$16128)-ROW($A$3)+1),ROWS(C$4:C71))),"")</f>
        <v>900</v>
      </c>
      <c r="D71" s="7" t="str">
        <f t="array" ref="D71">IF(ROWS(D$4:D71)&lt;=$B$2,INDEX(data!E$3:E$16128,SMALL(IF(data!$D$3:$D$16128='Лозeнец'!$B$1,ROW(data!$A$3:$A$16128)-ROW($A$3)+1),ROWS(D$4:D71))),"")</f>
        <v/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IF(ROWS(A$4:A72)&lt;=$B$2,INDEX(data!C$3:C$16128,SMALL(IF(data!$D$3:$D$16128=$B$1,ROW(data!$A$3:$A$16128)-ROW($A$3)+1),ROWS(A$4:A72))),"")</f>
        <v>46135</v>
      </c>
      <c r="B72" s="19" t="str">
        <f t="array" ref="B72">IF(ROWS(B$4:B72)&lt;=$B$2,INDEX(data!A$3:A$16128,SMALL(IF(data!$D$3:$D$16128='Лозeнец'!$B$1,ROW(data!$A$3:$A$16128)-ROW($A$3)+1),ROWS(B$4:B72))),"")</f>
        <v>Каса ВАУЧЕРИ</v>
      </c>
      <c r="C72" s="19">
        <f t="array" ref="C72">IF(ROWS(C$4:C72)&lt;=$B$2,INDEX(data!B$3:B$16128,SMALL(IF(data!$D$3:$D$16128='Лозeнец'!$B$1,ROW(data!$A$3:$A$16128)-ROW($A$3)+1),ROWS(C$4:C72))),"")</f>
        <v>-42</v>
      </c>
      <c r="D72" s="36">
        <f t="array" ref="D72">IF(ROWS(D$4:D72)&lt;=$B$2,INDEX(data!E$3:E$16128,SMALL(IF(data!$D$3:$D$16128='Лозeнец'!$B$1,ROW(data!$A$3:$A$16128)-ROW($A$3)+1),ROWS(D$4:D72))),"")</f>
        <v>38327</v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IF(ROWS(A$4:A73)&lt;=$B$2,INDEX(data!C$3:C$16128,SMALL(IF(data!$D$3:$D$16128=$B$1,ROW(data!$A$3:$A$16128)-ROW($A$3)+1),ROWS(A$4:A73))),"")</f>
        <v>46135</v>
      </c>
      <c r="B73" s="19" t="str">
        <f t="array" ref="B73">IF(ROWS(B$4:B73)&lt;=$B$2,INDEX(data!A$3:A$16128,SMALL(IF(data!$D$3:$D$16128='Лозeнец'!$B$1,ROW(data!$A$3:$A$16128)-ROW($A$3)+1),ROWS(B$4:B73))),"")</f>
        <v>Каса ВАУЧЕРИ</v>
      </c>
      <c r="C73" s="19">
        <f t="array" ref="C73">IF(ROWS(C$4:C73)&lt;=$B$2,INDEX(data!B$3:B$16128,SMALL(IF(data!$D$3:$D$16128='Лозeнец'!$B$1,ROW(data!$A$3:$A$16128)-ROW($A$3)+1),ROWS(C$4:C73))),"")</f>
        <v>-42.22</v>
      </c>
      <c r="D73" s="7" t="str">
        <f t="array" ref="D73">IF(ROWS(D$4:D73)&lt;=$B$2,INDEX(data!E$3:E$16128,SMALL(IF(data!$D$3:$D$16128='Лозeнец'!$B$1,ROW(data!$A$3:$A$16128)-ROW($A$3)+1),ROWS(D$4:D73))),"")</f>
        <v>23-29.03</v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IF(ROWS(A$4:A74)&lt;=$B$2,INDEX(data!C$3:C$16128,SMALL(IF(data!$D$3:$D$16128=$B$1,ROW(data!$A$3:$A$16128)-ROW($A$3)+1),ROWS(A$4:A74))),"")</f>
        <v>46135</v>
      </c>
      <c r="B74" s="19" t="str">
        <f t="array" ref="B74">IF(ROWS(B$4:B74)&lt;=$B$2,INDEX(data!A$3:A$16128,SMALL(IF(data!$D$3:$D$16128='Лозeнец'!$B$1,ROW(data!$A$3:$A$16128)-ROW($A$3)+1),ROWS(B$4:B74))),"")</f>
        <v>Каса ВАУЧЕРИ</v>
      </c>
      <c r="C74" s="19">
        <f t="array" ref="C74">IF(ROWS(C$4:C74)&lt;=$B$2,INDEX(data!B$3:B$16128,SMALL(IF(data!$D$3:$D$16128='Лозeнец'!$B$1,ROW(data!$A$3:$A$16128)-ROW($A$3)+1),ROWS(C$4:C74))),"")</f>
        <v>-17</v>
      </c>
      <c r="D74" s="7" t="str">
        <f t="array" ref="D74">IF(ROWS(D$4:D74)&lt;=$B$2,INDEX(data!E$3:E$16128,SMALL(IF(data!$D$3:$D$16128='Лозeнец'!$B$1,ROW(data!$A$3:$A$16128)-ROW($A$3)+1),ROWS(D$4:D74))),"")</f>
        <v>30.03-05.04</v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IF(ROWS(A$4:A75)&lt;=$B$2,INDEX(data!C$3:C$16128,SMALL(IF(data!$D$3:$D$16128=$B$1,ROW(data!$A$3:$A$16128)-ROW($A$3)+1),ROWS(A$4:A75))),"")</f>
        <v>46139</v>
      </c>
      <c r="B75" s="19" t="str">
        <f t="array" ref="B75">IF(ROWS(B$4:B75)&lt;=$B$2,INDEX(data!A$3:A$16128,SMALL(IF(data!$D$3:$D$16128='Лозeнец'!$B$1,ROW(data!$A$3:$A$16128)-ROW($A$3)+1),ROWS(B$4:B75))),"")</f>
        <v>MYPOS Бакалия</v>
      </c>
      <c r="C75" s="19">
        <f t="array" ref="C75">IF(ROWS(C$4:C75)&lt;=$B$2,INDEX(data!B$3:B$16128,SMALL(IF(data!$D$3:$D$16128='Лозeнец'!$B$1,ROW(data!$A$3:$A$16128)-ROW($A$3)+1),ROWS(C$4:C75))),"")</f>
        <v>-12363.31</v>
      </c>
      <c r="D75" s="7" t="str">
        <f t="array" ref="D75">IF(ROWS(D$4:D75)&lt;=$B$2,INDEX(data!E$3:E$16128,SMALL(IF(data!$D$3:$D$16128='Лозeнец'!$B$1,ROW(data!$A$3:$A$16128)-ROW($A$3)+1),ROWS(D$4:D75))),"")</f>
        <v/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IF(ROWS(A$4:A76)&lt;=$B$2,INDEX(data!C$3:C$16128,SMALL(IF(data!$D$3:$D$16128=$B$1,ROW(data!$A$3:$A$16128)-ROW($A$3)+1),ROWS(A$4:A76))),"")</f>
        <v>46139</v>
      </c>
      <c r="B76" s="19" t="str">
        <f t="array" ref="B76">IF(ROWS(B$4:B76)&lt;=$B$2,INDEX(data!A$3:A$16128,SMALL(IF(data!$D$3:$D$16128='Лозeнец'!$B$1,ROW(data!$A$3:$A$16128)-ROW($A$3)+1),ROWS(B$4:B76))),"")</f>
        <v>КАСОВА КНИГА</v>
      </c>
      <c r="C76" s="19">
        <f t="array" ref="C76">IF(ROWS(C$4:C76)&lt;=$B$2,INDEX(data!B$3:B$16128,SMALL(IF(data!$D$3:$D$16128='Лозeнец'!$B$1,ROW(data!$A$3:$A$16128)-ROW($A$3)+1),ROWS(C$4:C76))),"")</f>
        <v>1500</v>
      </c>
      <c r="D76" s="7" t="str">
        <f t="array" ref="D76">IF(ROWS(D$4:D76)&lt;=$B$2,INDEX(data!E$3:E$16128,SMALL(IF(data!$D$3:$D$16128='Лозeнец'!$B$1,ROW(data!$A$3:$A$16128)-ROW($A$3)+1),ROWS(D$4:D76))),"")</f>
        <v>заем</v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IF(ROWS(A$4:A77)&lt;=$B$2,INDEX(data!C$3:C$16128,SMALL(IF(data!$D$3:$D$16128=$B$1,ROW(data!$A$3:$A$16128)-ROW($A$3)+1),ROWS(A$4:A77))),"")</f>
        <v>46139</v>
      </c>
      <c r="B77" s="19" t="str">
        <f t="array" ref="B77">IF(ROWS(B$4:B77)&lt;=$B$2,INDEX(data!A$3:A$16128,SMALL(IF(data!$D$3:$D$16128='Лозeнец'!$B$1,ROW(data!$A$3:$A$16128)-ROW($A$3)+1),ROWS(B$4:B77))),"")</f>
        <v>каса ФИКТИВНА</v>
      </c>
      <c r="C77" s="19">
        <f t="array" ref="C77">IF(ROWS(C$4:C77)&lt;=$B$2,INDEX(data!B$3:B$16128,SMALL(IF(data!$D$3:$D$16128='Лозeнец'!$B$1,ROW(data!$A$3:$A$16128)-ROW($A$3)+1),ROWS(C$4:C77))),"")</f>
        <v>-13.46</v>
      </c>
      <c r="D77" s="7" t="str">
        <f t="array" ref="D77">IF(ROWS(D$4:D77)&lt;=$B$2,INDEX(data!E$3:E$16128,SMALL(IF(data!$D$3:$D$16128='Лозeнец'!$B$1,ROW(data!$A$3:$A$16128)-ROW($A$3)+1),ROWS(D$4:D77))),"")</f>
        <v>аптека Тихомир</v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IF(ROWS(A$4:A78)&lt;=$B$2,INDEX(data!C$3:C$16128,SMALL(IF(data!$D$3:$D$16128=$B$1,ROW(data!$A$3:$A$16128)-ROW($A$3)+1),ROWS(A$4:A78))),"")</f>
        <v>46140</v>
      </c>
      <c r="B78" s="19" t="str">
        <f t="array" ref="B78">IF(ROWS(B$4:B78)&lt;=$B$2,INDEX(data!A$3:A$16128,SMALL(IF(data!$D$3:$D$16128='Лозeнец'!$B$1,ROW(data!$A$3:$A$16128)-ROW($A$3)+1),ROWS(B$4:B78))),"")</f>
        <v>каса ФИКТИВНА</v>
      </c>
      <c r="C78" s="19">
        <f t="array" ref="C78">IF(ROWS(C$4:C78)&lt;=$B$2,INDEX(data!B$3:B$16128,SMALL(IF(data!$D$3:$D$16128='Лозeнец'!$B$1,ROW(data!$A$3:$A$16128)-ROW($A$3)+1),ROWS(C$4:C78))),"")</f>
        <v>-23.84</v>
      </c>
      <c r="D78" s="7" t="str">
        <f t="array" ref="D78">IF(ROWS(D$4:D78)&lt;=$B$2,INDEX(data!E$3:E$16128,SMALL(IF(data!$D$3:$D$16128='Лозeнец'!$B$1,ROW(data!$A$3:$A$16128)-ROW($A$3)+1),ROWS(D$4:D78))),"")</f>
        <v>аптека Тихомир</v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IF(ROWS(A$4:A79)&lt;=$B$2,INDEX(data!C$3:C$16128,SMALL(IF(data!$D$3:$D$16128=$B$1,ROW(data!$A$3:$A$16128)-ROW($A$3)+1),ROWS(A$4:A79))),"")</f>
        <v>46146</v>
      </c>
      <c r="B79" s="19" t="str">
        <f t="array" ref="B79">IF(ROWS(B$4:B79)&lt;=$B$2,INDEX(data!A$3:A$16128,SMALL(IF(data!$D$3:$D$16128='Лозeнец'!$B$1,ROW(data!$A$3:$A$16128)-ROW($A$3)+1),ROWS(B$4:B79))),"")</f>
        <v>MYPOS Бакалия</v>
      </c>
      <c r="C79" s="19">
        <f t="array" ref="C79">IF(ROWS(C$4:C79)&lt;=$B$2,INDEX(data!B$3:B$16128,SMALL(IF(data!$D$3:$D$16128='Лозeнец'!$B$1,ROW(data!$A$3:$A$16128)-ROW($A$3)+1),ROWS(C$4:C79))),"")</f>
        <v>-15230.81</v>
      </c>
      <c r="D79" s="7" t="str">
        <f t="array" ref="D79">IF(ROWS(D$4:D79)&lt;=$B$2,INDEX(data!E$3:E$16128,SMALL(IF(data!$D$3:$D$16128='Лозeнец'!$B$1,ROW(data!$A$3:$A$16128)-ROW($A$3)+1),ROWS(D$4:D79))),"")</f>
        <v/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IF(ROWS(A$4:A80)&lt;=$B$2,INDEX(data!C$3:C$16128,SMALL(IF(data!$D$3:$D$16128=$B$1,ROW(data!$A$3:$A$16128)-ROW($A$3)+1),ROWS(A$4:A80))),"")</f>
        <v>46146</v>
      </c>
      <c r="B80" s="19" t="str">
        <f t="array" ref="B80">IF(ROWS(B$4:B80)&lt;=$B$2,INDEX(data!A$3:A$16128,SMALL(IF(data!$D$3:$D$16128='Лозeнец'!$B$1,ROW(data!$A$3:$A$16128)-ROW($A$3)+1),ROWS(B$4:B80))),"")</f>
        <v>каса ФИКТИВНА</v>
      </c>
      <c r="C80" s="19">
        <f t="array" ref="C80">IF(ROWS(C$4:C80)&lt;=$B$2,INDEX(data!B$3:B$16128,SMALL(IF(data!$D$3:$D$16128='Лозeнец'!$B$1,ROW(data!$A$3:$A$16128)-ROW($A$3)+1),ROWS(C$4:C80))),"")</f>
        <v>-2888.71</v>
      </c>
      <c r="D80" s="7" t="str">
        <f t="array" ref="D80">IF(ROWS(D$4:D80)&lt;=$B$2,INDEX(data!E$3:E$16128,SMALL(IF(data!$D$3:$D$16128='Лозeнец'!$B$1,ROW(data!$A$3:$A$16128)-ROW($A$3)+1),ROWS(D$4:D80))),"")</f>
        <v>пл. наем Астарта</v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IF(ROWS(A$4:A81)&lt;=$B$2,INDEX(data!C$3:C$16128,SMALL(IF(data!$D$3:$D$16128=$B$1,ROW(data!$A$3:$A$16128)-ROW($A$3)+1),ROWS(A$4:A81))),"")</f>
        <v>46148</v>
      </c>
      <c r="B81" s="19" t="str">
        <f t="array" ref="B81">IF(ROWS(B$4:B81)&lt;=$B$2,INDEX(data!A$3:A$16128,SMALL(IF(data!$D$3:$D$16128='Лозeнец'!$B$1,ROW(data!$A$3:$A$16128)-ROW($A$3)+1),ROWS(B$4:B81))),"")</f>
        <v>ЗАЕМ</v>
      </c>
      <c r="C81" s="19">
        <f t="array" ref="C81">IF(ROWS(C$4:C81)&lt;=$B$2,INDEX(data!B$3:B$16128,SMALL(IF(data!$D$3:$D$16128='Лозeнец'!$B$1,ROW(data!$A$3:$A$16128)-ROW($A$3)+1),ROWS(C$4:C81))),"")</f>
        <v>74025.84</v>
      </c>
      <c r="D81" s="7" t="str">
        <f t="array" ref="D81">IF(ROWS(D$4:D81)&lt;=$B$2,INDEX(data!E$3:E$16128,SMALL(IF(data!$D$3:$D$16128='Лозeнец'!$B$1,ROW(data!$A$3:$A$16128)-ROW($A$3)+1),ROWS(D$4:D81))),"")</f>
        <v>Салдо склад + вътр. п-не</v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IF(ROWS(A$4:A82)&lt;=$B$2,INDEX(data!C$3:C$16128,SMALL(IF(data!$D$3:$D$16128=$B$1,ROW(data!$A$3:$A$16128)-ROW($A$3)+1),ROWS(A$4:A82))),"")</f>
        <v>46149</v>
      </c>
      <c r="B82" s="19" t="str">
        <f t="array" ref="B82">IF(ROWS(B$4:B82)&lt;=$B$2,INDEX(data!A$3:A$16128,SMALL(IF(data!$D$3:$D$16128='Лозeнец'!$B$1,ROW(data!$A$3:$A$16128)-ROW($A$3)+1),ROWS(B$4:B82))),"")</f>
        <v>Каса ВАУЧЕРИ</v>
      </c>
      <c r="C82" s="19">
        <f t="array" ref="C82">IF(ROWS(C$4:C82)&lt;=$B$2,INDEX(data!B$3:B$16128,SMALL(IF(data!$D$3:$D$16128='Лозeнец'!$B$1,ROW(data!$A$3:$A$16128)-ROW($A$3)+1),ROWS(C$4:C82))),"")</f>
        <v>-68</v>
      </c>
      <c r="D82" s="7" t="str">
        <f t="array" ref="D82">IF(ROWS(D$4:D82)&lt;=$B$2,INDEX(data!E$3:E$16128,SMALL(IF(data!$D$3:$D$16128='Лозeнец'!$B$1,ROW(data!$A$3:$A$16128)-ROW($A$3)+1),ROWS(D$4:D82))),"")</f>
        <v>към 20.04</v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IF(ROWS(A$4:A83)&lt;=$B$2,INDEX(data!C$3:C$16128,SMALL(IF(data!$D$3:$D$16128=$B$1,ROW(data!$A$3:$A$16128)-ROW($A$3)+1),ROWS(A$4:A83))),"")</f>
        <v>46149</v>
      </c>
      <c r="B83" s="19" t="str">
        <f t="array" ref="B83">IF(ROWS(B$4:B83)&lt;=$B$2,INDEX(data!A$3:A$16128,SMALL(IF(data!$D$3:$D$16128='Лозeнец'!$B$1,ROW(data!$A$3:$A$16128)-ROW($A$3)+1),ROWS(B$4:B83))),"")</f>
        <v>Каса ВАУЧЕРИ</v>
      </c>
      <c r="C83" s="19">
        <f t="array" ref="C83">IF(ROWS(C$4:C83)&lt;=$B$2,INDEX(data!B$3:B$16128,SMALL(IF(data!$D$3:$D$16128='Лозeнец'!$B$1,ROW(data!$A$3:$A$16128)-ROW($A$3)+1),ROWS(C$4:C83))),"")</f>
        <v>-45.24</v>
      </c>
      <c r="D83" s="7" t="str">
        <f t="array" ref="D83">IF(ROWS(D$4:D83)&lt;=$B$2,INDEX(data!E$3:E$16128,SMALL(IF(data!$D$3:$D$16128='Лозeнец'!$B$1,ROW(data!$A$3:$A$16128)-ROW($A$3)+1),ROWS(D$4:D83))),"")</f>
        <v>към 27.04</v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IF(ROWS(A$4:A84)&lt;=$B$2,INDEX(data!C$3:C$16128,SMALL(IF(data!$D$3:$D$16128=$B$1,ROW(data!$A$3:$A$16128)-ROW($A$3)+1),ROWS(A$4:A84))),"")</f>
        <v>46149</v>
      </c>
      <c r="B84" s="19" t="str">
        <f t="array" ref="B84">IF(ROWS(B$4:B84)&lt;=$B$2,INDEX(data!A$3:A$16128,SMALL(IF(data!$D$3:$D$16128='Лозeнец'!$B$1,ROW(data!$A$3:$A$16128)-ROW($A$3)+1),ROWS(B$4:B84))),"")</f>
        <v>каса ФИКТИВНА</v>
      </c>
      <c r="C84" s="19">
        <f t="array" ref="C84">IF(ROWS(C$4:C84)&lt;=$B$2,INDEX(data!B$3:B$16128,SMALL(IF(data!$D$3:$D$16128='Лозeнец'!$B$1,ROW(data!$A$3:$A$16128)-ROW($A$3)+1),ROWS(C$4:C84))),"")</f>
        <v>-38.98</v>
      </c>
      <c r="D84" s="7" t="str">
        <f t="array" ref="D84">IF(ROWS(D$4:D84)&lt;=$B$2,INDEX(data!E$3:E$16128,SMALL(IF(data!$D$3:$D$16128='Лозeнец'!$B$1,ROW(data!$A$3:$A$16128)-ROW($A$3)+1),ROWS(D$4:D84))),"")</f>
        <v>аптека Тихомир</v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IF(ROWS(A$4:A85)&lt;=$B$2,INDEX(data!C$3:C$16128,SMALL(IF(data!$D$3:$D$16128=$B$1,ROW(data!$A$3:$A$16128)-ROW($A$3)+1),ROWS(A$4:A85))),"")</f>
        <v>46150</v>
      </c>
      <c r="B85" s="19" t="str">
        <f t="array" ref="B85">IF(ROWS(B$4:B85)&lt;=$B$2,INDEX(data!A$3:A$16128,SMALL(IF(data!$D$3:$D$16128='Лозeнец'!$B$1,ROW(data!$A$3:$A$16128)-ROW($A$3)+1),ROWS(B$4:B85))),"")</f>
        <v>КАСОВА КНИГА</v>
      </c>
      <c r="C85" s="19">
        <f t="array" ref="C85">IF(ROWS(C$4:C85)&lt;=$B$2,INDEX(data!B$3:B$16128,SMALL(IF(data!$D$3:$D$16128='Лозeнец'!$B$1,ROW(data!$A$3:$A$16128)-ROW($A$3)+1),ROWS(C$4:C85))),"")</f>
        <v>1000</v>
      </c>
      <c r="D85" s="7" t="str">
        <f t="array" ref="D85">IF(ROWS(D$4:D85)&lt;=$B$2,INDEX(data!E$3:E$16128,SMALL(IF(data!$D$3:$D$16128='Лозeнец'!$B$1,ROW(data!$A$3:$A$16128)-ROW($A$3)+1),ROWS(D$4:D85))),"")</f>
        <v>заем</v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IF(ROWS(A$4:A86)&lt;=$B$2,INDEX(data!C$3:C$16128,SMALL(IF(data!$D$3:$D$16128=$B$1,ROW(data!$A$3:$A$16128)-ROW($A$3)+1),ROWS(A$4:A86))),"")</f>
        <v>46153</v>
      </c>
      <c r="B86" s="19" t="str">
        <f t="array" ref="B86">IF(ROWS(B$4:B86)&lt;=$B$2,INDEX(data!A$3:A$16128,SMALL(IF(data!$D$3:$D$16128='Лозeнец'!$B$1,ROW(data!$A$3:$A$16128)-ROW($A$3)+1),ROWS(B$4:B86))),"")</f>
        <v>MYPOS Бакалия</v>
      </c>
      <c r="C86" s="19">
        <f t="array" ref="C86">IF(ROWS(C$4:C86)&lt;=$B$2,INDEX(data!B$3:B$16128,SMALL(IF(data!$D$3:$D$16128='Лозeнец'!$B$1,ROW(data!$A$3:$A$16128)-ROW($A$3)+1),ROWS(C$4:C86))),"")</f>
        <v>-14693.22</v>
      </c>
      <c r="D86" s="7" t="str">
        <f t="array" ref="D86">IF(ROWS(D$4:D86)&lt;=$B$2,INDEX(data!E$3:E$16128,SMALL(IF(data!$D$3:$D$16128='Лозeнец'!$B$1,ROW(data!$A$3:$A$16128)-ROW($A$3)+1),ROWS(D$4:D86))),"")</f>
        <v/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IF(ROWS(A$4:A87)&lt;=$B$2,INDEX(data!C$3:C$16128,SMALL(IF(data!$D$3:$D$16128=$B$1,ROW(data!$A$3:$A$16128)-ROW($A$3)+1),ROWS(A$4:A87))),"")</f>
        <v>46154</v>
      </c>
      <c r="B87" s="19" t="str">
        <f t="array" ref="B87">IF(ROWS(B$4:B87)&lt;=$B$2,INDEX(data!A$3:A$16128,SMALL(IF(data!$D$3:$D$16128='Лозeнец'!$B$1,ROW(data!$A$3:$A$16128)-ROW($A$3)+1),ROWS(B$4:B87))),"")</f>
        <v>КАСОВА КНИГА</v>
      </c>
      <c r="C87" s="19">
        <f t="array" ref="C87">IF(ROWS(C$4:C87)&lt;=$B$2,INDEX(data!B$3:B$16128,SMALL(IF(data!$D$3:$D$16128='Лозeнец'!$B$1,ROW(data!$A$3:$A$16128)-ROW($A$3)+1),ROWS(C$4:C87))),"")</f>
        <v>-51.69</v>
      </c>
      <c r="D87" s="7" t="str">
        <f t="array" ref="D87">IF(ROWS(D$4:D87)&lt;=$B$2,INDEX(data!E$3:E$16128,SMALL(IF(data!$D$3:$D$16128='Лозeнец'!$B$1,ROW(data!$A$3:$A$16128)-ROW($A$3)+1),ROWS(D$4:D87))),"")</f>
        <v>Аптека</v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IF(ROWS(A$4:A88)&lt;=$B$2,INDEX(data!C$3:C$16128,SMALL(IF(data!$D$3:$D$16128=$B$1,ROW(data!$A$3:$A$16128)-ROW($A$3)+1),ROWS(A$4:A88))),"")</f>
        <v>46157</v>
      </c>
      <c r="B88" s="19" t="str">
        <f t="array" ref="B88">IF(ROWS(B$4:B88)&lt;=$B$2,INDEX(data!A$3:A$16128,SMALL(IF(data!$D$3:$D$16128='Лозeнец'!$B$1,ROW(data!$A$3:$A$16128)-ROW($A$3)+1),ROWS(B$4:B88))),"")</f>
        <v>Каса ВАУЧЕРИ</v>
      </c>
      <c r="C88" s="19">
        <f t="array" ref="C88">IF(ROWS(C$4:C88)&lt;=$B$2,INDEX(data!B$3:B$16128,SMALL(IF(data!$D$3:$D$16128='Лозeнец'!$B$1,ROW(data!$A$3:$A$16128)-ROW($A$3)+1),ROWS(C$4:C88))),"")</f>
        <v>-13.11</v>
      </c>
      <c r="D88" s="7" t="str">
        <f t="array" ref="D88">IF(ROWS(D$4:D88)&lt;=$B$2,INDEX(data!E$3:E$16128,SMALL(IF(data!$D$3:$D$16128='Лозeнец'!$B$1,ROW(data!$A$3:$A$16128)-ROW($A$3)+1),ROWS(D$4:D88))),"")</f>
        <v/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IF(ROWS(A$4:A89)&lt;=$B$2,INDEX(data!C$3:C$16128,SMALL(IF(data!$D$3:$D$16128=$B$1,ROW(data!$A$3:$A$16128)-ROW($A$3)+1),ROWS(A$4:A89))),"")</f>
        <v>46160</v>
      </c>
      <c r="B89" s="19" t="str">
        <f t="array" ref="B89">IF(ROWS(B$4:B89)&lt;=$B$2,INDEX(data!A$3:A$16128,SMALL(IF(data!$D$3:$D$16128='Лозeнец'!$B$1,ROW(data!$A$3:$A$16128)-ROW($A$3)+1),ROWS(B$4:B89))),"")</f>
        <v>MYPOS Бакалия</v>
      </c>
      <c r="C89" s="19">
        <f t="array" ref="C89">IF(ROWS(C$4:C89)&lt;=$B$2,INDEX(data!B$3:B$16128,SMALL(IF(data!$D$3:$D$16128='Лозeнец'!$B$1,ROW(data!$A$3:$A$16128)-ROW($A$3)+1),ROWS(C$4:C89))),"")</f>
        <v>-12839.34</v>
      </c>
      <c r="D89" s="7" t="str">
        <f t="array" ref="D89">IF(ROWS(D$4:D89)&lt;=$B$2,INDEX(data!E$3:E$16128,SMALL(IF(data!$D$3:$D$16128='Лозeнец'!$B$1,ROW(data!$A$3:$A$16128)-ROW($A$3)+1),ROWS(D$4:D89))),"")</f>
        <v/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IF(ROWS(A$4:A90)&lt;=$B$2,INDEX(data!C$3:C$16128,SMALL(IF(data!$D$3:$D$16128=$B$1,ROW(data!$A$3:$A$16128)-ROW($A$3)+1),ROWS(A$4:A90))),"")</f>
        <v>46160</v>
      </c>
      <c r="B90" s="19" t="str">
        <f t="array" ref="B90">IF(ROWS(B$4:B90)&lt;=$B$2,INDEX(data!A$3:A$16128,SMALL(IF(data!$D$3:$D$16128='Лозeнец'!$B$1,ROW(data!$A$3:$A$16128)-ROW($A$3)+1),ROWS(B$4:B90))),"")</f>
        <v>ПОС ДСК Бакалия</v>
      </c>
      <c r="C90" s="19">
        <f t="array" ref="C90">IF(ROWS(C$4:C90)&lt;=$B$2,INDEX(data!B$3:B$16128,SMALL(IF(data!$D$3:$D$16128='Лозeнец'!$B$1,ROW(data!$A$3:$A$16128)-ROW($A$3)+1),ROWS(C$4:C90))),"")</f>
        <v>-2547.02</v>
      </c>
      <c r="D90" s="7" t="str">
        <f t="array" ref="D90">IF(ROWS(D$4:D90)&lt;=$B$2,INDEX(data!E$3:E$16128,SMALL(IF(data!$D$3:$D$16128='Лозeнец'!$B$1,ROW(data!$A$3:$A$16128)-ROW($A$3)+1),ROWS(D$4:D90))),"")</f>
        <v/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IF(ROWS(A$4:A91)&lt;=$B$2,INDEX(data!C$3:C$16128,SMALL(IF(data!$D$3:$D$16128=$B$1,ROW(data!$A$3:$A$16128)-ROW($A$3)+1),ROWS(A$4:A91))),"")</f>
        <v>46160</v>
      </c>
      <c r="B91" s="19" t="str">
        <f t="array" ref="B91">IF(ROWS(B$4:B91)&lt;=$B$2,INDEX(data!A$3:A$16128,SMALL(IF(data!$D$3:$D$16128='Лозeнец'!$B$1,ROW(data!$A$3:$A$16128)-ROW($A$3)+1),ROWS(B$4:B91))),"")</f>
        <v>каса ФИКТИВНА</v>
      </c>
      <c r="C91" s="19">
        <f t="array" ref="C91">IF(ROWS(C$4:C91)&lt;=$B$2,INDEX(data!B$3:B$16128,SMALL(IF(data!$D$3:$D$16128='Лозeнец'!$B$1,ROW(data!$A$3:$A$16128)-ROW($A$3)+1),ROWS(C$4:C91))),"")</f>
        <v>-26.3</v>
      </c>
      <c r="D91" s="7" t="str">
        <f t="array" ref="D91">IF(ROWS(D$4:D91)&lt;=$B$2,INDEX(data!E$3:E$16128,SMALL(IF(data!$D$3:$D$16128='Лозeнец'!$B$1,ROW(data!$A$3:$A$16128)-ROW($A$3)+1),ROWS(D$4:D91))),"")</f>
        <v>аптека шефа</v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IF(ROWS(A$4:A92)&lt;=$B$2,INDEX(data!C$3:C$16128,SMALL(IF(data!$D$3:$D$16128=$B$1,ROW(data!$A$3:$A$16128)-ROW($A$3)+1),ROWS(A$4:A92))),"")</f>
        <v>46162</v>
      </c>
      <c r="B92" s="19" t="str">
        <f t="array" ref="B92">IF(ROWS(B$4:B92)&lt;=$B$2,INDEX(data!A$3:A$16128,SMALL(IF(data!$D$3:$D$16128='Лозeнец'!$B$1,ROW(data!$A$3:$A$16128)-ROW($A$3)+1),ROWS(B$4:B92))),"")</f>
        <v>Каса ВАУЧЕРИ</v>
      </c>
      <c r="C92" s="19">
        <f t="array" ref="C92">IF(ROWS(C$4:C92)&lt;=$B$2,INDEX(data!B$3:B$16128,SMALL(IF(data!$D$3:$D$16128='Лозeнец'!$B$1,ROW(data!$A$3:$A$16128)-ROW($A$3)+1),ROWS(C$4:C92))),"")</f>
        <v>900</v>
      </c>
      <c r="D92" s="7" t="str">
        <f t="array" ref="D92">IF(ROWS(D$4:D92)&lt;=$B$2,INDEX(data!E$3:E$16128,SMALL(IF(data!$D$3:$D$16128='Лозeнец'!$B$1,ROW(data!$A$3:$A$16128)-ROW($A$3)+1),ROWS(D$4:D92))),"")</f>
        <v>ваучери персонал</v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IF(ROWS(A$4:A93)&lt;=$B$2,INDEX(data!C$3:C$16128,SMALL(IF(data!$D$3:$D$16128=$B$1,ROW(data!$A$3:$A$16128)-ROW($A$3)+1),ROWS(A$4:A93))),"")</f>
        <v>46162</v>
      </c>
      <c r="B93" s="19" t="str">
        <f t="array" ref="B93">IF(ROWS(B$4:B93)&lt;=$B$2,INDEX(data!A$3:A$16128,SMALL(IF(data!$D$3:$D$16128='Лозeнец'!$B$1,ROW(data!$A$3:$A$16128)-ROW($A$3)+1),ROWS(B$4:B93))),"")</f>
        <v>ПОС ДСК Бакалия</v>
      </c>
      <c r="C93" s="19">
        <f t="array" ref="C93">IF(ROWS(C$4:C93)&lt;=$B$2,INDEX(data!B$3:B$16128,SMALL(IF(data!$D$3:$D$16128='Лозeнец'!$B$1,ROW(data!$A$3:$A$16128)-ROW($A$3)+1),ROWS(C$4:C93))),"")</f>
        <v>-2607.13</v>
      </c>
      <c r="D93" s="7" t="str">
        <f t="array" ref="D93">IF(ROWS(D$4:D93)&lt;=$B$2,INDEX(data!E$3:E$16128,SMALL(IF(data!$D$3:$D$16128='Лозeнец'!$B$1,ROW(data!$A$3:$A$16128)-ROW($A$3)+1),ROWS(D$4:D93))),"")</f>
        <v>20-26.04</v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IF(ROWS(A$4:A94)&lt;=$B$2,INDEX(data!C$3:C$16128,SMALL(IF(data!$D$3:$D$16128=$B$1,ROW(data!$A$3:$A$16128)-ROW($A$3)+1),ROWS(A$4:A94))),"")</f>
        <v>46163</v>
      </c>
      <c r="B94" s="19" t="str">
        <f t="array" ref="B94">IF(ROWS(B$4:B94)&lt;=$B$2,INDEX(data!A$3:A$16128,SMALL(IF(data!$D$3:$D$16128='Лозeнец'!$B$1,ROW(data!$A$3:$A$16128)-ROW($A$3)+1),ROWS(B$4:B94))),"")</f>
        <v>Каса ВАУЧЕРИ</v>
      </c>
      <c r="C94" s="19">
        <f t="array" ref="C94">IF(ROWS(C$4:C94)&lt;=$B$2,INDEX(data!B$3:B$16128,SMALL(IF(data!$D$3:$D$16128='Лозeнец'!$B$1,ROW(data!$A$3:$A$16128)-ROW($A$3)+1),ROWS(C$4:C94))),"")</f>
        <v>-60</v>
      </c>
      <c r="D94" s="7" t="str">
        <f t="array" ref="D94">IF(ROWS(D$4:D94)&lt;=$B$2,INDEX(data!E$3:E$16128,SMALL(IF(data!$D$3:$D$16128='Лозeнец'!$B$1,ROW(data!$A$3:$A$16128)-ROW($A$3)+1),ROWS(D$4:D94))),"")</f>
        <v/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>
        <f t="array" ref="A95">IF(ROWS(A$4:A95)&lt;=$B$2,INDEX(data!C$3:C$16128,SMALL(IF(data!$D$3:$D$16128=$B$1,ROW(data!$A$3:$A$16128)-ROW($A$3)+1),ROWS(A$4:A95))),"")</f>
        <v>46167</v>
      </c>
      <c r="B95" s="19" t="str">
        <f t="array" ref="B95">IF(ROWS(B$4:B95)&lt;=$B$2,INDEX(data!A$3:A$16128,SMALL(IF(data!$D$3:$D$16128='Лозeнец'!$B$1,ROW(data!$A$3:$A$16128)-ROW($A$3)+1),ROWS(B$4:B95))),"")</f>
        <v>MYPOS Бакалия</v>
      </c>
      <c r="C95" s="19">
        <f t="array" ref="C95">IF(ROWS(C$4:C95)&lt;=$B$2,INDEX(data!B$3:B$16128,SMALL(IF(data!$D$3:$D$16128='Лозeнец'!$B$1,ROW(data!$A$3:$A$16128)-ROW($A$3)+1),ROWS(C$4:C95))),"")</f>
        <v>-15280.73</v>
      </c>
      <c r="D95" s="7" t="str">
        <f t="array" ref="D95">IF(ROWS(D$4:D95)&lt;=$B$2,INDEX(data!E$3:E$16128,SMALL(IF(data!$D$3:$D$16128='Лозeнец'!$B$1,ROW(data!$A$3:$A$16128)-ROW($A$3)+1),ROWS(D$4:D95))),"")</f>
        <v/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>
        <f t="array" ref="A96">IF(ROWS(A$4:A96)&lt;=$B$2,INDEX(data!C$3:C$16128,SMALL(IF(data!$D$3:$D$16128=$B$1,ROW(data!$A$3:$A$16128)-ROW($A$3)+1),ROWS(A$4:A96))),"")</f>
        <v>46174</v>
      </c>
      <c r="B96" s="19" t="str">
        <f t="array" ref="B96">IF(ROWS(B$4:B96)&lt;=$B$2,INDEX(data!A$3:A$16128,SMALL(IF(data!$D$3:$D$16128='Лозeнец'!$B$1,ROW(data!$A$3:$A$16128)-ROW($A$3)+1),ROWS(B$4:B96))),"")</f>
        <v>MYPOS Бакалия</v>
      </c>
      <c r="C96" s="19">
        <f t="array" ref="C96">IF(ROWS(C$4:C96)&lt;=$B$2,INDEX(data!B$3:B$16128,SMALL(IF(data!$D$3:$D$16128='Лозeнец'!$B$1,ROW(data!$A$3:$A$16128)-ROW($A$3)+1),ROWS(C$4:C96))),"")</f>
        <v>-14655.9</v>
      </c>
      <c r="D96" s="7" t="str">
        <f t="array" ref="D96">IF(ROWS(D$4:D96)&lt;=$B$2,INDEX(data!E$3:E$16128,SMALL(IF(data!$D$3:$D$16128='Лозeнец'!$B$1,ROW(data!$A$3:$A$16128)-ROW($A$3)+1),ROWS(D$4:D96))),"")</f>
        <v/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>
        <f t="array" ref="A97">IF(ROWS(A$4:A97)&lt;=$B$2,INDEX(data!C$3:C$16128,SMALL(IF(data!$D$3:$D$16128=$B$1,ROW(data!$A$3:$A$16128)-ROW($A$3)+1),ROWS(A$4:A97))),"")</f>
        <v>46176</v>
      </c>
      <c r="B97" s="19" t="str">
        <f t="array" ref="B97">IF(ROWS(B$4:B97)&lt;=$B$2,INDEX(data!A$3:A$16128,SMALL(IF(data!$D$3:$D$16128='Лозeнец'!$B$1,ROW(data!$A$3:$A$16128)-ROW($A$3)+1),ROWS(B$4:B97))),"")</f>
        <v>Каса ВАУЧЕРИ</v>
      </c>
      <c r="C97" s="19">
        <f t="array" ref="C97">IF(ROWS(C$4:C97)&lt;=$B$2,INDEX(data!B$3:B$16128,SMALL(IF(data!$D$3:$D$16128='Лозeнец'!$B$1,ROW(data!$A$3:$A$16128)-ROW($A$3)+1),ROWS(C$4:C97))),"")</f>
        <v>-80.11</v>
      </c>
      <c r="D97" s="7" t="str">
        <f t="array" ref="D97">IF(ROWS(D$4:D97)&lt;=$B$2,INDEX(data!E$3:E$16128,SMALL(IF(data!$D$3:$D$16128='Лозeнец'!$B$1,ROW(data!$A$3:$A$16128)-ROW($A$3)+1),ROWS(D$4:D97))),"")</f>
        <v>към 18.05</v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>
        <f t="array" ref="A98">IF(ROWS(A$4:A98)&lt;=$B$2,INDEX(data!C$3:C$16128,SMALL(IF(data!$D$3:$D$16128=$B$1,ROW(data!$A$3:$A$16128)-ROW($A$3)+1),ROWS(A$4:A98))),"")</f>
        <v>46176</v>
      </c>
      <c r="B98" s="19" t="str">
        <f t="array" ref="B98">IF(ROWS(B$4:B98)&lt;=$B$2,INDEX(data!A$3:A$16128,SMALL(IF(data!$D$3:$D$16128='Лозeнец'!$B$1,ROW(data!$A$3:$A$16128)-ROW($A$3)+1),ROWS(B$4:B98))),"")</f>
        <v>Каса ВАУЧЕРИ</v>
      </c>
      <c r="C98" s="19">
        <f t="array" ref="C98">IF(ROWS(C$4:C98)&lt;=$B$2,INDEX(data!B$3:B$16128,SMALL(IF(data!$D$3:$D$16128='Лозeнец'!$B$1,ROW(data!$A$3:$A$16128)-ROW($A$3)+1),ROWS(C$4:C98))),"")</f>
        <v>-68.12</v>
      </c>
      <c r="D98" s="7" t="str">
        <f t="array" ref="D98">IF(ROWS(D$4:D98)&lt;=$B$2,INDEX(data!E$3:E$16128,SMALL(IF(data!$D$3:$D$16128='Лозeнец'!$B$1,ROW(data!$A$3:$A$16128)-ROW($A$3)+1),ROWS(D$4:D98))),"")</f>
        <v>към 25.05</v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>
        <f t="array" ref="A99">IF(ROWS(A$4:A99)&lt;=$B$2,INDEX(data!C$3:C$16128,SMALL(IF(data!$D$3:$D$16128=$B$1,ROW(data!$A$3:$A$16128)-ROW($A$3)+1),ROWS(A$4:A99))),"")</f>
        <v>46176</v>
      </c>
      <c r="B99" s="19" t="str">
        <f t="array" ref="B99">IF(ROWS(B$4:B99)&lt;=$B$2,INDEX(data!A$3:A$16128,SMALL(IF(data!$D$3:$D$16128='Лозeнец'!$B$1,ROW(data!$A$3:$A$16128)-ROW($A$3)+1),ROWS(B$4:B99))),"")</f>
        <v>каса ФИКТИВНА</v>
      </c>
      <c r="C99" s="19">
        <f t="array" ref="C99">IF(ROWS(C$4:C99)&lt;=$B$2,INDEX(data!B$3:B$16128,SMALL(IF(data!$D$3:$D$16128='Лозeнец'!$B$1,ROW(data!$A$3:$A$16128)-ROW($A$3)+1),ROWS(C$4:C99))),"")</f>
        <v>-100</v>
      </c>
      <c r="D99" s="7" t="str">
        <f t="array" ref="D99">IF(ROWS(D$4:D99)&lt;=$B$2,INDEX(data!E$3:E$16128,SMALL(IF(data!$D$3:$D$16128='Лозeнец'!$B$1,ROW(data!$A$3:$A$16128)-ROW($A$3)+1),ROWS(D$4:D99))),"")</f>
        <v>Мимето от премиите</v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>
        <f t="array" ref="A100">IF(ROWS(A$4:A100)&lt;=$B$2,INDEX(data!C$3:C$16128,SMALL(IF(data!$D$3:$D$16128=$B$1,ROW(data!$A$3:$A$16128)-ROW($A$3)+1),ROWS(A$4:A100))),"")</f>
        <v>46176</v>
      </c>
      <c r="B100" s="19" t="str">
        <f t="array" ref="B100">IF(ROWS(B$4:B100)&lt;=$B$2,INDEX(data!A$3:A$16128,SMALL(IF(data!$D$3:$D$16128='Лозeнец'!$B$1,ROW(data!$A$3:$A$16128)-ROW($A$3)+1),ROWS(B$4:B100))),"")</f>
        <v>каса ФИКТИВНА</v>
      </c>
      <c r="C100" s="19">
        <f t="array" ref="C100">IF(ROWS(C$4:C100)&lt;=$B$2,INDEX(data!B$3:B$16128,SMALL(IF(data!$D$3:$D$16128='Лозeнец'!$B$1,ROW(data!$A$3:$A$16128)-ROW($A$3)+1),ROWS(C$4:C100))),"")</f>
        <v>-2888.71</v>
      </c>
      <c r="D100" s="7" t="str">
        <f t="array" ref="D100">IF(ROWS(D$4:D100)&lt;=$B$2,INDEX(data!E$3:E$16128,SMALL(IF(data!$D$3:$D$16128='Лозeнец'!$B$1,ROW(data!$A$3:$A$16128)-ROW($A$3)+1),ROWS(D$4:D100))),"")</f>
        <v>платен наем Астарта</v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>
        <f t="array" ref="A101">IF(ROWS(A$4:A101)&lt;=$B$2,INDEX(data!C$3:C$16128,SMALL(IF(data!$D$3:$D$16128=$B$1,ROW(data!$A$3:$A$16128)-ROW($A$3)+1),ROWS(A$4:A101))),"")</f>
        <v>46181</v>
      </c>
      <c r="B101" s="19" t="str">
        <f t="array" ref="B101">IF(ROWS(B$4:B101)&lt;=$B$2,INDEX(data!A$3:A$16128,SMALL(IF(data!$D$3:$D$16128='Лозeнец'!$B$1,ROW(data!$A$3:$A$16128)-ROW($A$3)+1),ROWS(B$4:B101))),"")</f>
        <v>КАСОВА КНИГА</v>
      </c>
      <c r="C101" s="19">
        <f t="array" ref="C101">IF(ROWS(C$4:C101)&lt;=$B$2,INDEX(data!B$3:B$16128,SMALL(IF(data!$D$3:$D$16128='Лозeнец'!$B$1,ROW(data!$A$3:$A$16128)-ROW($A$3)+1),ROWS(C$4:C101))),"")</f>
        <v>-500</v>
      </c>
      <c r="D101" s="7" t="str">
        <f t="array" ref="D101">IF(ROWS(D$4:D101)&lt;=$B$2,INDEX(data!E$3:E$16128,SMALL(IF(data!$D$3:$D$16128='Лозeнец'!$B$1,ROW(data!$A$3:$A$16128)-ROW($A$3)+1),ROWS(D$4:D101))),"")</f>
        <v/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>
        <f t="array" ref="A102">IF(ROWS(A$4:A102)&lt;=$B$2,INDEX(data!C$3:C$16128,SMALL(IF(data!$D$3:$D$16128=$B$1,ROW(data!$A$3:$A$16128)-ROW($A$3)+1),ROWS(A$4:A102))),"")</f>
        <v>46181</v>
      </c>
      <c r="B102" s="19" t="str">
        <f t="array" ref="B102">IF(ROWS(B$4:B102)&lt;=$B$2,INDEX(data!A$3:A$16128,SMALL(IF(data!$D$3:$D$16128='Лозeнец'!$B$1,ROW(data!$A$3:$A$16128)-ROW($A$3)+1),ROWS(B$4:B102))),"")</f>
        <v>КАСОВА КНИГА</v>
      </c>
      <c r="C102" s="19">
        <f t="array" ref="C102">IF(ROWS(C$4:C102)&lt;=$B$2,INDEX(data!B$3:B$16128,SMALL(IF(data!$D$3:$D$16128='Лозeнец'!$B$1,ROW(data!$A$3:$A$16128)-ROW($A$3)+1),ROWS(C$4:C102))),"")</f>
        <v>-1000</v>
      </c>
      <c r="D102" s="7" t="str">
        <f t="array" ref="D102">IF(ROWS(D$4:D102)&lt;=$B$2,INDEX(data!E$3:E$16128,SMALL(IF(data!$D$3:$D$16128='Лозeнец'!$B$1,ROW(data!$A$3:$A$16128)-ROW($A$3)+1),ROWS(D$4:D102))),"")</f>
        <v>1000 от 07.06</v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>
        <f t="array" ref="A103">IF(ROWS(A$4:A103)&lt;=$B$2,INDEX(data!C$3:C$16128,SMALL(IF(data!$D$3:$D$16128=$B$1,ROW(data!$A$3:$A$16128)-ROW($A$3)+1),ROWS(A$4:A103))),"")</f>
        <v>46181</v>
      </c>
      <c r="B103" s="19" t="str">
        <f t="array" ref="B103">IF(ROWS(B$4:B103)&lt;=$B$2,INDEX(data!A$3:A$16128,SMALL(IF(data!$D$3:$D$16128='Лозeнец'!$B$1,ROW(data!$A$3:$A$16128)-ROW($A$3)+1),ROWS(B$4:B103))),"")</f>
        <v>каса ФИКТИВНА</v>
      </c>
      <c r="C103" s="19">
        <f t="array" ref="C103">IF(ROWS(C$4:C103)&lt;=$B$2,INDEX(data!B$3:B$16128,SMALL(IF(data!$D$3:$D$16128='Лозeнец'!$B$1,ROW(data!$A$3:$A$16128)-ROW($A$3)+1),ROWS(C$4:C103))),"")</f>
        <v>-13.6</v>
      </c>
      <c r="D103" s="7" t="str">
        <f t="array" ref="D103">IF(ROWS(D$4:D103)&lt;=$B$2,INDEX(data!E$3:E$16128,SMALL(IF(data!$D$3:$D$16128='Лозeнец'!$B$1,ROW(data!$A$3:$A$16128)-ROW($A$3)+1),ROWS(D$4:D103))),"")</f>
        <v>аптека шефа</v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>
        <f t="array" ref="A104">IF(ROWS(A$4:A104)&lt;=$B$2,INDEX(data!C$3:C$16128,SMALL(IF(data!$D$3:$D$16128=$B$1,ROW(data!$A$3:$A$16128)-ROW($A$3)+1),ROWS(A$4:A104))),"")</f>
        <v>46182</v>
      </c>
      <c r="B104" s="19" t="str">
        <f t="array" ref="B104">IF(ROWS(B$4:B104)&lt;=$B$2,INDEX(data!A$3:A$16128,SMALL(IF(data!$D$3:$D$16128='Лозeнец'!$B$1,ROW(data!$A$3:$A$16128)-ROW($A$3)+1),ROWS(B$4:B104))),"")</f>
        <v>каса ФИКТИВНА</v>
      </c>
      <c r="C104" s="19">
        <f t="array" ref="C104">IF(ROWS(C$4:C104)&lt;=$B$2,INDEX(data!B$3:B$16128,SMALL(IF(data!$D$3:$D$16128='Лозeнец'!$B$1,ROW(data!$A$3:$A$16128)-ROW($A$3)+1),ROWS(C$4:C104))),"")</f>
        <v>-6</v>
      </c>
      <c r="D104" s="7" t="str">
        <f t="array" ref="D104">IF(ROWS(D$4:D104)&lt;=$B$2,INDEX(data!E$3:E$16128,SMALL(IF(data!$D$3:$D$16128='Лозeнец'!$B$1,ROW(data!$A$3:$A$16128)-ROW($A$3)+1),ROWS(D$4:D104))),"")</f>
        <v>аптека шефа</v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>
        <f t="array" ref="A105">IF(ROWS(A$4:A105)&lt;=$B$2,INDEX(data!C$3:C$16128,SMALL(IF(data!$D$3:$D$16128=$B$1,ROW(data!$A$3:$A$16128)-ROW($A$3)+1),ROWS(A$4:A105))),"")</f>
        <v>46182</v>
      </c>
      <c r="B105" s="19" t="str">
        <f t="array" ref="B105">IF(ROWS(B$4:B105)&lt;=$B$2,INDEX(data!A$3:A$16128,SMALL(IF(data!$D$3:$D$16128='Лозeнец'!$B$1,ROW(data!$A$3:$A$16128)-ROW($A$3)+1),ROWS(B$4:B105))),"")</f>
        <v>MYPOS Бакалия</v>
      </c>
      <c r="C105" s="19">
        <f t="array" ref="C105">IF(ROWS(C$4:C105)&lt;=$B$2,INDEX(data!B$3:B$16128,SMALL(IF(data!$D$3:$D$16128='Лозeнец'!$B$1,ROW(data!$A$3:$A$16128)-ROW($A$3)+1),ROWS(C$4:C105))),"")</f>
        <v>-14860.15</v>
      </c>
      <c r="D105" s="7" t="str">
        <f t="array" ref="D105">IF(ROWS(D$4:D105)&lt;=$B$2,INDEX(data!E$3:E$16128,SMALL(IF(data!$D$3:$D$16128='Лозeнец'!$B$1,ROW(data!$A$3:$A$16128)-ROW($A$3)+1),ROWS(D$4:D105))),"")</f>
        <v/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>
        <f t="array" ref="A106">IF(ROWS(A$4:A106)&lt;=$B$2,INDEX(data!C$3:C$16128,SMALL(IF(data!$D$3:$D$16128=$B$1,ROW(data!$A$3:$A$16128)-ROW($A$3)+1),ROWS(A$4:A106))),"")</f>
        <v>46182</v>
      </c>
      <c r="B106" s="19" t="str">
        <f t="array" ref="B106">IF(ROWS(B$4:B106)&lt;=$B$2,INDEX(data!A$3:A$16128,SMALL(IF(data!$D$3:$D$16128='Лозeнец'!$B$1,ROW(data!$A$3:$A$16128)-ROW($A$3)+1),ROWS(B$4:B106))),"")</f>
        <v>ЗАЕМ</v>
      </c>
      <c r="C106" s="19">
        <f t="array" ref="C106">IF(ROWS(C$4:C106)&lt;=$B$2,INDEX(data!B$3:B$16128,SMALL(IF(data!$D$3:$D$16128='Лозeнец'!$B$1,ROW(data!$A$3:$A$16128)-ROW($A$3)+1),ROWS(C$4:C106))),"")</f>
        <v>50000</v>
      </c>
      <c r="D106" s="7" t="str">
        <f t="array" ref="D106">IF(ROWS(D$4:D106)&lt;=$B$2,INDEX(data!E$3:E$16128,SMALL(IF(data!$D$3:$D$16128='Лозeнец'!$B$1,ROW(data!$A$3:$A$16128)-ROW($A$3)+1),ROWS(D$4:D106))),"")</f>
        <v>прехв салдо от Банкя</v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>
        <f t="array" ref="A107">IF(ROWS(A$4:A107)&lt;=$B$2,INDEX(data!C$3:C$16128,SMALL(IF(data!$D$3:$D$16128=$B$1,ROW(data!$A$3:$A$16128)-ROW($A$3)+1),ROWS(A$4:A107))),"")</f>
        <v>46183</v>
      </c>
      <c r="B107" s="19" t="str">
        <f t="array" ref="B107">IF(ROWS(B$4:B107)&lt;=$B$2,INDEX(data!A$3:A$16128,SMALL(IF(data!$D$3:$D$16128='Лозeнец'!$B$1,ROW(data!$A$3:$A$16128)-ROW($A$3)+1),ROWS(B$4:B107))),"")</f>
        <v>каса ФИКТИВНА</v>
      </c>
      <c r="C107" s="19">
        <f t="array" ref="C107">IF(ROWS(C$4:C107)&lt;=$B$2,INDEX(data!B$3:B$16128,SMALL(IF(data!$D$3:$D$16128='Лозeнец'!$B$1,ROW(data!$A$3:$A$16128)-ROW($A$3)+1),ROWS(C$4:C107))),"")</f>
        <v>-23.1</v>
      </c>
      <c r="D107" s="7" t="str">
        <f t="array" ref="D107">IF(ROWS(D$4:D107)&lt;=$B$2,INDEX(data!E$3:E$16128,SMALL(IF(data!$D$3:$D$16128='Лозeнец'!$B$1,ROW(data!$A$3:$A$16128)-ROW($A$3)+1),ROWS(D$4:D107))),"")</f>
        <v>аптека шефа</v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>
        <f t="array" ref="A108">IF(ROWS(A$4:A108)&lt;=$B$2,INDEX(data!C$3:C$16128,SMALL(IF(data!$D$3:$D$16128=$B$1,ROW(data!$A$3:$A$16128)-ROW($A$3)+1),ROWS(A$4:A108))),"")</f>
        <v>46183</v>
      </c>
      <c r="B108" s="19" t="str">
        <f t="array" ref="B108">IF(ROWS(B$4:B108)&lt;=$B$2,INDEX(data!A$3:A$16128,SMALL(IF(data!$D$3:$D$16128='Лозeнец'!$B$1,ROW(data!$A$3:$A$16128)-ROW($A$3)+1),ROWS(B$4:B108))),"")</f>
        <v>каса ФИКТИВНА</v>
      </c>
      <c r="C108" s="19">
        <f t="array" ref="C108">IF(ROWS(C$4:C108)&lt;=$B$2,INDEX(data!B$3:B$16128,SMALL(IF(data!$D$3:$D$16128='Лозeнец'!$B$1,ROW(data!$A$3:$A$16128)-ROW($A$3)+1),ROWS(C$4:C108))),"")</f>
        <v>-51.6</v>
      </c>
      <c r="D108" s="7" t="str">
        <f t="array" ref="D108">IF(ROWS(D$4:D108)&lt;=$B$2,INDEX(data!E$3:E$16128,SMALL(IF(data!$D$3:$D$16128='Лозeнец'!$B$1,ROW(data!$A$3:$A$16128)-ROW($A$3)+1),ROWS(D$4:D108))),"")</f>
        <v>аптека шефката</v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>
        <f t="array" ref="A109">IF(ROWS(A$4:A109)&lt;=$B$2,INDEX(data!C$3:C$16128,SMALL(IF(data!$D$3:$D$16128=$B$1,ROW(data!$A$3:$A$16128)-ROW($A$3)+1),ROWS(A$4:A109))),"")</f>
        <v>46188</v>
      </c>
      <c r="B109" s="19" t="str">
        <f t="array" ref="B109">IF(ROWS(B$4:B109)&lt;=$B$2,INDEX(data!A$3:A$16128,SMALL(IF(data!$D$3:$D$16128='Лозeнец'!$B$1,ROW(data!$A$3:$A$16128)-ROW($A$3)+1),ROWS(B$4:B109))),"")</f>
        <v>MYPOS Бакалия</v>
      </c>
      <c r="C109" s="19">
        <f t="array" ref="C109">IF(ROWS(C$4:C109)&lt;=$B$2,INDEX(data!B$3:B$16128,SMALL(IF(data!$D$3:$D$16128='Лозeнец'!$B$1,ROW(data!$A$3:$A$16128)-ROW($A$3)+1),ROWS(C$4:C109))),"")</f>
        <v>-12865.81</v>
      </c>
      <c r="D109" s="7" t="str">
        <f t="array" ref="D109">IF(ROWS(D$4:D109)&lt;=$B$2,INDEX(data!E$3:E$16128,SMALL(IF(data!$D$3:$D$16128='Лозeнец'!$B$1,ROW(data!$A$3:$A$16128)-ROW($A$3)+1),ROWS(D$4:D109))),"")</f>
        <v/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>
        <f t="array" ref="A110">IF(ROWS(A$4:A110)&lt;=$B$2,INDEX(data!C$3:C$16128,SMALL(IF(data!$D$3:$D$16128=$B$1,ROW(data!$A$3:$A$16128)-ROW($A$3)+1),ROWS(A$4:A110))),"")</f>
        <v>46188</v>
      </c>
      <c r="B110" s="19" t="str">
        <f t="array" ref="B110">IF(ROWS(B$4:B110)&lt;=$B$2,INDEX(data!A$3:A$16128,SMALL(IF(data!$D$3:$D$16128='Лозeнец'!$B$1,ROW(data!$A$3:$A$16128)-ROW($A$3)+1),ROWS(B$4:B110))),"")</f>
        <v>КАСОВА КНИГА</v>
      </c>
      <c r="C110" s="19">
        <f t="array" ref="C110">IF(ROWS(C$4:C110)&lt;=$B$2,INDEX(data!B$3:B$16128,SMALL(IF(data!$D$3:$D$16128='Лозeнец'!$B$1,ROW(data!$A$3:$A$16128)-ROW($A$3)+1),ROWS(C$4:C110))),"")</f>
        <v>-500</v>
      </c>
      <c r="D110" s="7" t="str">
        <f t="array" ref="D110">IF(ROWS(D$4:D110)&lt;=$B$2,INDEX(data!E$3:E$16128,SMALL(IF(data!$D$3:$D$16128='Лозeнец'!$B$1,ROW(data!$A$3:$A$16128)-ROW($A$3)+1),ROWS(D$4:D110))),"")</f>
        <v/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>
        <f t="array" ref="A111">IF(ROWS(A$4:A111)&lt;=$B$2,INDEX(data!C$3:C$16128,SMALL(IF(data!$D$3:$D$16128=$B$1,ROW(data!$A$3:$A$16128)-ROW($A$3)+1),ROWS(A$4:A111))),"")</f>
        <v>46188</v>
      </c>
      <c r="B111" s="19" t="str">
        <f t="array" ref="B111">IF(ROWS(B$4:B111)&lt;=$B$2,INDEX(data!A$3:A$16128,SMALL(IF(data!$D$3:$D$16128='Лозeнец'!$B$1,ROW(data!$A$3:$A$16128)-ROW($A$3)+1),ROWS(B$4:B111))),"")</f>
        <v>ПОС ДСК Бакалия</v>
      </c>
      <c r="C111" s="19">
        <f t="array" ref="C111">IF(ROWS(C$4:C111)&lt;=$B$2,INDEX(data!B$3:B$16128,SMALL(IF(data!$D$3:$D$16128='Лозeнец'!$B$1,ROW(data!$A$3:$A$16128)-ROW($A$3)+1),ROWS(C$4:C111))),"")</f>
        <v>-2721.13</v>
      </c>
      <c r="D111" s="7" t="str">
        <f t="array" ref="D111">IF(ROWS(D$4:D111)&lt;=$B$2,INDEX(data!E$3:E$16128,SMALL(IF(data!$D$3:$D$16128='Лозeнец'!$B$1,ROW(data!$A$3:$A$16128)-ROW($A$3)+1),ROWS(D$4:D111))),"")</f>
        <v/>
      </c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>
        <f t="array" ref="A112">IF(ROWS(A$4:A112)&lt;=$B$2,INDEX(data!C$3:C$16128,SMALL(IF(data!$D$3:$D$16128=$B$1,ROW(data!$A$3:$A$16128)-ROW($A$3)+1),ROWS(A$4:A112))),"")</f>
        <v>46188</v>
      </c>
      <c r="B112" s="19" t="str">
        <f t="array" ref="B112">IF(ROWS(B$4:B112)&lt;=$B$2,INDEX(data!A$3:A$16128,SMALL(IF(data!$D$3:$D$16128='Лозeнец'!$B$1,ROW(data!$A$3:$A$16128)-ROW($A$3)+1),ROWS(B$4:B112))),"")</f>
        <v>ЗАЕМ</v>
      </c>
      <c r="C112" s="19">
        <f t="array" ref="C112">IF(ROWS(C$4:C112)&lt;=$B$2,INDEX(data!B$3:B$16128,SMALL(IF(data!$D$3:$D$16128='Лозeнец'!$B$1,ROW(data!$A$3:$A$16128)-ROW($A$3)+1),ROWS(C$4:C112))),"")</f>
        <v>81404.61</v>
      </c>
      <c r="D112" s="7" t="str">
        <f t="array" ref="D112">IF(ROWS(D$4:D112)&lt;=$B$2,INDEX(data!E$3:E$16128,SMALL(IF(data!$D$3:$D$16128='Лозeнец'!$B$1,ROW(data!$A$3:$A$16128)-ROW($A$3)+1),ROWS(D$4:D112))),"")</f>
        <v>Салдо склад + вътр. п-не</v>
      </c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3">
        <f t="array" ref="A113">IF(ROWS(A$4:A113)&lt;=$B$2,INDEX(data!C$3:C$16128,SMALL(IF(data!$D$3:$D$16128=$B$1,ROW(data!$A$3:$A$16128)-ROW($A$3)+1),ROWS(A$4:A113))),"")</f>
        <v>46190</v>
      </c>
      <c r="B113" s="19" t="str">
        <f t="array" ref="B113">IF(ROWS(B$4:B113)&lt;=$B$2,INDEX(data!A$3:A$16128,SMALL(IF(data!$D$3:$D$16128='Лозeнец'!$B$1,ROW(data!$A$3:$A$16128)-ROW($A$3)+1),ROWS(B$4:B113))),"")</f>
        <v>Каса ВАУЧЕРИ</v>
      </c>
      <c r="C113" s="19">
        <f t="array" ref="C113">IF(ROWS(C$4:C113)&lt;=$B$2,INDEX(data!B$3:B$16128,SMALL(IF(data!$D$3:$D$16128='Лозeнец'!$B$1,ROW(data!$A$3:$A$16128)-ROW($A$3)+1),ROWS(C$4:C113))),"")</f>
        <v>-17.2</v>
      </c>
      <c r="D113" s="7" t="str">
        <f t="array" ref="D113">IF(ROWS(D$4:D113)&lt;=$B$2,INDEX(data!E$3:E$16128,SMALL(IF(data!$D$3:$D$16128='Лозeнец'!$B$1,ROW(data!$A$3:$A$16128)-ROW($A$3)+1),ROWS(D$4:D113))),"")</f>
        <v>за 25-31.05</v>
      </c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3">
        <f t="array" ref="A114">IF(ROWS(A$4:A114)&lt;=$B$2,INDEX(data!C$3:C$16128,SMALL(IF(data!$D$3:$D$16128=$B$1,ROW(data!$A$3:$A$16128)-ROW($A$3)+1),ROWS(A$4:A114))),"")</f>
        <v>46190</v>
      </c>
      <c r="B114" s="19" t="str">
        <f t="array" ref="B114">IF(ROWS(B$4:B114)&lt;=$B$2,INDEX(data!A$3:A$16128,SMALL(IF(data!$D$3:$D$16128='Лозeнец'!$B$1,ROW(data!$A$3:$A$16128)-ROW($A$3)+1),ROWS(B$4:B114))),"")</f>
        <v>каса ФИКТИВНА</v>
      </c>
      <c r="C114" s="19">
        <f t="array" ref="C114">IF(ROWS(C$4:C114)&lt;=$B$2,INDEX(data!B$3:B$16128,SMALL(IF(data!$D$3:$D$16128='Лозeнец'!$B$1,ROW(data!$A$3:$A$16128)-ROW($A$3)+1),ROWS(C$4:C114))),"")</f>
        <v>-16.97</v>
      </c>
      <c r="D114" s="7" t="str">
        <f t="array" ref="D114">IF(ROWS(D$4:D114)&lt;=$B$2,INDEX(data!E$3:E$16128,SMALL(IF(data!$D$3:$D$16128='Лозeнец'!$B$1,ROW(data!$A$3:$A$16128)-ROW($A$3)+1),ROWS(D$4:D114))),"")</f>
        <v>аптека шефа</v>
      </c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>
        <f t="array" ref="A115">IF(ROWS(A$4:A115)&lt;=$B$2,INDEX(data!C$3:C$16128,SMALL(IF(data!$D$3:$D$16128=$B$1,ROW(data!$A$3:$A$16128)-ROW($A$3)+1),ROWS(A$4:A115))),"")</f>
        <v>46192</v>
      </c>
      <c r="B115" s="19" t="str">
        <f t="array" ref="B115">IF(ROWS(B$4:B115)&lt;=$B$2,INDEX(data!A$3:A$16128,SMALL(IF(data!$D$3:$D$16128='Лозeнец'!$B$1,ROW(data!$A$3:$A$16128)-ROW($A$3)+1),ROWS(B$4:B115))),"")</f>
        <v>КАСОВА КНИГА</v>
      </c>
      <c r="C115" s="19">
        <f t="array" ref="C115">IF(ROWS(C$4:C115)&lt;=$B$2,INDEX(data!B$3:B$16128,SMALL(IF(data!$D$3:$D$16128='Лозeнец'!$B$1,ROW(data!$A$3:$A$16128)-ROW($A$3)+1),ROWS(C$4:C115))),"")</f>
        <v>-1000</v>
      </c>
      <c r="D115" s="7" t="str">
        <f t="array" ref="D115">IF(ROWS(D$4:D115)&lt;=$B$2,INDEX(data!E$3:E$16128,SMALL(IF(data!$D$3:$D$16128='Лозeнец'!$B$1,ROW(data!$A$3:$A$16128)-ROW($A$3)+1),ROWS(D$4:D115))),"")</f>
        <v/>
      </c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>
        <f t="array" ref="A116">IF(ROWS(A$4:A116)&lt;=$B$2,INDEX(data!C$3:C$16128,SMALL(IF(data!$D$3:$D$16128=$B$1,ROW(data!$A$3:$A$16128)-ROW($A$3)+1),ROWS(A$4:A116))),"")</f>
        <v>46192</v>
      </c>
      <c r="B116" s="19" t="str">
        <f t="array" ref="B116">IF(ROWS(B$4:B116)&lt;=$B$2,INDEX(data!A$3:A$16128,SMALL(IF(data!$D$3:$D$16128='Лозeнец'!$B$1,ROW(data!$A$3:$A$16128)-ROW($A$3)+1),ROWS(B$4:B116))),"")</f>
        <v>Каса ВАУЧЕРИ</v>
      </c>
      <c r="C116" s="19">
        <f t="array" ref="C116">IF(ROWS(C$4:C116)&lt;=$B$2,INDEX(data!B$3:B$16128,SMALL(IF(data!$D$3:$D$16128='Лозeнец'!$B$1,ROW(data!$A$3:$A$16128)-ROW($A$3)+1),ROWS(C$4:C116))),"")</f>
        <v>900</v>
      </c>
      <c r="D116" s="7" t="str">
        <f t="array" ref="D116">IF(ROWS(D$4:D116)&lt;=$B$2,INDEX(data!E$3:E$16128,SMALL(IF(data!$D$3:$D$16128='Лозeнец'!$B$1,ROW(data!$A$3:$A$16128)-ROW($A$3)+1),ROWS(D$4:D116))),"")</f>
        <v>ваучери персонал</v>
      </c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>
        <f t="array" ref="A117">IF(ROWS(A$4:A117)&lt;=$B$2,INDEX(data!C$3:C$16128,SMALL(IF(data!$D$3:$D$16128=$B$1,ROW(data!$A$3:$A$16128)-ROW($A$3)+1),ROWS(A$4:A117))),"")</f>
        <v>46192</v>
      </c>
      <c r="B117" s="19" t="str">
        <f t="array" ref="B117">IF(ROWS(B$4:B117)&lt;=$B$2,INDEX(data!A$3:A$16128,SMALL(IF(data!$D$3:$D$16128='Лозeнец'!$B$1,ROW(data!$A$3:$A$16128)-ROW($A$3)+1),ROWS(B$4:B117))),"")</f>
        <v>каса ФИКТИВНА</v>
      </c>
      <c r="C117" s="19">
        <f t="array" ref="C117">IF(ROWS(C$4:C117)&lt;=$B$2,INDEX(data!B$3:B$16128,SMALL(IF(data!$D$3:$D$16128='Лозeнец'!$B$1,ROW(data!$A$3:$A$16128)-ROW($A$3)+1),ROWS(C$4:C117))),"")</f>
        <v>-29.9</v>
      </c>
      <c r="D117" s="7" t="str">
        <f t="array" ref="D117">IF(ROWS(D$4:D117)&lt;=$B$2,INDEX(data!E$3:E$16128,SMALL(IF(data!$D$3:$D$16128='Лозeнец'!$B$1,ROW(data!$A$3:$A$16128)-ROW($A$3)+1),ROWS(D$4:D117))),"")</f>
        <v>аптека шефа</v>
      </c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>
        <f t="array" ref="A118">IF(ROWS(A$4:A118)&lt;=$B$2,INDEX(data!C$3:C$16128,SMALL(IF(data!$D$3:$D$16128=$B$1,ROW(data!$A$3:$A$16128)-ROW($A$3)+1),ROWS(A$4:A118))),"")</f>
        <v>46195</v>
      </c>
      <c r="B118" s="19" t="str">
        <f t="array" ref="B118">IF(ROWS(B$4:B118)&lt;=$B$2,INDEX(data!A$3:A$16128,SMALL(IF(data!$D$3:$D$16128='Лозeнец'!$B$1,ROW(data!$A$3:$A$16128)-ROW($A$3)+1),ROWS(B$4:B118))),"")</f>
        <v>MYPOS Бакалия</v>
      </c>
      <c r="C118" s="19">
        <f t="array" ref="C118">IF(ROWS(C$4:C118)&lt;=$B$2,INDEX(data!B$3:B$16128,SMALL(IF(data!$D$3:$D$16128='Лозeнец'!$B$1,ROW(data!$A$3:$A$16128)-ROW($A$3)+1),ROWS(C$4:C118))),"")</f>
        <v>-13672.03</v>
      </c>
      <c r="D118" s="7" t="str">
        <f t="array" ref="D118">IF(ROWS(D$4:D118)&lt;=$B$2,INDEX(data!E$3:E$16128,SMALL(IF(data!$D$3:$D$16128='Лозeнец'!$B$1,ROW(data!$A$3:$A$16128)-ROW($A$3)+1),ROWS(D$4:D118))),"")</f>
        <v/>
      </c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>
        <f t="array" ref="A119">IF(ROWS(A$4:A119)&lt;=$B$2,INDEX(data!C$3:C$16128,SMALL(IF(data!$D$3:$D$16128=$B$1,ROW(data!$A$3:$A$16128)-ROW($A$3)+1),ROWS(A$4:A119))),"")</f>
        <v>46195</v>
      </c>
      <c r="B119" s="19" t="str">
        <f t="array" ref="B119">IF(ROWS(B$4:B119)&lt;=$B$2,INDEX(data!A$3:A$16128,SMALL(IF(data!$D$3:$D$16128='Лозeнец'!$B$1,ROW(data!$A$3:$A$16128)-ROW($A$3)+1),ROWS(B$4:B119))),"")</f>
        <v>КАСОВА КНИГА</v>
      </c>
      <c r="C119" s="19">
        <f t="array" ref="C119">IF(ROWS(C$4:C119)&lt;=$B$2,INDEX(data!B$3:B$16128,SMALL(IF(data!$D$3:$D$16128='Лозeнец'!$B$1,ROW(data!$A$3:$A$16128)-ROW($A$3)+1),ROWS(C$4:C119))),"")</f>
        <v>-500</v>
      </c>
      <c r="D119" s="7" t="str">
        <f t="array" ref="D119">IF(ROWS(D$4:D119)&lt;=$B$2,INDEX(data!E$3:E$16128,SMALL(IF(data!$D$3:$D$16128='Лозeнец'!$B$1,ROW(data!$A$3:$A$16128)-ROW($A$3)+1),ROWS(D$4:D119))),"")</f>
        <v/>
      </c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>
        <f t="array" ref="A120">IF(ROWS(A$4:A120)&lt;=$B$2,INDEX(data!C$3:C$16128,SMALL(IF(data!$D$3:$D$16128=$B$1,ROW(data!$A$3:$A$16128)-ROW($A$3)+1),ROWS(A$4:A120))),"")</f>
        <v>46195</v>
      </c>
      <c r="B120" s="19" t="str">
        <f t="array" ref="B120">IF(ROWS(B$4:B120)&lt;=$B$2,INDEX(data!A$3:A$16128,SMALL(IF(data!$D$3:$D$16128='Лозeнец'!$B$1,ROW(data!$A$3:$A$16128)-ROW($A$3)+1),ROWS(B$4:B120))),"")</f>
        <v>каса ФИКТИВНА</v>
      </c>
      <c r="C120" s="19">
        <f t="array" ref="C120">IF(ROWS(C$4:C120)&lt;=$B$2,INDEX(data!B$3:B$16128,SMALL(IF(data!$D$3:$D$16128='Лозeнец'!$B$1,ROW(data!$A$3:$A$16128)-ROW($A$3)+1),ROWS(C$4:C120))),"")</f>
        <v>-150</v>
      </c>
      <c r="D120" s="7" t="str">
        <f t="array" ref="D120">IF(ROWS(D$4:D120)&lt;=$B$2,INDEX(data!E$3:E$16128,SMALL(IF(data!$D$3:$D$16128='Лозeнец'!$B$1,ROW(data!$A$3:$A$16128)-ROW($A$3)+1),ROWS(D$4:D120))),"")</f>
        <v>Ния от заплатата</v>
      </c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3">
        <f t="array" ref="A121">IF(ROWS(A$4:A121)&lt;=$B$2,INDEX(data!C$3:C$16128,SMALL(IF(data!$D$3:$D$16128=$B$1,ROW(data!$A$3:$A$16128)-ROW($A$3)+1),ROWS(A$4:A121))),"")</f>
        <v>46197</v>
      </c>
      <c r="B121" s="19" t="str">
        <f t="array" ref="B121">IF(ROWS(B$4:B121)&lt;=$B$2,INDEX(data!A$3:A$16128,SMALL(IF(data!$D$3:$D$16128='Лозeнец'!$B$1,ROW(data!$A$3:$A$16128)-ROW($A$3)+1),ROWS(B$4:B121))),"")</f>
        <v>Каса ВАУЧЕРИ</v>
      </c>
      <c r="C121" s="19">
        <f t="array" ref="C121">IF(ROWS(C$4:C121)&lt;=$B$2,INDEX(data!B$3:B$16128,SMALL(IF(data!$D$3:$D$16128='Лозeнец'!$B$1,ROW(data!$A$3:$A$16128)-ROW($A$3)+1),ROWS(C$4:C121))),"")</f>
        <v>-12.11</v>
      </c>
      <c r="D121" s="7" t="str">
        <f t="array" ref="D121">IF(ROWS(D$4:D121)&lt;=$B$2,INDEX(data!E$3:E$16128,SMALL(IF(data!$D$3:$D$16128='Лозeнец'!$B$1,ROW(data!$A$3:$A$16128)-ROW($A$3)+1),ROWS(D$4:D121))),"")</f>
        <v/>
      </c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3">
        <f t="array" ref="A122">IF(ROWS(A$4:A122)&lt;=$B$2,INDEX(data!C$3:C$16128,SMALL(IF(data!$D$3:$D$16128=$B$1,ROW(data!$A$3:$A$16128)-ROW($A$3)+1),ROWS(A$4:A122))),"")</f>
        <v>46202</v>
      </c>
      <c r="B122" s="19" t="str">
        <f t="array" ref="B122">IF(ROWS(B$4:B122)&lt;=$B$2,INDEX(data!A$3:A$16128,SMALL(IF(data!$D$3:$D$16128='Лозeнец'!$B$1,ROW(data!$A$3:$A$16128)-ROW($A$3)+1),ROWS(B$4:B122))),"")</f>
        <v>MYPOS Бакалия</v>
      </c>
      <c r="C122" s="19">
        <f t="array" ref="C122">IF(ROWS(C$4:C122)&lt;=$B$2,INDEX(data!B$3:B$16128,SMALL(IF(data!$D$3:$D$16128='Лозeнец'!$B$1,ROW(data!$A$3:$A$16128)-ROW($A$3)+1),ROWS(C$4:C122))),"")</f>
        <v>-13849.97</v>
      </c>
      <c r="D122" s="7" t="str">
        <f t="array" ref="D122">IF(ROWS(D$4:D122)&lt;=$B$2,INDEX(data!E$3:E$16128,SMALL(IF(data!$D$3:$D$16128='Лозeнец'!$B$1,ROW(data!$A$3:$A$16128)-ROW($A$3)+1),ROWS(D$4:D122))),"")</f>
        <v/>
      </c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>
        <f t="array" ref="A123">IF(ROWS(A$4:A123)&lt;=$B$2,INDEX(data!C$3:C$16128,SMALL(IF(data!$D$3:$D$16128=$B$1,ROW(data!$A$3:$A$16128)-ROW($A$3)+1),ROWS(A$4:A123))),"")</f>
        <v>46203</v>
      </c>
      <c r="B123" s="19" t="str">
        <f t="array" ref="B123">IF(ROWS(B$4:B123)&lt;=$B$2,INDEX(data!A$3:A$16128,SMALL(IF(data!$D$3:$D$16128='Лозeнец'!$B$1,ROW(data!$A$3:$A$16128)-ROW($A$3)+1),ROWS(B$4:B123))),"")</f>
        <v>каса ФИКТИВНА</v>
      </c>
      <c r="C123" s="19">
        <f t="array" ref="C123">IF(ROWS(C$4:C123)&lt;=$B$2,INDEX(data!B$3:B$16128,SMALL(IF(data!$D$3:$D$16128='Лозeнец'!$B$1,ROW(data!$A$3:$A$16128)-ROW($A$3)+1),ROWS(C$4:C123))),"")</f>
        <v>-27.7</v>
      </c>
      <c r="D123" s="7" t="str">
        <f t="array" ref="D123">IF(ROWS(D$4:D123)&lt;=$B$2,INDEX(data!E$3:E$16128,SMALL(IF(data!$D$3:$D$16128='Лозeнец'!$B$1,ROW(data!$A$3:$A$16128)-ROW($A$3)+1),ROWS(D$4:D123))),"")</f>
        <v>аптека шефа</v>
      </c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>
        <f t="array" ref="A124">IF(ROWS(A$4:A124)&lt;=$B$2,INDEX(data!C$3:C$16128,SMALL(IF(data!$D$3:$D$16128=$B$1,ROW(data!$A$3:$A$16128)-ROW($A$3)+1),ROWS(A$4:A124))),"")</f>
        <v>46203</v>
      </c>
      <c r="B124" s="19" t="str">
        <f t="array" ref="B124">IF(ROWS(B$4:B124)&lt;=$B$2,INDEX(data!A$3:A$16128,SMALL(IF(data!$D$3:$D$16128='Лозeнец'!$B$1,ROW(data!$A$3:$A$16128)-ROW($A$3)+1),ROWS(B$4:B124))),"")</f>
        <v>каса ФИКТИВНА</v>
      </c>
      <c r="C124" s="19">
        <f t="array" ref="C124">IF(ROWS(C$4:C124)&lt;=$B$2,INDEX(data!B$3:B$16128,SMALL(IF(data!$D$3:$D$16128='Лозeнец'!$B$1,ROW(data!$A$3:$A$16128)-ROW($A$3)+1),ROWS(C$4:C124))),"")</f>
        <v>-2888.71</v>
      </c>
      <c r="D124" s="7" t="str">
        <f t="array" ref="D124">IF(ROWS(D$4:D124)&lt;=$B$2,INDEX(data!E$3:E$16128,SMALL(IF(data!$D$3:$D$16128='Лозeнец'!$B$1,ROW(data!$A$3:$A$16128)-ROW($A$3)+1),ROWS(D$4:D124))),"")</f>
        <v>платен наем Астарта</v>
      </c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>
        <f t="array" ref="A125">IF(ROWS(A$4:A125)&lt;=$B$2,INDEX(data!C$3:C$16128,SMALL(IF(data!$D$3:$D$16128=$B$1,ROW(data!$A$3:$A$16128)-ROW($A$3)+1),ROWS(A$4:A125))),"")</f>
        <v>46205</v>
      </c>
      <c r="B125" s="19" t="str">
        <f t="array" ref="B125">IF(ROWS(B$4:B125)&lt;=$B$2,INDEX(data!A$3:A$16128,SMALL(IF(data!$D$3:$D$16128='Лозeнец'!$B$1,ROW(data!$A$3:$A$16128)-ROW($A$3)+1),ROWS(B$4:B125))),"")</f>
        <v>каса ФИКТИВНА</v>
      </c>
      <c r="C125" s="19">
        <f t="array" ref="C125">IF(ROWS(C$4:C125)&lt;=$B$2,INDEX(data!B$3:B$16128,SMALL(IF(data!$D$3:$D$16128='Лозeнец'!$B$1,ROW(data!$A$3:$A$16128)-ROW($A$3)+1),ROWS(C$4:C125))),"")</f>
        <v>-14</v>
      </c>
      <c r="D125" s="7" t="str">
        <f t="array" ref="D125">IF(ROWS(D$4:D125)&lt;=$B$2,INDEX(data!E$3:E$16128,SMALL(IF(data!$D$3:$D$16128='Лозeнец'!$B$1,ROW(data!$A$3:$A$16128)-ROW($A$3)+1),ROWS(D$4:D125))),"")</f>
        <v>аптека шефа</v>
      </c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3">
        <f t="array" ref="A126">IF(ROWS(A$4:A126)&lt;=$B$2,INDEX(data!C$3:C$16128,SMALL(IF(data!$D$3:$D$16128=$B$1,ROW(data!$A$3:$A$16128)-ROW($A$3)+1),ROWS(A$4:A126))),"")</f>
        <v>46206</v>
      </c>
      <c r="B126" s="19" t="str">
        <f t="array" ref="B126">IF(ROWS(B$4:B126)&lt;=$B$2,INDEX(data!A$3:A$16128,SMALL(IF(data!$D$3:$D$16128='Лозeнец'!$B$1,ROW(data!$A$3:$A$16128)-ROW($A$3)+1),ROWS(B$4:B126))),"")</f>
        <v>каса ФИКТИВНА</v>
      </c>
      <c r="C126" s="19">
        <f t="array" ref="C126">IF(ROWS(C$4:C126)&lt;=$B$2,INDEX(data!B$3:B$16128,SMALL(IF(data!$D$3:$D$16128='Лозeнец'!$B$1,ROW(data!$A$3:$A$16128)-ROW($A$3)+1),ROWS(C$4:C126))),"")</f>
        <v>-35</v>
      </c>
      <c r="D126" s="7" t="str">
        <f t="array" ref="D126">IF(ROWS(D$4:D126)&lt;=$B$2,INDEX(data!E$3:E$16128,SMALL(IF(data!$D$3:$D$16128='Лозeнец'!$B$1,ROW(data!$A$3:$A$16128)-ROW($A$3)+1),ROWS(D$4:D126))),"")</f>
        <v>аптека шефа</v>
      </c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3">
        <f t="array" ref="A127">IF(ROWS(A$4:A127)&lt;=$B$2,INDEX(data!C$3:C$16128,SMALL(IF(data!$D$3:$D$16128=$B$1,ROW(data!$A$3:$A$16128)-ROW($A$3)+1),ROWS(A$4:A127))),"")</f>
        <v>46209</v>
      </c>
      <c r="B127" s="19" t="str">
        <f t="array" ref="B127">IF(ROWS(B$4:B127)&lt;=$B$2,INDEX(data!A$3:A$16128,SMALL(IF(data!$D$3:$D$16128='Лозeнец'!$B$1,ROW(data!$A$3:$A$16128)-ROW($A$3)+1),ROWS(B$4:B127))),"")</f>
        <v>MYPOS Бакалия</v>
      </c>
      <c r="C127" s="19">
        <f t="array" ref="C127">IF(ROWS(C$4:C127)&lt;=$B$2,INDEX(data!B$3:B$16128,SMALL(IF(data!$D$3:$D$16128='Лозeнец'!$B$1,ROW(data!$A$3:$A$16128)-ROW($A$3)+1),ROWS(C$4:C127))),"")</f>
        <v>-14419.23</v>
      </c>
      <c r="D127" s="7" t="str">
        <f t="array" ref="D127">IF(ROWS(D$4:D127)&lt;=$B$2,INDEX(data!E$3:E$16128,SMALL(IF(data!$D$3:$D$16128='Лозeнец'!$B$1,ROW(data!$A$3:$A$16128)-ROW($A$3)+1),ROWS(D$4:D127))),"")</f>
        <v/>
      </c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3">
        <f t="array" ref="A128">IF(ROWS(A$4:A128)&lt;=$B$2,INDEX(data!C$3:C$16128,SMALL(IF(data!$D$3:$D$16128=$B$1,ROW(data!$A$3:$A$16128)-ROW($A$3)+1),ROWS(A$4:A128))),"")</f>
        <v>46209</v>
      </c>
      <c r="B128" s="19" t="str">
        <f t="array" ref="B128">IF(ROWS(B$4:B128)&lt;=$B$2,INDEX(data!A$3:A$16128,SMALL(IF(data!$D$3:$D$16128='Лозeнец'!$B$1,ROW(data!$A$3:$A$16128)-ROW($A$3)+1),ROWS(B$4:B128))),"")</f>
        <v>КАСОВА КНИГА</v>
      </c>
      <c r="C128" s="19">
        <f t="array" ref="C128">IF(ROWS(C$4:C128)&lt;=$B$2,INDEX(data!B$3:B$16128,SMALL(IF(data!$D$3:$D$16128='Лозeнец'!$B$1,ROW(data!$A$3:$A$16128)-ROW($A$3)+1),ROWS(C$4:C128))),"")</f>
        <v>-500</v>
      </c>
      <c r="D128" s="7" t="str">
        <f t="array" ref="D128">IF(ROWS(D$4:D128)&lt;=$B$2,INDEX(data!E$3:E$16128,SMALL(IF(data!$D$3:$D$16128='Лозeнец'!$B$1,ROW(data!$A$3:$A$16128)-ROW($A$3)+1),ROWS(D$4:D128))),"")</f>
        <v/>
      </c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3">
        <f t="array" ref="A129">IF(ROWS(A$4:A129)&lt;=$B$2,INDEX(data!C$3:C$16128,SMALL(IF(data!$D$3:$D$16128=$B$1,ROW(data!$A$3:$A$16128)-ROW($A$3)+1),ROWS(A$4:A129))),"")</f>
        <v>46209</v>
      </c>
      <c r="B129" s="19" t="str">
        <f t="array" ref="B129">IF(ROWS(B$4:B129)&lt;=$B$2,INDEX(data!A$3:A$16128,SMALL(IF(data!$D$3:$D$16128='Лозeнец'!$B$1,ROW(data!$A$3:$A$16128)-ROW($A$3)+1),ROWS(B$4:B129))),"")</f>
        <v>КАСОВА КНИГА</v>
      </c>
      <c r="C129" s="19">
        <f t="array" ref="C129">IF(ROWS(C$4:C129)&lt;=$B$2,INDEX(data!B$3:B$16128,SMALL(IF(data!$D$3:$D$16128='Лозeнец'!$B$1,ROW(data!$A$3:$A$16128)-ROW($A$3)+1),ROWS(C$4:C129))),"")</f>
        <v>-800</v>
      </c>
      <c r="D129" s="7" t="str">
        <f t="array" ref="D129">IF(ROWS(D$4:D129)&lt;=$B$2,INDEX(data!E$3:E$16128,SMALL(IF(data!$D$3:$D$16128='Лозeнец'!$B$1,ROW(data!$A$3:$A$16128)-ROW($A$3)+1),ROWS(D$4:D129))),"")</f>
        <v>Мимето от премиите</v>
      </c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3">
        <f t="array" ref="A130">IF(ROWS(A$4:A130)&lt;=$B$2,INDEX(data!C$3:C$16128,SMALL(IF(data!$D$3:$D$16128=$B$1,ROW(data!$A$3:$A$16128)-ROW($A$3)+1),ROWS(A$4:A130))),"")</f>
        <v>46209</v>
      </c>
      <c r="B130" s="19" t="str">
        <f t="array" ref="B130">IF(ROWS(B$4:B130)&lt;=$B$2,INDEX(data!A$3:A$16128,SMALL(IF(data!$D$3:$D$16128='Лозeнец'!$B$1,ROW(data!$A$3:$A$16128)-ROW($A$3)+1),ROWS(B$4:B130))),"")</f>
        <v>Каса ВАУЧЕРИ</v>
      </c>
      <c r="C130" s="19">
        <f t="array" ref="C130">IF(ROWS(C$4:C130)&lt;=$B$2,INDEX(data!B$3:B$16128,SMALL(IF(data!$D$3:$D$16128='Лозeнец'!$B$1,ROW(data!$A$3:$A$16128)-ROW($A$3)+1),ROWS(C$4:C130))),"")</f>
        <v>-63</v>
      </c>
      <c r="D130" s="7" t="str">
        <f t="array" ref="D130">IF(ROWS(D$4:D130)&lt;=$B$2,INDEX(data!E$3:E$16128,SMALL(IF(data!$D$3:$D$16128='Лозeнец'!$B$1,ROW(data!$A$3:$A$16128)-ROW($A$3)+1),ROWS(D$4:D130))),"")</f>
        <v>към 22.06</v>
      </c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3">
        <f t="array" ref="A131">IF(ROWS(A$4:A131)&lt;=$B$2,INDEX(data!C$3:C$16128,SMALL(IF(data!$D$3:$D$16128=$B$1,ROW(data!$A$3:$A$16128)-ROW($A$3)+1),ROWS(A$4:A131))),"")</f>
        <v>46210</v>
      </c>
      <c r="B131" s="19" t="str">
        <f t="array" ref="B131">IF(ROWS(B$4:B131)&lt;=$B$2,INDEX(data!A$3:A$16128,SMALL(IF(data!$D$3:$D$16128='Лозeнец'!$B$1,ROW(data!$A$3:$A$16128)-ROW($A$3)+1),ROWS(B$4:B131))),"")</f>
        <v>каса ФИКТИВНА</v>
      </c>
      <c r="C131" s="19">
        <f t="array" ref="C131">IF(ROWS(C$4:C131)&lt;=$B$2,INDEX(data!B$3:B$16128,SMALL(IF(data!$D$3:$D$16128='Лозeнец'!$B$1,ROW(data!$A$3:$A$16128)-ROW($A$3)+1),ROWS(C$4:C131))),"")</f>
        <v>-19.9</v>
      </c>
      <c r="D131" s="7" t="str">
        <f t="array" ref="D131">IF(ROWS(D$4:D131)&lt;=$B$2,INDEX(data!E$3:E$16128,SMALL(IF(data!$D$3:$D$16128='Лозeнец'!$B$1,ROW(data!$A$3:$A$16128)-ROW($A$3)+1),ROWS(D$4:D131))),"")</f>
        <v>лекарства шефа</v>
      </c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3">
        <f t="array" ref="A132">IF(ROWS(A$4:A132)&lt;=$B$2,INDEX(data!C$3:C$16128,SMALL(IF(data!$D$3:$D$16128=$B$1,ROW(data!$A$3:$A$16128)-ROW($A$3)+1),ROWS(A$4:A132))),"")</f>
        <v>46216</v>
      </c>
      <c r="B132" s="19" t="str">
        <f t="array" ref="B132">IF(ROWS(B$4:B132)&lt;=$B$2,INDEX(data!A$3:A$16128,SMALL(IF(data!$D$3:$D$16128='Лозeнец'!$B$1,ROW(data!$A$3:$A$16128)-ROW($A$3)+1),ROWS(B$4:B132))),"")</f>
        <v>КАСОВА КНИГА</v>
      </c>
      <c r="C132" s="19">
        <f t="array" ref="C132">IF(ROWS(C$4:C132)&lt;=$B$2,INDEX(data!B$3:B$16128,SMALL(IF(data!$D$3:$D$16128='Лозeнец'!$B$1,ROW(data!$A$3:$A$16128)-ROW($A$3)+1),ROWS(C$4:C132))),"")</f>
        <v>-1000</v>
      </c>
      <c r="D132" s="7" t="str">
        <f t="array" ref="D132">IF(ROWS(D$4:D132)&lt;=$B$2,INDEX(data!E$3:E$16128,SMALL(IF(data!$D$3:$D$16128='Лозeнец'!$B$1,ROW(data!$A$3:$A$16128)-ROW($A$3)+1),ROWS(D$4:D132))),"")</f>
        <v/>
      </c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3">
        <f t="array" ref="A133">IF(ROWS(A$4:A133)&lt;=$B$2,INDEX(data!C$3:C$16128,SMALL(IF(data!$D$3:$D$16128=$B$1,ROW(data!$A$3:$A$16128)-ROW($A$3)+1),ROWS(A$4:A133))),"")</f>
        <v>46219</v>
      </c>
      <c r="B133" s="19" t="str">
        <f t="array" ref="B133">IF(ROWS(B$4:B133)&lt;=$B$2,INDEX(data!A$3:A$16128,SMALL(IF(data!$D$3:$D$16128='Лозeнец'!$B$1,ROW(data!$A$3:$A$16128)-ROW($A$3)+1),ROWS(B$4:B133))),"")</f>
        <v>Каса ВАУЧЕРИ</v>
      </c>
      <c r="C133" s="19">
        <f t="array" ref="C133">IF(ROWS(C$4:C133)&lt;=$B$2,INDEX(data!B$3:B$16128,SMALL(IF(data!$D$3:$D$16128='Лозeнец'!$B$1,ROW(data!$A$3:$A$16128)-ROW($A$3)+1),ROWS(C$4:C133))),"")</f>
        <v>-15.11</v>
      </c>
      <c r="D133" s="7" t="str">
        <f t="array" ref="D133">IF(ROWS(D$4:D133)&lt;=$B$2,INDEX(data!E$3:E$16128,SMALL(IF(data!$D$3:$D$16128='Лозeнец'!$B$1,ROW(data!$A$3:$A$16128)-ROW($A$3)+1),ROWS(D$4:D133))),"")</f>
        <v>за 22-28.06</v>
      </c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3">
        <f t="array" ref="A134">IF(ROWS(A$4:A134)&lt;=$B$2,INDEX(data!C$3:C$16128,SMALL(IF(data!$D$3:$D$16128=$B$1,ROW(data!$A$3:$A$16128)-ROW($A$3)+1),ROWS(A$4:A134))),"")</f>
        <v>46219</v>
      </c>
      <c r="B134" s="19" t="str">
        <f t="array" ref="B134">IF(ROWS(B$4:B134)&lt;=$B$2,INDEX(data!A$3:A$16128,SMALL(IF(data!$D$3:$D$16128='Лозeнец'!$B$1,ROW(data!$A$3:$A$16128)-ROW($A$3)+1),ROWS(B$4:B134))),"")</f>
        <v>Каса ВАУЧЕРИ</v>
      </c>
      <c r="C134" s="19">
        <f t="array" ref="C134">IF(ROWS(C$4:C134)&lt;=$B$2,INDEX(data!B$3:B$16128,SMALL(IF(data!$D$3:$D$16128='Лозeнец'!$B$1,ROW(data!$A$3:$A$16128)-ROW($A$3)+1),ROWS(C$4:C134))),"")</f>
        <v>-49</v>
      </c>
      <c r="D134" s="7" t="str">
        <f t="array" ref="D134">IF(ROWS(D$4:D134)&lt;=$B$2,INDEX(data!E$3:E$16128,SMALL(IF(data!$D$3:$D$16128='Лозeнец'!$B$1,ROW(data!$A$3:$A$16128)-ROW($A$3)+1),ROWS(D$4:D134))),"")</f>
        <v>за 29.06-05.07</v>
      </c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3">
        <f t="array" ref="A135">IF(ROWS(A$4:A135)&lt;=$B$2,INDEX(data!C$3:C$16128,SMALL(IF(data!$D$3:$D$16128=$B$1,ROW(data!$A$3:$A$16128)-ROW($A$3)+1),ROWS(A$4:A135))),"")</f>
        <v>46219</v>
      </c>
      <c r="B135" s="19" t="str">
        <f t="array" ref="B135">IF(ROWS(B$4:B135)&lt;=$B$2,INDEX(data!A$3:A$16128,SMALL(IF(data!$D$3:$D$16128='Лозeнец'!$B$1,ROW(data!$A$3:$A$16128)-ROW($A$3)+1),ROWS(B$4:B135))),"")</f>
        <v>каса ФИКТИВНА</v>
      </c>
      <c r="C135" s="19">
        <f t="array" ref="C135">IF(ROWS(C$4:C135)&lt;=$B$2,INDEX(data!B$3:B$16128,SMALL(IF(data!$D$3:$D$16128='Лозeнец'!$B$1,ROW(data!$A$3:$A$16128)-ROW($A$3)+1),ROWS(C$4:C135))),"")</f>
        <v>-25.5</v>
      </c>
      <c r="D135" s="7" t="str">
        <f t="array" ref="D135">IF(ROWS(D$4:D135)&lt;=$B$2,INDEX(data!E$3:E$16128,SMALL(IF(data!$D$3:$D$16128='Лозeнец'!$B$1,ROW(data!$A$3:$A$16128)-ROW($A$3)+1),ROWS(D$4:D135))),"")</f>
        <v>снимки непалци</v>
      </c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3">
        <f t="array" ref="A136">IF(ROWS(A$4:A136)&lt;=$B$2,INDEX(data!C$3:C$16128,SMALL(IF(data!$D$3:$D$16128=$B$1,ROW(data!$A$3:$A$16128)-ROW($A$3)+1),ROWS(A$4:A136))),"")</f>
        <v>46223</v>
      </c>
      <c r="B136" s="19" t="str">
        <f t="array" ref="B136">IF(ROWS(B$4:B136)&lt;=$B$2,INDEX(data!A$3:A$16128,SMALL(IF(data!$D$3:$D$16128='Лозeнец'!$B$1,ROW(data!$A$3:$A$16128)-ROW($A$3)+1),ROWS(B$4:B136))),"")</f>
        <v>Каса ВАУЧЕРИ</v>
      </c>
      <c r="C136" s="19">
        <f t="array" ref="C136">IF(ROWS(C$4:C136)&lt;=$B$2,INDEX(data!B$3:B$16128,SMALL(IF(data!$D$3:$D$16128='Лозeнец'!$B$1,ROW(data!$A$3:$A$16128)-ROW($A$3)+1),ROWS(C$4:C136))),"")</f>
        <v>900</v>
      </c>
      <c r="D136" s="7" t="str">
        <f t="array" ref="D136">IF(ROWS(D$4:D136)&lt;=$B$2,INDEX(data!E$3:E$16128,SMALL(IF(data!$D$3:$D$16128='Лозeнец'!$B$1,ROW(data!$A$3:$A$16128)-ROW($A$3)+1),ROWS(D$4:D136))),"")</f>
        <v>ваучери персонал</v>
      </c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3">
        <f t="array" ref="A137">IF(ROWS(A$4:A137)&lt;=$B$2,INDEX(data!C$3:C$16128,SMALL(IF(data!$D$3:$D$16128=$B$1,ROW(data!$A$3:$A$16128)-ROW($A$3)+1),ROWS(A$4:A137))),"")</f>
        <v>46223</v>
      </c>
      <c r="B137" s="19" t="str">
        <f t="array" ref="B137">IF(ROWS(B$4:B137)&lt;=$B$2,INDEX(data!A$3:A$16128,SMALL(IF(data!$D$3:$D$16128='Лозeнец'!$B$1,ROW(data!$A$3:$A$16128)-ROW($A$3)+1),ROWS(B$4:B137))),"")</f>
        <v>MYPOS Бакалия</v>
      </c>
      <c r="C137" s="19">
        <f t="array" ref="C137">IF(ROWS(C$4:C137)&lt;=$B$2,INDEX(data!B$3:B$16128,SMALL(IF(data!$D$3:$D$16128='Лозeнец'!$B$1,ROW(data!$A$3:$A$16128)-ROW($A$3)+1),ROWS(C$4:C137))),"")</f>
        <v>-25565.71</v>
      </c>
      <c r="D137" s="7" t="str">
        <f t="array" ref="D137">IF(ROWS(D$4:D137)&lt;=$B$2,INDEX(data!E$3:E$16128,SMALL(IF(data!$D$3:$D$16128='Лозeнец'!$B$1,ROW(data!$A$3:$A$16128)-ROW($A$3)+1),ROWS(D$4:D137))),"")</f>
        <v/>
      </c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3">
        <f t="array" ref="A138">IF(ROWS(A$4:A138)&lt;=$B$2,INDEX(data!C$3:C$16128,SMALL(IF(data!$D$3:$D$16128=$B$1,ROW(data!$A$3:$A$16128)-ROW($A$3)+1),ROWS(A$4:A138))),"")</f>
        <v>46224</v>
      </c>
      <c r="B138" s="19" t="str">
        <f t="array" ref="B138">IF(ROWS(B$4:B138)&lt;=$B$2,INDEX(data!A$3:A$16128,SMALL(IF(data!$D$3:$D$16128='Лозeнец'!$B$1,ROW(data!$A$3:$A$16128)-ROW($A$3)+1),ROWS(B$4:B138))),"")</f>
        <v>ПОС ДСК Бакалия</v>
      </c>
      <c r="C138" s="19">
        <f t="array" ref="C138">IF(ROWS(C$4:C138)&lt;=$B$2,INDEX(data!B$3:B$16128,SMALL(IF(data!$D$3:$D$16128='Лозeнец'!$B$1,ROW(data!$A$3:$A$16128)-ROW($A$3)+1),ROWS(C$4:C138))),"")</f>
        <v>-2170.79</v>
      </c>
      <c r="D138" s="7" t="str">
        <f t="array" ref="D138">IF(ROWS(D$4:D138)&lt;=$B$2,INDEX(data!E$3:E$16128,SMALL(IF(data!$D$3:$D$16128='Лозeнец'!$B$1,ROW(data!$A$3:$A$16128)-ROW($A$3)+1),ROWS(D$4:D138))),"")</f>
        <v/>
      </c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3">
        <f t="array" ref="A139">IF(ROWS(A$4:A139)&lt;=$B$2,INDEX(data!C$3:C$16128,SMALL(IF(data!$D$3:$D$16128=$B$1,ROW(data!$A$3:$A$16128)-ROW($A$3)+1),ROWS(A$4:A139))),"")</f>
        <v>46224</v>
      </c>
      <c r="B139" s="19" t="str">
        <f t="array" ref="B139">IF(ROWS(B$4:B139)&lt;=$B$2,INDEX(data!A$3:A$16128,SMALL(IF(data!$D$3:$D$16128='Лозeнец'!$B$1,ROW(data!$A$3:$A$16128)-ROW($A$3)+1),ROWS(B$4:B139))),"")</f>
        <v>ЗАЕМ</v>
      </c>
      <c r="C139" s="19">
        <f t="array" ref="C139">IF(ROWS(C$4:C139)&lt;=$B$2,INDEX(data!B$3:B$16128,SMALL(IF(data!$D$3:$D$16128='Лозeнец'!$B$1,ROW(data!$A$3:$A$16128)-ROW($A$3)+1),ROWS(C$4:C139))),"")</f>
        <v>79089.17</v>
      </c>
      <c r="D139" s="7" t="str">
        <f t="array" ref="D139">IF(ROWS(D$4:D139)&lt;=$B$2,INDEX(data!E$3:E$16128,SMALL(IF(data!$D$3:$D$16128='Лозeнец'!$B$1,ROW(data!$A$3:$A$16128)-ROW($A$3)+1),ROWS(D$4:D139))),"")</f>
        <v>Салдо склад + вътр. п-не</v>
      </c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3">
        <f t="array" ref="A140">IF(ROWS(A$4:A140)&lt;=$B$2,INDEX(data!C$3:C$16128,SMALL(IF(data!$D$3:$D$16128=$B$1,ROW(data!$A$3:$A$16128)-ROW($A$3)+1),ROWS(A$4:A140))),"")</f>
        <v>46226</v>
      </c>
      <c r="B140" s="19" t="str">
        <f t="array" ref="B140">IF(ROWS(B$4:B140)&lt;=$B$2,INDEX(data!A$3:A$16128,SMALL(IF(data!$D$3:$D$16128='Лозeнец'!$B$1,ROW(data!$A$3:$A$16128)-ROW($A$3)+1),ROWS(B$4:B140))),"")</f>
        <v>Каса ВАУЧЕРИ</v>
      </c>
      <c r="C140" s="19">
        <f t="array" ref="C140">IF(ROWS(C$4:C140)&lt;=$B$2,INDEX(data!B$3:B$16128,SMALL(IF(data!$D$3:$D$16128='Лозeнец'!$B$1,ROW(data!$A$3:$A$16128)-ROW($A$3)+1),ROWS(C$4:C140))),"")</f>
        <v>-52</v>
      </c>
      <c r="D140" s="7" t="str">
        <f t="array" ref="D140">IF(ROWS(D$4:D140)&lt;=$B$2,INDEX(data!E$3:E$16128,SMALL(IF(data!$D$3:$D$16128='Лозeнец'!$B$1,ROW(data!$A$3:$A$16128)-ROW($A$3)+1),ROWS(D$4:D140))),"")</f>
        <v>към 13.07</v>
      </c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3">
        <f t="array" ref="A141">IF(ROWS(A$4:A141)&lt;=$B$2,INDEX(data!C$3:C$16128,SMALL(IF(data!$D$3:$D$16128=$B$1,ROW(data!$A$3:$A$16128)-ROW($A$3)+1),ROWS(A$4:A141))),"")</f>
        <v>46227</v>
      </c>
      <c r="B141" s="19" t="str">
        <f t="array" ref="B141">IF(ROWS(B$4:B141)&lt;=$B$2,INDEX(data!A$3:A$16128,SMALL(IF(data!$D$3:$D$16128='Лозeнец'!$B$1,ROW(data!$A$3:$A$16128)-ROW($A$3)+1),ROWS(B$4:B141))),"")</f>
        <v>каса ФИКТИВНА</v>
      </c>
      <c r="C141" s="19">
        <f t="array" ref="C141">IF(ROWS(C$4:C141)&lt;=$B$2,INDEX(data!B$3:B$16128,SMALL(IF(data!$D$3:$D$16128='Лозeнец'!$B$1,ROW(data!$A$3:$A$16128)-ROW($A$3)+1),ROWS(C$4:C141))),"")</f>
        <v>-45</v>
      </c>
      <c r="D141" s="7" t="str">
        <f t="array" ref="D141">IF(ROWS(D$4:D141)&lt;=$B$2,INDEX(data!E$3:E$16128,SMALL(IF(data!$D$3:$D$16128='Лозeнец'!$B$1,ROW(data!$A$3:$A$16128)-ROW($A$3)+1),ROWS(D$4:D141))),"")</f>
        <v>здравни книжки</v>
      </c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3">
        <f t="array" ref="A142">IF(ROWS(A$4:A142)&lt;=$B$2,INDEX(data!C$3:C$16128,SMALL(IF(data!$D$3:$D$16128=$B$1,ROW(data!$A$3:$A$16128)-ROW($A$3)+1),ROWS(A$4:A142))),"")</f>
        <v>46227</v>
      </c>
      <c r="B142" s="19" t="str">
        <f t="array" ref="B142">IF(ROWS(B$4:B142)&lt;=$B$2,INDEX(data!A$3:A$16128,SMALL(IF(data!$D$3:$D$16128='Лозeнец'!$B$1,ROW(data!$A$3:$A$16128)-ROW($A$3)+1),ROWS(B$4:B142))),"")</f>
        <v>каса ФИКТИВНА</v>
      </c>
      <c r="C142" s="19">
        <f t="array" ref="C142">IF(ROWS(C$4:C142)&lt;=$B$2,INDEX(data!B$3:B$16128,SMALL(IF(data!$D$3:$D$16128='Лозeнец'!$B$1,ROW(data!$A$3:$A$16128)-ROW($A$3)+1),ROWS(C$4:C142))),"")</f>
        <v>-78</v>
      </c>
      <c r="D142" s="7" t="str">
        <f t="array" ref="D142">IF(ROWS(D$4:D142)&lt;=$B$2,INDEX(data!E$3:E$16128,SMALL(IF(data!$D$3:$D$16128='Лозeнец'!$B$1,ROW(data!$A$3:$A$16128)-ROW($A$3)+1),ROWS(D$4:D142))),"")</f>
        <v>ключове непалци</v>
      </c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3">
        <f t="array" ref="A143">IF(ROWS(A$4:A143)&lt;=$B$2,INDEX(data!C$3:C$16128,SMALL(IF(data!$D$3:$D$16128=$B$1,ROW(data!$A$3:$A$16128)-ROW($A$3)+1),ROWS(A$4:A143))),"")</f>
        <v>46231</v>
      </c>
      <c r="B143" s="19" t="str">
        <f t="array" ref="B143">IF(ROWS(B$4:B143)&lt;=$B$2,INDEX(data!A$3:A$16128,SMALL(IF(data!$D$3:$D$16128='Лозeнец'!$B$1,ROW(data!$A$3:$A$16128)-ROW($A$3)+1),ROWS(B$4:B143))),"")</f>
        <v>MYPOS Бакалия</v>
      </c>
      <c r="C143" s="19">
        <f t="array" ref="C143">IF(ROWS(C$4:C143)&lt;=$B$2,INDEX(data!B$3:B$16128,SMALL(IF(data!$D$3:$D$16128='Лозeнец'!$B$1,ROW(data!$A$3:$A$16128)-ROW($A$3)+1),ROWS(C$4:C143))),"")</f>
        <v>-14110.25</v>
      </c>
      <c r="D143" s="7" t="str">
        <f t="array" ref="D143">IF(ROWS(D$4:D143)&lt;=$B$2,INDEX(data!E$3:E$16128,SMALL(IF(data!$D$3:$D$16128='Лозeнец'!$B$1,ROW(data!$A$3:$A$16128)-ROW($A$3)+1),ROWS(D$4:D143))),"")</f>
        <v/>
      </c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3">
        <f t="array" ref="A144">IF(ROWS(A$4:A144)&lt;=$B$2,INDEX(data!C$3:C$16128,SMALL(IF(data!$D$3:$D$16128=$B$1,ROW(data!$A$3:$A$16128)-ROW($A$3)+1),ROWS(A$4:A144))),"")</f>
        <v>46234</v>
      </c>
      <c r="B144" s="19" t="str">
        <f t="array" ref="B144">IF(ROWS(B$4:B144)&lt;=$B$2,INDEX(data!A$3:A$16128,SMALL(IF(data!$D$3:$D$16128='Лозeнец'!$B$1,ROW(data!$A$3:$A$16128)-ROW($A$3)+1),ROWS(B$4:B144))),"")</f>
        <v>Каса ВАУЧЕРИ</v>
      </c>
      <c r="C144" s="19">
        <f t="array" ref="C144">IF(ROWS(C$4:C144)&lt;=$B$2,INDEX(data!B$3:B$16128,SMALL(IF(data!$D$3:$D$16128='Лозeнец'!$B$1,ROW(data!$A$3:$A$16128)-ROW($A$3)+1),ROWS(C$4:C144))),"")</f>
        <v>-156</v>
      </c>
      <c r="D144" s="7" t="str">
        <f t="array" ref="D144">IF(ROWS(D$4:D144)&lt;=$B$2,INDEX(data!E$3:E$16128,SMALL(IF(data!$D$3:$D$16128='Лозeнец'!$B$1,ROW(data!$A$3:$A$16128)-ROW($A$3)+1),ROWS(D$4:D144))),"")</f>
        <v/>
      </c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3">
        <f t="array" ref="A145">IF(ROWS(A$4:A145)&lt;=$B$2,INDEX(data!C$3:C$16128,SMALL(IF(data!$D$3:$D$16128=$B$1,ROW(data!$A$3:$A$16128)-ROW($A$3)+1),ROWS(A$4:A145))),"")</f>
        <v>46234</v>
      </c>
      <c r="B145" s="19" t="str">
        <f t="array" ref="B145">IF(ROWS(B$4:B145)&lt;=$B$2,INDEX(data!A$3:A$16128,SMALL(IF(data!$D$3:$D$16128='Лозeнец'!$B$1,ROW(data!$A$3:$A$16128)-ROW($A$3)+1),ROWS(B$4:B145))),"")</f>
        <v>каса ФИКТИВНА</v>
      </c>
      <c r="C145" s="19">
        <f t="array" ref="C145">IF(ROWS(C$4:C145)&lt;=$B$2,INDEX(data!B$3:B$16128,SMALL(IF(data!$D$3:$D$16128='Лозeнец'!$B$1,ROW(data!$A$3:$A$16128)-ROW($A$3)+1),ROWS(C$4:C145))),"")</f>
        <v>-53.8</v>
      </c>
      <c r="D145" s="7" t="str">
        <f t="array" ref="D145">IF(ROWS(D$4:D145)&lt;=$B$2,INDEX(data!E$3:E$16128,SMALL(IF(data!$D$3:$D$16128='Лозeнец'!$B$1,ROW(data!$A$3:$A$16128)-ROW($A$3)+1),ROWS(D$4:D145))),"")</f>
        <v>Аптека Тихомир</v>
      </c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3">
        <f t="array" ref="A146">IF(ROWS(A$4:A146)&lt;=$B$2,INDEX(data!C$3:C$16128,SMALL(IF(data!$D$3:$D$16128=$B$1,ROW(data!$A$3:$A$16128)-ROW($A$3)+1),ROWS(A$4:A146))),"")</f>
        <v>46237</v>
      </c>
      <c r="B146" s="19" t="str">
        <f t="array" ref="B146">IF(ROWS(B$4:B146)&lt;=$B$2,INDEX(data!A$3:A$16128,SMALL(IF(data!$D$3:$D$16128='Лозeнец'!$B$1,ROW(data!$A$3:$A$16128)-ROW($A$3)+1),ROWS(B$4:B146))),"")</f>
        <v>MYPOS Бакалия</v>
      </c>
      <c r="C146" s="19">
        <f t="array" ref="C146">IF(ROWS(C$4:C146)&lt;=$B$2,INDEX(data!B$3:B$16128,SMALL(IF(data!$D$3:$D$16128='Лозeнец'!$B$1,ROW(data!$A$3:$A$16128)-ROW($A$3)+1),ROWS(C$4:C146))),"")</f>
        <v>-14005.42</v>
      </c>
      <c r="D146" s="7" t="str">
        <f t="array" ref="D146">IF(ROWS(D$4:D146)&lt;=$B$2,INDEX(data!E$3:E$16128,SMALL(IF(data!$D$3:$D$16128='Лозeнец'!$B$1,ROW(data!$A$3:$A$16128)-ROW($A$3)+1),ROWS(D$4:D146))),"")</f>
        <v/>
      </c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3">
        <f t="array" ref="A147">IF(ROWS(A$4:A147)&lt;=$B$2,INDEX(data!C$3:C$16128,SMALL(IF(data!$D$3:$D$16128=$B$1,ROW(data!$A$3:$A$16128)-ROW($A$3)+1),ROWS(A$4:A147))),"")</f>
        <v>46240</v>
      </c>
      <c r="B147" s="19" t="str">
        <f t="array" ref="B147">IF(ROWS(B$4:B147)&lt;=$B$2,INDEX(data!A$3:A$16128,SMALL(IF(data!$D$3:$D$16128='Лозeнец'!$B$1,ROW(data!$A$3:$A$16128)-ROW($A$3)+1),ROWS(B$4:B147))),"")</f>
        <v>каса ФИКТИВНА</v>
      </c>
      <c r="C147" s="19">
        <f t="array" ref="C147">IF(ROWS(C$4:C147)&lt;=$B$2,INDEX(data!B$3:B$16128,SMALL(IF(data!$D$3:$D$16128='Лозeнец'!$B$1,ROW(data!$A$3:$A$16128)-ROW($A$3)+1),ROWS(C$4:C147))),"")</f>
        <v>-2888.71</v>
      </c>
      <c r="D147" s="7" t="str">
        <f t="array" ref="D147">IF(ROWS(D$4:D147)&lt;=$B$2,INDEX(data!E$3:E$16128,SMALL(IF(data!$D$3:$D$16128='Лозeнец'!$B$1,ROW(data!$A$3:$A$16128)-ROW($A$3)+1),ROWS(D$4:D147))),"")</f>
        <v>платен наем Астарта</v>
      </c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3">
        <f t="array" ref="A148">IF(ROWS(A$4:A148)&lt;=$B$2,INDEX(data!C$3:C$16128,SMALL(IF(data!$D$3:$D$16128=$B$1,ROW(data!$A$3:$A$16128)-ROW($A$3)+1),ROWS(A$4:A148))),"")</f>
        <v>46241</v>
      </c>
      <c r="B148" s="19" t="str">
        <f t="array" ref="B148">IF(ROWS(B$4:B148)&lt;=$B$2,INDEX(data!A$3:A$16128,SMALL(IF(data!$D$3:$D$16128='Лозeнец'!$B$1,ROW(data!$A$3:$A$16128)-ROW($A$3)+1),ROWS(B$4:B148))),"")</f>
        <v>КАСОВА КНИГА</v>
      </c>
      <c r="C148" s="19">
        <f t="array" ref="C148">IF(ROWS(C$4:C148)&lt;=$B$2,INDEX(data!B$3:B$16128,SMALL(IF(data!$D$3:$D$16128='Лозeнец'!$B$1,ROW(data!$A$3:$A$16128)-ROW($A$3)+1),ROWS(C$4:C148))),"")</f>
        <v>-500</v>
      </c>
      <c r="D148" s="7" t="str">
        <f t="array" ref="D148">IF(ROWS(D$4:D148)&lt;=$B$2,INDEX(data!E$3:E$16128,SMALL(IF(data!$D$3:$D$16128='Лозeнец'!$B$1,ROW(data!$A$3:$A$16128)-ROW($A$3)+1),ROWS(D$4:D148))),"")</f>
        <v/>
      </c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3">
        <f t="array" ref="A149">IF(ROWS(A$4:A149)&lt;=$B$2,INDEX(data!C$3:C$16128,SMALL(IF(data!$D$3:$D$16128=$B$1,ROW(data!$A$3:$A$16128)-ROW($A$3)+1),ROWS(A$4:A149))),"")</f>
        <v>46244</v>
      </c>
      <c r="B149" s="19" t="str">
        <f t="array" ref="B149">IF(ROWS(B$4:B149)&lt;=$B$2,INDEX(data!A$3:A$16128,SMALL(IF(data!$D$3:$D$16128='Лозeнец'!$B$1,ROW(data!$A$3:$A$16128)-ROW($A$3)+1),ROWS(B$4:B149))),"")</f>
        <v>MYPOS Бакалия</v>
      </c>
      <c r="C149" s="19">
        <f t="array" ref="C149">IF(ROWS(C$4:C149)&lt;=$B$2,INDEX(data!B$3:B$16128,SMALL(IF(data!$D$3:$D$16128='Лозeнец'!$B$1,ROW(data!$A$3:$A$16128)-ROW($A$3)+1),ROWS(C$4:C149))),"")</f>
        <v>-12534.71</v>
      </c>
      <c r="D149" s="7" t="str">
        <f t="array" ref="D149">IF(ROWS(D$4:D149)&lt;=$B$2,INDEX(data!E$3:E$16128,SMALL(IF(data!$D$3:$D$16128='Лозeнец'!$B$1,ROW(data!$A$3:$A$16128)-ROW($A$3)+1),ROWS(D$4:D149))),"")</f>
        <v/>
      </c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3">
        <f t="array" ref="A150">IF(ROWS(A$4:A150)&lt;=$B$2,INDEX(data!C$3:C$16128,SMALL(IF(data!$D$3:$D$16128=$B$1,ROW(data!$A$3:$A$16128)-ROW($A$3)+1),ROWS(A$4:A150))),"")</f>
        <v>46244</v>
      </c>
      <c r="B150" s="19" t="str">
        <f t="array" ref="B150">IF(ROWS(B$4:B150)&lt;=$B$2,INDEX(data!A$3:A$16128,SMALL(IF(data!$D$3:$D$16128='Лозeнец'!$B$1,ROW(data!$A$3:$A$16128)-ROW($A$3)+1),ROWS(B$4:B150))),"")</f>
        <v>КАСОВА КНИГА</v>
      </c>
      <c r="C150" s="19">
        <f t="array" ref="C150">IF(ROWS(C$4:C150)&lt;=$B$2,INDEX(data!B$3:B$16128,SMALL(IF(data!$D$3:$D$16128='Лозeнец'!$B$1,ROW(data!$A$3:$A$16128)-ROW($A$3)+1),ROWS(C$4:C150))),"")</f>
        <v>-500</v>
      </c>
      <c r="D150" s="7" t="str">
        <f t="array" ref="D150">IF(ROWS(D$4:D150)&lt;=$B$2,INDEX(data!E$3:E$16128,SMALL(IF(data!$D$3:$D$16128='Лозeнец'!$B$1,ROW(data!$A$3:$A$16128)-ROW($A$3)+1),ROWS(D$4:D150))),"")</f>
        <v/>
      </c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3">
        <f t="array" ref="A151">IF(ROWS(A$4:A151)&lt;=$B$2,INDEX(data!C$3:C$16128,SMALL(IF(data!$D$3:$D$16128=$B$1,ROW(data!$A$3:$A$16128)-ROW($A$3)+1),ROWS(A$4:A151))),"")</f>
        <v>46246</v>
      </c>
      <c r="B151" s="19" t="str">
        <f t="array" ref="B151">IF(ROWS(B$4:B151)&lt;=$B$2,INDEX(data!A$3:A$16128,SMALL(IF(data!$D$3:$D$16128='Лозeнец'!$B$1,ROW(data!$A$3:$A$16128)-ROW($A$3)+1),ROWS(B$4:B151))),"")</f>
        <v>КАСОВА КНИГА</v>
      </c>
      <c r="C151" s="19">
        <f t="array" ref="C151">IF(ROWS(C$4:C151)&lt;=$B$2,INDEX(data!B$3:B$16128,SMALL(IF(data!$D$3:$D$16128='Лозeнец'!$B$1,ROW(data!$A$3:$A$16128)-ROW($A$3)+1),ROWS(C$4:C151))),"")</f>
        <v>-1500</v>
      </c>
      <c r="D151" s="7" t="str">
        <f t="array" ref="D151">IF(ROWS(D$4:D151)&lt;=$B$2,INDEX(data!E$3:E$16128,SMALL(IF(data!$D$3:$D$16128='Лозeнец'!$B$1,ROW(data!$A$3:$A$16128)-ROW($A$3)+1),ROWS(D$4:D151))),"")</f>
        <v/>
      </c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3">
        <f t="array" ref="A152">IF(ROWS(A$4:A152)&lt;=$B$2,INDEX(data!C$3:C$16128,SMALL(IF(data!$D$3:$D$16128=$B$1,ROW(data!$A$3:$A$16128)-ROW($A$3)+1),ROWS(A$4:A152))),"")</f>
        <v>46247</v>
      </c>
      <c r="B152" s="19" t="str">
        <f t="array" ref="B152">IF(ROWS(B$4:B152)&lt;=$B$2,INDEX(data!A$3:A$16128,SMALL(IF(data!$D$3:$D$16128='Лозeнец'!$B$1,ROW(data!$A$3:$A$16128)-ROW($A$3)+1),ROWS(B$4:B152))),"")</f>
        <v>каса ФИКТИВНА</v>
      </c>
      <c r="C152" s="19">
        <f t="array" ref="C152">IF(ROWS(C$4:C152)&lt;=$B$2,INDEX(data!B$3:B$16128,SMALL(IF(data!$D$3:$D$16128='Лозeнец'!$B$1,ROW(data!$A$3:$A$16128)-ROW($A$3)+1),ROWS(C$4:C152))),"")</f>
        <v>-51</v>
      </c>
      <c r="D152" s="7" t="str">
        <f t="array" ref="D152">IF(ROWS(D$4:D152)&lt;=$B$2,INDEX(data!E$3:E$16128,SMALL(IF(data!$D$3:$D$16128='Лозeнец'!$B$1,ROW(data!$A$3:$A$16128)-ROW($A$3)+1),ROWS(D$4:D152))),"")</f>
        <v>карти за гр.транспорт непалци</v>
      </c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3">
        <f t="array" ref="A153">IF(ROWS(A$4:A153)&lt;=$B$2,INDEX(data!C$3:C$16128,SMALL(IF(data!$D$3:$D$16128=$B$1,ROW(data!$A$3:$A$16128)-ROW($A$3)+1),ROWS(A$4:A153))),"")</f>
        <v>46248</v>
      </c>
      <c r="B153" s="19" t="str">
        <f t="array" ref="B153">IF(ROWS(B$4:B153)&lt;=$B$2,INDEX(data!A$3:A$16128,SMALL(IF(data!$D$3:$D$16128='Лозeнец'!$B$1,ROW(data!$A$3:$A$16128)-ROW($A$3)+1),ROWS(B$4:B153))),"")</f>
        <v>КАСОВА КНИГА</v>
      </c>
      <c r="C153" s="19">
        <f t="array" ref="C153">IF(ROWS(C$4:C153)&lt;=$B$2,INDEX(data!B$3:B$16128,SMALL(IF(data!$D$3:$D$16128='Лозeнец'!$B$1,ROW(data!$A$3:$A$16128)-ROW($A$3)+1),ROWS(C$4:C153))),"")</f>
        <v>-1000</v>
      </c>
      <c r="D153" s="7" t="str">
        <f t="array" ref="D153">IF(ROWS(D$4:D153)&lt;=$B$2,INDEX(data!E$3:E$16128,SMALL(IF(data!$D$3:$D$16128='Лозeнец'!$B$1,ROW(data!$A$3:$A$16128)-ROW($A$3)+1),ROWS(D$4:D153))),"")</f>
        <v/>
      </c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3">
        <f t="array" ref="A154">IF(ROWS(A$4:A154)&lt;=$B$2,INDEX(data!C$3:C$16128,SMALL(IF(data!$D$3:$D$16128=$B$1,ROW(data!$A$3:$A$16128)-ROW($A$3)+1),ROWS(A$4:A154))),"")</f>
        <v>46248</v>
      </c>
      <c r="B154" s="19" t="str">
        <f t="array" ref="B154">IF(ROWS(B$4:B154)&lt;=$B$2,INDEX(data!A$3:A$16128,SMALL(IF(data!$D$3:$D$16128='Лозeнец'!$B$1,ROW(data!$A$3:$A$16128)-ROW($A$3)+1),ROWS(B$4:B154))),"")</f>
        <v>Каса ВАУЧЕРИ</v>
      </c>
      <c r="C154" s="19">
        <f t="array" ref="C154">IF(ROWS(C$4:C154)&lt;=$B$2,INDEX(data!B$3:B$16128,SMALL(IF(data!$D$3:$D$16128='Лозeнец'!$B$1,ROW(data!$A$3:$A$16128)-ROW($A$3)+1),ROWS(C$4:C154))),"")</f>
        <v>-95</v>
      </c>
      <c r="D154" s="7" t="str">
        <f t="array" ref="D154">IF(ROWS(D$4:D154)&lt;=$B$2,INDEX(data!E$3:E$16128,SMALL(IF(data!$D$3:$D$16128='Лозeнец'!$B$1,ROW(data!$A$3:$A$16128)-ROW($A$3)+1),ROWS(D$4:D154))),"")</f>
        <v>към 29.07</v>
      </c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3">
        <f t="array" ref="A155">IF(ROWS(A$4:A155)&lt;=$B$2,INDEX(data!C$3:C$16128,SMALL(IF(data!$D$3:$D$16128=$B$1,ROW(data!$A$3:$A$16128)-ROW($A$3)+1),ROWS(A$4:A155))),"")</f>
        <v>46251</v>
      </c>
      <c r="B155" s="19" t="str">
        <f t="array" ref="B155">IF(ROWS(B$4:B155)&lt;=$B$2,INDEX(data!A$3:A$16128,SMALL(IF(data!$D$3:$D$16128='Лозeнец'!$B$1,ROW(data!$A$3:$A$16128)-ROW($A$3)+1),ROWS(B$4:B155))),"")</f>
        <v>MYPOS Бакалия</v>
      </c>
      <c r="C155" s="19">
        <f t="array" ref="C155">IF(ROWS(C$4:C155)&lt;=$B$2,INDEX(data!B$3:B$16128,SMALL(IF(data!$D$3:$D$16128='Лозeнец'!$B$1,ROW(data!$A$3:$A$16128)-ROW($A$3)+1),ROWS(C$4:C155))),"")</f>
        <v>-13450.7</v>
      </c>
      <c r="D155" s="7" t="str">
        <f t="array" ref="D155">IF(ROWS(D$4:D155)&lt;=$B$2,INDEX(data!E$3:E$16128,SMALL(IF(data!$D$3:$D$16128='Лозeнец'!$B$1,ROW(data!$A$3:$A$16128)-ROW($A$3)+1),ROWS(D$4:D155))),"")</f>
        <v/>
      </c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3">
        <f t="array" ref="A156">IF(ROWS(A$4:A156)&lt;=$B$2,INDEX(data!C$3:C$16128,SMALL(IF(data!$D$3:$D$16128=$B$1,ROW(data!$A$3:$A$16128)-ROW($A$3)+1),ROWS(A$4:A156))),"")</f>
        <v>46251</v>
      </c>
      <c r="B156" s="19" t="str">
        <f t="array" ref="B156">IF(ROWS(B$4:B156)&lt;=$B$2,INDEX(data!A$3:A$16128,SMALL(IF(data!$D$3:$D$16128='Лозeнец'!$B$1,ROW(data!$A$3:$A$16128)-ROW($A$3)+1),ROWS(B$4:B156))),"")</f>
        <v>КАСОВА КНИГА</v>
      </c>
      <c r="C156" s="19">
        <f t="array" ref="C156">IF(ROWS(C$4:C156)&lt;=$B$2,INDEX(data!B$3:B$16128,SMALL(IF(data!$D$3:$D$16128='Лозeнец'!$B$1,ROW(data!$A$3:$A$16128)-ROW($A$3)+1),ROWS(C$4:C156))),"")</f>
        <v>-500</v>
      </c>
      <c r="D156" s="7" t="str">
        <f t="array" ref="D156">IF(ROWS(D$4:D156)&lt;=$B$2,INDEX(data!E$3:E$16128,SMALL(IF(data!$D$3:$D$16128='Лозeнец'!$B$1,ROW(data!$A$3:$A$16128)-ROW($A$3)+1),ROWS(D$4:D156))),"")</f>
        <v/>
      </c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3">
        <f t="array" ref="A157">IF(ROWS(A$4:A157)&lt;=$B$2,INDEX(data!C$3:C$16128,SMALL(IF(data!$D$3:$D$16128=$B$1,ROW(data!$A$3:$A$16128)-ROW($A$3)+1),ROWS(A$4:A157))),"")</f>
        <v>46253</v>
      </c>
      <c r="B157" s="19" t="str">
        <f t="array" ref="B157">IF(ROWS(B$4:B157)&lt;=$B$2,INDEX(data!A$3:A$16128,SMALL(IF(data!$D$3:$D$16128='Лозeнец'!$B$1,ROW(data!$A$3:$A$16128)-ROW($A$3)+1),ROWS(B$4:B157))),"")</f>
        <v>КАСОВА КНИГА</v>
      </c>
      <c r="C157" s="19">
        <f t="array" ref="C157">IF(ROWS(C$4:C157)&lt;=$B$2,INDEX(data!B$3:B$16128,SMALL(IF(data!$D$3:$D$16128='Лозeнец'!$B$1,ROW(data!$A$3:$A$16128)-ROW($A$3)+1),ROWS(C$4:C157))),"")</f>
        <v>-500</v>
      </c>
      <c r="D157" s="7" t="str">
        <f t="array" ref="D157">IF(ROWS(D$4:D157)&lt;=$B$2,INDEX(data!E$3:E$16128,SMALL(IF(data!$D$3:$D$16128='Лозeнец'!$B$1,ROW(data!$A$3:$A$16128)-ROW($A$3)+1),ROWS(D$4:D157))),"")</f>
        <v/>
      </c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3">
        <f t="array" ref="A158">IF(ROWS(A$4:A158)&lt;=$B$2,INDEX(data!C$3:C$16128,SMALL(IF(data!$D$3:$D$16128=$B$1,ROW(data!$A$3:$A$16128)-ROW($A$3)+1),ROWS(A$4:A158))),"")</f>
        <v>46254</v>
      </c>
      <c r="B158" s="19" t="str">
        <f t="array" ref="B158">IF(ROWS(B$4:B158)&lt;=$B$2,INDEX(data!A$3:A$16128,SMALL(IF(data!$D$3:$D$16128='Лозeнец'!$B$1,ROW(data!$A$3:$A$16128)-ROW($A$3)+1),ROWS(B$4:B158))),"")</f>
        <v>Каса ВАУЧЕРИ</v>
      </c>
      <c r="C158" s="19">
        <f t="array" ref="C158">IF(ROWS(C$4:C158)&lt;=$B$2,INDEX(data!B$3:B$16128,SMALL(IF(data!$D$3:$D$16128='Лозeнец'!$B$1,ROW(data!$A$3:$A$16128)-ROW($A$3)+1),ROWS(C$4:C158))),"")</f>
        <v>-45</v>
      </c>
      <c r="D158" s="7" t="str">
        <f t="array" ref="D158">IF(ROWS(D$4:D158)&lt;=$B$2,INDEX(data!E$3:E$16128,SMALL(IF(data!$D$3:$D$16128='Лозeнец'!$B$1,ROW(data!$A$3:$A$16128)-ROW($A$3)+1),ROWS(D$4:D158))),"")</f>
        <v/>
      </c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3">
        <f t="array" ref="A159">IF(ROWS(A$4:A159)&lt;=$B$2,INDEX(data!C$3:C$16128,SMALL(IF(data!$D$3:$D$16128=$B$1,ROW(data!$A$3:$A$16128)-ROW($A$3)+1),ROWS(A$4:A159))),"")</f>
        <v>46254</v>
      </c>
      <c r="B159" s="19" t="str">
        <f t="array" ref="B159">IF(ROWS(B$4:B159)&lt;=$B$2,INDEX(data!A$3:A$16128,SMALL(IF(data!$D$3:$D$16128='Лозeнец'!$B$1,ROW(data!$A$3:$A$16128)-ROW($A$3)+1),ROWS(B$4:B159))),"")</f>
        <v>каса ФИКТИВНА</v>
      </c>
      <c r="C159" s="19">
        <f t="array" ref="C159">IF(ROWS(C$4:C159)&lt;=$B$2,INDEX(data!B$3:B$16128,SMALL(IF(data!$D$3:$D$16128='Лозeнец'!$B$1,ROW(data!$A$3:$A$16128)-ROW($A$3)+1),ROWS(C$4:C159))),"")</f>
        <v>-125.8</v>
      </c>
      <c r="D159" s="7" t="str">
        <f t="array" ref="D159">IF(ROWS(D$4:D159)&lt;=$B$2,INDEX(data!E$3:E$16128,SMALL(IF(data!$D$3:$D$16128='Лозeнец'!$B$1,ROW(data!$A$3:$A$16128)-ROW($A$3)+1),ROWS(D$4:D159))),"")</f>
        <v>аптека шефа</v>
      </c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3">
        <f t="array" ref="A160">IF(ROWS(A$4:A160)&lt;=$B$2,INDEX(data!C$3:C$16128,SMALL(IF(data!$D$3:$D$16128=$B$1,ROW(data!$A$3:$A$16128)-ROW($A$3)+1),ROWS(A$4:A160))),"")</f>
        <v>46255</v>
      </c>
      <c r="B160" s="19" t="str">
        <f t="array" ref="B160">IF(ROWS(B$4:B160)&lt;=$B$2,INDEX(data!A$3:A$16128,SMALL(IF(data!$D$3:$D$16128='Лозeнец'!$B$1,ROW(data!$A$3:$A$16128)-ROW($A$3)+1),ROWS(B$4:B160))),"")</f>
        <v>Каса ВАУЧЕРИ</v>
      </c>
      <c r="C160" s="19">
        <f t="array" ref="C160">IF(ROWS(C$4:C160)&lt;=$B$2,INDEX(data!B$3:B$16128,SMALL(IF(data!$D$3:$D$16128='Лозeнец'!$B$1,ROW(data!$A$3:$A$16128)-ROW($A$3)+1),ROWS(C$4:C160))),"")</f>
        <v>900</v>
      </c>
      <c r="D160" s="7" t="str">
        <f t="array" ref="D160">IF(ROWS(D$4:D160)&lt;=$B$2,INDEX(data!E$3:E$16128,SMALL(IF(data!$D$3:$D$16128='Лозeнец'!$B$1,ROW(data!$A$3:$A$16128)-ROW($A$3)+1),ROWS(D$4:D160))),"")</f>
        <v>ваучери персонал</v>
      </c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3">
        <f t="array" ref="A161">IF(ROWS(A$4:A161)&lt;=$B$2,INDEX(data!C$3:C$16128,SMALL(IF(data!$D$3:$D$16128=$B$1,ROW(data!$A$3:$A$16128)-ROW($A$3)+1),ROWS(A$4:A161))),"")</f>
        <v>46258</v>
      </c>
      <c r="B161" s="19" t="str">
        <f t="array" ref="B161">IF(ROWS(B$4:B161)&lt;=$B$2,INDEX(data!A$3:A$16128,SMALL(IF(data!$D$3:$D$16128='Лозeнец'!$B$1,ROW(data!$A$3:$A$16128)-ROW($A$3)+1),ROWS(B$4:B161))),"")</f>
        <v>MYPOS Бакалия</v>
      </c>
      <c r="C161" s="19">
        <f t="array" ref="C161">IF(ROWS(C$4:C161)&lt;=$B$2,INDEX(data!B$3:B$16128,SMALL(IF(data!$D$3:$D$16128='Лозeнец'!$B$1,ROW(data!$A$3:$A$16128)-ROW($A$3)+1),ROWS(C$4:C161))),"")</f>
        <v>-11586.91</v>
      </c>
      <c r="D161" s="7" t="str">
        <f t="array" ref="D161">IF(ROWS(D$4:D161)&lt;=$B$2,INDEX(data!E$3:E$16128,SMALL(IF(data!$D$3:$D$16128='Лозeнец'!$B$1,ROW(data!$A$3:$A$16128)-ROW($A$3)+1),ROWS(D$4:D161))),"")</f>
        <v/>
      </c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3" t="str">
        <f t="array" ref="A162">IF(ROWS(A$4:A162)&lt;=$B$2,INDEX(data!C$3:C$16128,SMALL(IF(data!$D$3:$D$16128=$B$1,ROW(data!$A$3:$A$16128)-ROW($A$3)+1),ROWS(A$4:A162))),"")</f>
        <v/>
      </c>
      <c r="B162" s="19" t="str">
        <f t="array" ref="B162">IF(ROWS(B$4:B162)&lt;=$B$2,INDEX(data!A$3:A$16128,SMALL(IF(data!$D$3:$D$16128='Лозeнец'!$B$1,ROW(data!$A$3:$A$16128)-ROW($A$3)+1),ROWS(B$4:B162))),"")</f>
        <v/>
      </c>
      <c r="C162" s="19" t="str">
        <f t="array" ref="C162">IF(ROWS(C$4:C162)&lt;=$B$2,INDEX(data!B$3:B$16128,SMALL(IF(data!$D$3:$D$16128='Лозeнец'!$B$1,ROW(data!$A$3:$A$16128)-ROW($A$3)+1),ROWS(C$4:C162))),"")</f>
        <v/>
      </c>
      <c r="D162" s="7" t="str">
        <f t="array" ref="D162">IF(ROWS(D$4:D162)&lt;=$B$2,INDEX(data!E$3:E$16128,SMALL(IF(data!$D$3:$D$16128='Лозeнец'!$B$1,ROW(data!$A$3:$A$16128)-ROW($A$3)+1),ROWS(D$4:D162))),"")</f>
        <v/>
      </c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3" t="str">
        <f t="array" ref="A163">IF(ROWS(A$4:A163)&lt;=$B$2,INDEX(data!C$3:C$16128,SMALL(IF(data!$D$3:$D$16128=$B$1,ROW(data!$A$3:$A$16128)-ROW($A$3)+1),ROWS(A$4:A163))),"")</f>
        <v/>
      </c>
      <c r="B163" s="19" t="str">
        <f t="array" ref="B163">IF(ROWS(B$4:B163)&lt;=$B$2,INDEX(data!A$3:A$16128,SMALL(IF(data!$D$3:$D$16128='Лозeнец'!$B$1,ROW(data!$A$3:$A$16128)-ROW($A$3)+1),ROWS(B$4:B163))),"")</f>
        <v/>
      </c>
      <c r="C163" s="19" t="str">
        <f t="array" ref="C163">IF(ROWS(C$4:C163)&lt;=$B$2,INDEX(data!B$3:B$16128,SMALL(IF(data!$D$3:$D$16128='Лозeнец'!$B$1,ROW(data!$A$3:$A$16128)-ROW($A$3)+1),ROWS(C$4:C163))),"")</f>
        <v/>
      </c>
      <c r="D163" s="7" t="str">
        <f t="array" ref="D163">IF(ROWS(D$4:D163)&lt;=$B$2,INDEX(data!E$3:E$16128,SMALL(IF(data!$D$3:$D$16128='Лозeнец'!$B$1,ROW(data!$A$3:$A$16128)-ROW($A$3)+1),ROWS(D$4:D163))),"")</f>
        <v/>
      </c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3" t="str">
        <f t="array" ref="A164">IF(ROWS(A$4:A164)&lt;=$B$2,INDEX(data!C$3:C$16128,SMALL(IF(data!$D$3:$D$16128=$B$1,ROW(data!$A$3:$A$16128)-ROW($A$3)+1),ROWS(A$4:A164))),"")</f>
        <v/>
      </c>
      <c r="B164" s="19" t="str">
        <f t="array" ref="B164">IF(ROWS(B$4:B164)&lt;=$B$2,INDEX(data!A$3:A$16128,SMALL(IF(data!$D$3:$D$16128='Лозeнец'!$B$1,ROW(data!$A$3:$A$16128)-ROW($A$3)+1),ROWS(B$4:B164))),"")</f>
        <v/>
      </c>
      <c r="C164" s="19" t="str">
        <f t="array" ref="C164">IF(ROWS(C$4:C164)&lt;=$B$2,INDEX(data!B$3:B$16128,SMALL(IF(data!$D$3:$D$16128='Лозeнец'!$B$1,ROW(data!$A$3:$A$16128)-ROW($A$3)+1),ROWS(C$4:C164))),"")</f>
        <v/>
      </c>
      <c r="D164" s="7" t="str">
        <f t="array" ref="D164">IF(ROWS(D$4:D164)&lt;=$B$2,INDEX(data!E$3:E$16128,SMALL(IF(data!$D$3:$D$16128='Лозeнец'!$B$1,ROW(data!$A$3:$A$16128)-ROW($A$3)+1),ROWS(D$4:D164))),"")</f>
        <v/>
      </c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3" t="str">
        <f t="array" ref="A165">IF(ROWS(A$4:A165)&lt;=$B$2,INDEX(data!C$3:C$16128,SMALL(IF(data!$D$3:$D$16128=$B$1,ROW(data!$A$3:$A$16128)-ROW($A$3)+1),ROWS(A$4:A165))),"")</f>
        <v/>
      </c>
      <c r="B165" s="19" t="str">
        <f t="array" ref="B165">IF(ROWS(B$4:B165)&lt;=$B$2,INDEX(data!A$3:A$16128,SMALL(IF(data!$D$3:$D$16128='Лозeнец'!$B$1,ROW(data!$A$3:$A$16128)-ROW($A$3)+1),ROWS(B$4:B165))),"")</f>
        <v/>
      </c>
      <c r="C165" s="19" t="str">
        <f t="array" ref="C165">IF(ROWS(C$4:C165)&lt;=$B$2,INDEX(data!B$3:B$16128,SMALL(IF(data!$D$3:$D$16128='Лозeнец'!$B$1,ROW(data!$A$3:$A$16128)-ROW($A$3)+1),ROWS(C$4:C165))),"")</f>
        <v/>
      </c>
      <c r="D165" s="7" t="str">
        <f t="array" ref="D165">IF(ROWS(D$4:D165)&lt;=$B$2,INDEX(data!E$3:E$16128,SMALL(IF(data!$D$3:$D$16128='Лозeнец'!$B$1,ROW(data!$A$3:$A$16128)-ROW($A$3)+1),ROWS(D$4:D165))),"")</f>
        <v/>
      </c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3" t="str">
        <f t="array" ref="A166">IF(ROWS(A$4:A166)&lt;=$B$2,INDEX(data!C$3:C$16128,SMALL(IF(data!$D$3:$D$16128=$B$1,ROW(data!$A$3:$A$16128)-ROW($A$3)+1),ROWS(A$4:A166))),"")</f>
        <v/>
      </c>
      <c r="B166" s="19" t="str">
        <f t="array" ref="B166">IF(ROWS(B$4:B166)&lt;=$B$2,INDEX(data!A$3:A$16128,SMALL(IF(data!$D$3:$D$16128='Лозeнец'!$B$1,ROW(data!$A$3:$A$16128)-ROW($A$3)+1),ROWS(B$4:B166))),"")</f>
        <v/>
      </c>
      <c r="C166" s="19" t="str">
        <f t="array" ref="C166">IF(ROWS(C$4:C166)&lt;=$B$2,INDEX(data!B$3:B$16128,SMALL(IF(data!$D$3:$D$16128='Лозeнец'!$B$1,ROW(data!$A$3:$A$16128)-ROW($A$3)+1),ROWS(C$4:C166))),"")</f>
        <v/>
      </c>
      <c r="D166" s="7" t="str">
        <f t="array" ref="D166">IF(ROWS(D$4:D166)&lt;=$B$2,INDEX(data!E$3:E$16128,SMALL(IF(data!$D$3:$D$16128='Лозeнец'!$B$1,ROW(data!$A$3:$A$16128)-ROW($A$3)+1),ROWS(D$4:D166))),"")</f>
        <v/>
      </c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3" t="str">
        <f t="array" ref="A167">IF(ROWS(A$4:A167)&lt;=$B$2,INDEX(data!C$3:C$16128,SMALL(IF(data!$D$3:$D$16128=$B$1,ROW(data!$A$3:$A$16128)-ROW($A$3)+1),ROWS(A$4:A167))),"")</f>
        <v/>
      </c>
      <c r="B167" s="19" t="str">
        <f t="array" ref="B167">IF(ROWS(B$4:B167)&lt;=$B$2,INDEX(data!A$3:A$16128,SMALL(IF(data!$D$3:$D$16128='Лозeнец'!$B$1,ROW(data!$A$3:$A$16128)-ROW($A$3)+1),ROWS(B$4:B167))),"")</f>
        <v/>
      </c>
      <c r="C167" s="19" t="str">
        <f t="array" ref="C167">IF(ROWS(C$4:C167)&lt;=$B$2,INDEX(data!B$3:B$16128,SMALL(IF(data!$D$3:$D$16128='Лозeнец'!$B$1,ROW(data!$A$3:$A$16128)-ROW($A$3)+1),ROWS(C$4:C167))),"")</f>
        <v/>
      </c>
      <c r="D167" s="7" t="str">
        <f t="array" ref="D167">IF(ROWS(D$4:D167)&lt;=$B$2,INDEX(data!E$3:E$16128,SMALL(IF(data!$D$3:$D$16128='Лозeнец'!$B$1,ROW(data!$A$3:$A$16128)-ROW($A$3)+1),ROWS(D$4:D167))),"")</f>
        <v/>
      </c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3" t="str">
        <f t="array" ref="A168">IF(ROWS(A$4:A168)&lt;=$B$2,INDEX(data!C$3:C$16128,SMALL(IF(data!$D$3:$D$16128=$B$1,ROW(data!$A$3:$A$16128)-ROW($A$3)+1),ROWS(A$4:A168))),"")</f>
        <v/>
      </c>
      <c r="B168" s="19" t="str">
        <f t="array" ref="B168">IF(ROWS(B$4:B168)&lt;=$B$2,INDEX(data!A$3:A$16128,SMALL(IF(data!$D$3:$D$16128='Лозeнец'!$B$1,ROW(data!$A$3:$A$16128)-ROW($A$3)+1),ROWS(B$4:B168))),"")</f>
        <v/>
      </c>
      <c r="C168" s="19" t="str">
        <f t="array" ref="C168">IF(ROWS(C$4:C168)&lt;=$B$2,INDEX(data!B$3:B$16128,SMALL(IF(data!$D$3:$D$16128='Лозeнец'!$B$1,ROW(data!$A$3:$A$16128)-ROW($A$3)+1),ROWS(C$4:C168))),"")</f>
        <v/>
      </c>
      <c r="D168" s="7" t="str">
        <f t="array" ref="D168">IF(ROWS(D$4:D168)&lt;=$B$2,INDEX(data!E$3:E$16128,SMALL(IF(data!$D$3:$D$16128='Лозeнец'!$B$1,ROW(data!$A$3:$A$16128)-ROW($A$3)+1),ROWS(D$4:D168))),"")</f>
        <v/>
      </c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3" t="str">
        <f t="array" ref="A169">IF(ROWS(A$4:A169)&lt;=$B$2,INDEX(data!C$3:C$16128,SMALL(IF(data!$D$3:$D$16128=$B$1,ROW(data!$A$3:$A$16128)-ROW($A$3)+1),ROWS(A$4:A169))),"")</f>
        <v/>
      </c>
      <c r="B169" s="19" t="str">
        <f t="array" ref="B169">IF(ROWS(B$4:B169)&lt;=$B$2,INDEX(data!A$3:A$16128,SMALL(IF(data!$D$3:$D$16128='Лозeнец'!$B$1,ROW(data!$A$3:$A$16128)-ROW($A$3)+1),ROWS(B$4:B169))),"")</f>
        <v/>
      </c>
      <c r="C169" s="19" t="str">
        <f t="array" ref="C169">IF(ROWS(C$4:C169)&lt;=$B$2,INDEX(data!B$3:B$16128,SMALL(IF(data!$D$3:$D$16128='Лозeнец'!$B$1,ROW(data!$A$3:$A$16128)-ROW($A$3)+1),ROWS(C$4:C169))),"")</f>
        <v/>
      </c>
      <c r="D169" s="7" t="str">
        <f t="array" ref="D169">IF(ROWS(D$4:D169)&lt;=$B$2,INDEX(data!E$3:E$16128,SMALL(IF(data!$D$3:$D$16128='Лозeнец'!$B$1,ROW(data!$A$3:$A$16128)-ROW($A$3)+1),ROWS(D$4:D169))),"")</f>
        <v/>
      </c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3" t="str">
        <f t="array" ref="A170">IF(ROWS(A$4:A170)&lt;=$B$2,INDEX(data!C$3:C$16128,SMALL(IF(data!$D$3:$D$16128=$B$1,ROW(data!$A$3:$A$16128)-ROW($A$3)+1),ROWS(A$4:A170))),"")</f>
        <v/>
      </c>
      <c r="B170" s="19" t="str">
        <f t="array" ref="B170">IF(ROWS(B$4:B170)&lt;=$B$2,INDEX(data!A$3:A$16128,SMALL(IF(data!$D$3:$D$16128='Лозeнец'!$B$1,ROW(data!$A$3:$A$16128)-ROW($A$3)+1),ROWS(B$4:B170))),"")</f>
        <v/>
      </c>
      <c r="C170" s="19" t="str">
        <f t="array" ref="C170">IF(ROWS(C$4:C170)&lt;=$B$2,INDEX(data!B$3:B$16128,SMALL(IF(data!$D$3:$D$16128='Лозeнец'!$B$1,ROW(data!$A$3:$A$16128)-ROW($A$3)+1),ROWS(C$4:C170))),"")</f>
        <v/>
      </c>
      <c r="D170" s="7" t="str">
        <f t="array" ref="D170">IF(ROWS(D$4:D170)&lt;=$B$2,INDEX(data!E$3:E$16128,SMALL(IF(data!$D$3:$D$16128='Лозeнец'!$B$1,ROW(data!$A$3:$A$16128)-ROW($A$3)+1),ROWS(D$4:D170))),"")</f>
        <v/>
      </c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3" t="str">
        <f t="array" ref="A171">IF(ROWS(A$4:A171)&lt;=$B$2,INDEX(data!C$3:C$16128,SMALL(IF(data!$D$3:$D$16128=$B$1,ROW(data!$A$3:$A$16128)-ROW($A$3)+1),ROWS(A$4:A171))),"")</f>
        <v/>
      </c>
      <c r="B171" s="19" t="str">
        <f t="array" ref="B171">IF(ROWS(B$4:B171)&lt;=$B$2,INDEX(data!A$3:A$16128,SMALL(IF(data!$D$3:$D$16128='Лозeнец'!$B$1,ROW(data!$A$3:$A$16128)-ROW($A$3)+1),ROWS(B$4:B171))),"")</f>
        <v/>
      </c>
      <c r="C171" s="19" t="str">
        <f t="array" ref="C171">IF(ROWS(C$4:C171)&lt;=$B$2,INDEX(data!B$3:B$16128,SMALL(IF(data!$D$3:$D$16128='Лозeнец'!$B$1,ROW(data!$A$3:$A$16128)-ROW($A$3)+1),ROWS(C$4:C171))),"")</f>
        <v/>
      </c>
      <c r="D171" s="7" t="str">
        <f t="array" ref="D171">IF(ROWS(D$4:D171)&lt;=$B$2,INDEX(data!E$3:E$16128,SMALL(IF(data!$D$3:$D$16128='Лозeнец'!$B$1,ROW(data!$A$3:$A$16128)-ROW($A$3)+1),ROWS(D$4:D171))),"")</f>
        <v/>
      </c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9"/>
      <c r="B172" s="40"/>
      <c r="C172" s="40"/>
      <c r="D172" s="40"/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9"/>
      <c r="B173" s="40"/>
      <c r="C173" s="40"/>
      <c r="D173" s="40"/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9"/>
      <c r="B174" s="40"/>
      <c r="C174" s="40"/>
      <c r="D174" s="40"/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9"/>
      <c r="B175" s="40"/>
      <c r="C175" s="40"/>
      <c r="D175" s="40"/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9"/>
      <c r="B176" s="40"/>
      <c r="C176" s="40"/>
      <c r="D176" s="40"/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9"/>
      <c r="B177" s="40"/>
      <c r="C177" s="40"/>
      <c r="D177" s="40"/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9"/>
      <c r="B178" s="40"/>
      <c r="C178" s="40"/>
      <c r="D178" s="40"/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9"/>
      <c r="B179" s="40"/>
      <c r="C179" s="40"/>
      <c r="D179" s="40"/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9"/>
      <c r="B180" s="40"/>
      <c r="C180" s="40"/>
      <c r="D180" s="40"/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9"/>
      <c r="B181" s="40"/>
      <c r="C181" s="40"/>
      <c r="D181" s="40"/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9"/>
      <c r="B182" s="40"/>
      <c r="C182" s="40"/>
      <c r="D182" s="40"/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9"/>
      <c r="B183" s="40"/>
      <c r="C183" s="40"/>
      <c r="D183" s="40"/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9"/>
      <c r="B184" s="40"/>
      <c r="C184" s="40"/>
      <c r="D184" s="40"/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9"/>
      <c r="B185" s="40"/>
      <c r="C185" s="40"/>
      <c r="D185" s="40"/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9"/>
      <c r="B186" s="40"/>
      <c r="C186" s="40"/>
      <c r="D186" s="40"/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9"/>
      <c r="B187" s="40"/>
      <c r="C187" s="40"/>
      <c r="D187" s="40"/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9"/>
      <c r="B188" s="40"/>
      <c r="C188" s="40"/>
      <c r="D188" s="40"/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9"/>
      <c r="B189" s="40"/>
      <c r="C189" s="40"/>
      <c r="D189" s="40"/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9"/>
      <c r="B190" s="40"/>
      <c r="C190" s="40"/>
      <c r="D190" s="40"/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9"/>
      <c r="B191" s="40"/>
      <c r="C191" s="40"/>
      <c r="D191" s="40"/>
      <c r="E191" s="11"/>
      <c r="F191" s="11"/>
      <c r="G191" s="11"/>
      <c r="H191" s="14"/>
      <c r="I191" s="14"/>
      <c r="J191" s="14"/>
      <c r="K191" s="14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9"/>
      <c r="B192" s="40"/>
      <c r="C192" s="40"/>
      <c r="D192" s="40"/>
      <c r="E192" s="11"/>
      <c r="F192" s="11"/>
      <c r="G192" s="11"/>
      <c r="H192" s="14"/>
      <c r="I192" s="14"/>
      <c r="J192" s="14"/>
      <c r="K192" s="1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9"/>
      <c r="B193" s="40"/>
      <c r="C193" s="40"/>
      <c r="D193" s="40"/>
      <c r="E193" s="11"/>
      <c r="F193" s="11"/>
      <c r="G193" s="11"/>
      <c r="H193" s="14"/>
      <c r="I193" s="14"/>
      <c r="J193" s="14"/>
      <c r="K193" s="14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9"/>
      <c r="B194" s="40"/>
      <c r="C194" s="40"/>
      <c r="D194" s="40"/>
      <c r="E194" s="11"/>
      <c r="F194" s="11"/>
      <c r="G194" s="11"/>
      <c r="H194" s="14"/>
      <c r="I194" s="14"/>
      <c r="J194" s="14"/>
      <c r="K194" s="14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9"/>
      <c r="B195" s="40"/>
      <c r="C195" s="40"/>
      <c r="D195" s="40"/>
      <c r="E195" s="11"/>
      <c r="F195" s="11"/>
      <c r="G195" s="11"/>
      <c r="H195" s="14"/>
      <c r="I195" s="14"/>
      <c r="J195" s="14"/>
      <c r="K195" s="14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9"/>
      <c r="B196" s="40"/>
      <c r="C196" s="40"/>
      <c r="D196" s="40"/>
      <c r="E196" s="11"/>
      <c r="F196" s="11"/>
      <c r="G196" s="11"/>
      <c r="H196" s="14"/>
      <c r="I196" s="14"/>
      <c r="J196" s="14"/>
      <c r="K196" s="14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9"/>
      <c r="B197" s="40"/>
      <c r="C197" s="40"/>
      <c r="D197" s="40"/>
      <c r="E197" s="11"/>
      <c r="F197" s="11"/>
      <c r="G197" s="11"/>
      <c r="H197" s="14"/>
      <c r="I197" s="14"/>
      <c r="J197" s="14"/>
      <c r="K197" s="14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9"/>
      <c r="B198" s="40"/>
      <c r="C198" s="40"/>
      <c r="D198" s="40"/>
      <c r="E198" s="11"/>
      <c r="F198" s="11"/>
      <c r="G198" s="11"/>
      <c r="H198" s="14"/>
      <c r="I198" s="14"/>
      <c r="J198" s="14"/>
      <c r="K198" s="14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9"/>
      <c r="B199" s="40"/>
      <c r="C199" s="40"/>
      <c r="D199" s="40"/>
      <c r="E199" s="11"/>
      <c r="F199" s="11"/>
      <c r="G199" s="11"/>
      <c r="H199" s="14"/>
      <c r="I199" s="14"/>
      <c r="J199" s="14"/>
      <c r="K199" s="14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9"/>
      <c r="B200" s="40"/>
      <c r="C200" s="40"/>
      <c r="D200" s="40"/>
      <c r="E200" s="11"/>
      <c r="F200" s="11"/>
      <c r="G200" s="11"/>
      <c r="H200" s="14"/>
      <c r="I200" s="14"/>
      <c r="J200" s="14"/>
      <c r="K200" s="14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9"/>
      <c r="B201" s="40"/>
      <c r="C201" s="40"/>
      <c r="D201" s="40"/>
      <c r="E201" s="11"/>
      <c r="F201" s="11"/>
      <c r="G201" s="11"/>
      <c r="H201" s="14"/>
      <c r="I201" s="14"/>
      <c r="J201" s="14"/>
      <c r="K201" s="14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9"/>
      <c r="B202" s="40"/>
      <c r="C202" s="40"/>
      <c r="D202" s="40"/>
      <c r="E202" s="11"/>
      <c r="F202" s="11"/>
      <c r="G202" s="11"/>
      <c r="H202" s="14"/>
      <c r="I202" s="14"/>
      <c r="J202" s="14"/>
      <c r="K202" s="14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9"/>
      <c r="B203" s="40"/>
      <c r="C203" s="40"/>
      <c r="D203" s="40"/>
      <c r="E203" s="11"/>
      <c r="F203" s="11"/>
      <c r="G203" s="11"/>
      <c r="H203" s="14"/>
      <c r="I203" s="14"/>
      <c r="J203" s="14"/>
      <c r="K203" s="14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9"/>
      <c r="B204" s="40"/>
      <c r="C204" s="40"/>
      <c r="D204" s="40"/>
      <c r="E204" s="11"/>
      <c r="F204" s="11"/>
      <c r="G204" s="11"/>
      <c r="H204" s="14"/>
      <c r="I204" s="14"/>
      <c r="J204" s="14"/>
      <c r="K204" s="14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9"/>
      <c r="B205" s="40"/>
      <c r="C205" s="40"/>
      <c r="D205" s="40"/>
      <c r="E205" s="11"/>
      <c r="F205" s="11"/>
      <c r="G205" s="11"/>
      <c r="H205" s="14"/>
      <c r="I205" s="14"/>
      <c r="J205" s="14"/>
      <c r="K205" s="14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9"/>
      <c r="B206" s="40"/>
      <c r="C206" s="40"/>
      <c r="D206" s="40"/>
      <c r="E206" s="11"/>
      <c r="F206" s="11"/>
      <c r="G206" s="11"/>
      <c r="H206" s="14"/>
      <c r="I206" s="14"/>
      <c r="J206" s="14"/>
      <c r="K206" s="14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9"/>
      <c r="B207" s="40"/>
      <c r="C207" s="40"/>
      <c r="D207" s="40"/>
      <c r="E207" s="11"/>
      <c r="F207" s="11"/>
      <c r="G207" s="11"/>
      <c r="H207" s="14"/>
      <c r="I207" s="14"/>
      <c r="J207" s="14"/>
      <c r="K207" s="14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9"/>
      <c r="B208" s="40"/>
      <c r="C208" s="40"/>
      <c r="D208" s="40"/>
      <c r="E208" s="11"/>
      <c r="F208" s="11"/>
      <c r="G208" s="11"/>
      <c r="H208" s="14"/>
      <c r="I208" s="14"/>
      <c r="J208" s="14"/>
      <c r="K208" s="14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9"/>
      <c r="B209" s="40"/>
      <c r="C209" s="40"/>
      <c r="D209" s="40"/>
      <c r="E209" s="11"/>
      <c r="F209" s="11"/>
      <c r="G209" s="11"/>
      <c r="H209" s="14"/>
      <c r="I209" s="14"/>
      <c r="J209" s="14"/>
      <c r="K209" s="14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9"/>
      <c r="B210" s="40"/>
      <c r="C210" s="40"/>
      <c r="D210" s="40"/>
      <c r="E210" s="11"/>
      <c r="F210" s="11"/>
      <c r="G210" s="11"/>
      <c r="H210" s="14"/>
      <c r="I210" s="14"/>
      <c r="J210" s="14"/>
      <c r="K210" s="14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9"/>
      <c r="B211" s="40"/>
      <c r="C211" s="40"/>
      <c r="D211" s="40"/>
      <c r="E211" s="11"/>
      <c r="F211" s="11"/>
      <c r="G211" s="11"/>
      <c r="H211" s="14"/>
      <c r="I211" s="14"/>
      <c r="J211" s="14"/>
      <c r="K211" s="14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9"/>
      <c r="B212" s="40"/>
      <c r="C212" s="40"/>
      <c r="D212" s="40"/>
      <c r="E212" s="11"/>
      <c r="F212" s="11"/>
      <c r="G212" s="11"/>
      <c r="H212" s="14"/>
      <c r="I212" s="14"/>
      <c r="J212" s="14"/>
      <c r="K212" s="14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9"/>
      <c r="B213" s="40"/>
      <c r="C213" s="40"/>
      <c r="D213" s="40"/>
      <c r="E213" s="11"/>
      <c r="F213" s="11"/>
      <c r="G213" s="11"/>
      <c r="H213" s="14"/>
      <c r="I213" s="14"/>
      <c r="J213" s="14"/>
      <c r="K213" s="14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9"/>
      <c r="B214" s="40"/>
      <c r="C214" s="40"/>
      <c r="D214" s="40"/>
      <c r="E214" s="11"/>
      <c r="F214" s="11"/>
      <c r="G214" s="11"/>
      <c r="H214" s="14"/>
      <c r="I214" s="14"/>
      <c r="J214" s="14"/>
      <c r="K214" s="14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9"/>
      <c r="B215" s="40"/>
      <c r="C215" s="40"/>
      <c r="D215" s="40"/>
      <c r="E215" s="11"/>
      <c r="F215" s="11"/>
      <c r="G215" s="11"/>
      <c r="H215" s="14"/>
      <c r="I215" s="14"/>
      <c r="J215" s="14"/>
      <c r="K215" s="14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9"/>
      <c r="B216" s="40"/>
      <c r="C216" s="40"/>
      <c r="D216" s="40"/>
      <c r="E216" s="11"/>
      <c r="F216" s="11"/>
      <c r="G216" s="11"/>
      <c r="H216" s="14"/>
      <c r="I216" s="14"/>
      <c r="J216" s="14"/>
      <c r="K216" s="14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9"/>
      <c r="B217" s="40"/>
      <c r="C217" s="40"/>
      <c r="D217" s="40"/>
      <c r="E217" s="11"/>
      <c r="F217" s="11"/>
      <c r="G217" s="11"/>
      <c r="H217" s="14"/>
      <c r="I217" s="14"/>
      <c r="J217" s="14"/>
      <c r="K217" s="14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9"/>
      <c r="B218" s="40"/>
      <c r="C218" s="40"/>
      <c r="D218" s="40"/>
      <c r="E218" s="11"/>
      <c r="F218" s="11"/>
      <c r="G218" s="11"/>
      <c r="H218" s="14"/>
      <c r="I218" s="14"/>
      <c r="J218" s="14"/>
      <c r="K218" s="14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9"/>
      <c r="B219" s="40"/>
      <c r="C219" s="40"/>
      <c r="D219" s="40"/>
      <c r="E219" s="11"/>
      <c r="F219" s="11"/>
      <c r="G219" s="11"/>
      <c r="H219" s="14"/>
      <c r="I219" s="14"/>
      <c r="J219" s="14"/>
      <c r="K219" s="14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9"/>
      <c r="B220" s="40"/>
      <c r="C220" s="40"/>
      <c r="D220" s="40"/>
      <c r="E220" s="11"/>
      <c r="F220" s="11"/>
      <c r="G220" s="11"/>
      <c r="H220" s="14"/>
      <c r="I220" s="14"/>
      <c r="J220" s="14"/>
      <c r="K220" s="14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9"/>
      <c r="B221" s="40"/>
      <c r="C221" s="40"/>
      <c r="D221" s="40"/>
      <c r="E221" s="11"/>
      <c r="F221" s="11"/>
      <c r="G221" s="11"/>
      <c r="H221" s="14"/>
      <c r="I221" s="14"/>
      <c r="J221" s="14"/>
      <c r="K221" s="14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9"/>
      <c r="B222" s="40"/>
      <c r="C222" s="40"/>
      <c r="D222" s="40"/>
      <c r="E222" s="11"/>
      <c r="F222" s="11"/>
      <c r="G222" s="11"/>
      <c r="H222" s="14"/>
      <c r="I222" s="14"/>
      <c r="J222" s="14"/>
      <c r="K222" s="14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9"/>
      <c r="B223" s="40"/>
      <c r="C223" s="40"/>
      <c r="D223" s="40"/>
      <c r="E223" s="11"/>
      <c r="F223" s="11"/>
      <c r="G223" s="11"/>
      <c r="H223" s="14"/>
      <c r="I223" s="14"/>
      <c r="J223" s="14"/>
      <c r="K223" s="14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9"/>
      <c r="B224" s="40"/>
      <c r="C224" s="40"/>
      <c r="D224" s="40"/>
      <c r="E224" s="11"/>
      <c r="F224" s="11"/>
      <c r="G224" s="11"/>
      <c r="H224" s="14"/>
      <c r="I224" s="14"/>
      <c r="J224" s="14"/>
      <c r="K224" s="14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9"/>
      <c r="B225" s="40"/>
      <c r="C225" s="40"/>
      <c r="D225" s="40"/>
      <c r="E225" s="11"/>
      <c r="F225" s="11"/>
      <c r="G225" s="11"/>
      <c r="H225" s="14"/>
      <c r="I225" s="14"/>
      <c r="J225" s="14"/>
      <c r="K225" s="14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9"/>
      <c r="B226" s="40"/>
      <c r="C226" s="40"/>
      <c r="D226" s="40"/>
      <c r="E226" s="11"/>
      <c r="F226" s="11"/>
      <c r="G226" s="11"/>
      <c r="H226" s="14"/>
      <c r="I226" s="14"/>
      <c r="J226" s="14"/>
      <c r="K226" s="14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9"/>
      <c r="B227" s="40"/>
      <c r="C227" s="40"/>
      <c r="D227" s="40"/>
      <c r="E227" s="11"/>
      <c r="F227" s="11"/>
      <c r="G227" s="11"/>
      <c r="H227" s="14"/>
      <c r="I227" s="14"/>
      <c r="J227" s="14"/>
      <c r="K227" s="14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9"/>
      <c r="B228" s="40"/>
      <c r="C228" s="40"/>
      <c r="D228" s="40"/>
      <c r="E228" s="11"/>
      <c r="F228" s="11"/>
      <c r="G228" s="11"/>
      <c r="H228" s="14"/>
      <c r="I228" s="14"/>
      <c r="J228" s="14"/>
      <c r="K228" s="14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9"/>
      <c r="B229" s="40"/>
      <c r="C229" s="40"/>
      <c r="D229" s="40"/>
      <c r="E229" s="11"/>
      <c r="F229" s="11"/>
      <c r="G229" s="11"/>
      <c r="H229" s="14"/>
      <c r="I229" s="14"/>
      <c r="J229" s="14"/>
      <c r="K229" s="14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9"/>
      <c r="B230" s="40"/>
      <c r="C230" s="40"/>
      <c r="D230" s="40"/>
      <c r="E230" s="11"/>
      <c r="F230" s="11"/>
      <c r="G230" s="11"/>
      <c r="H230" s="14"/>
      <c r="I230" s="14"/>
      <c r="J230" s="14"/>
      <c r="K230" s="14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9"/>
      <c r="B231" s="40"/>
      <c r="C231" s="40"/>
      <c r="D231" s="40"/>
      <c r="E231" s="11"/>
      <c r="F231" s="11"/>
      <c r="G231" s="11"/>
      <c r="H231" s="14"/>
      <c r="I231" s="14"/>
      <c r="J231" s="14"/>
      <c r="K231" s="14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9"/>
      <c r="B232" s="40"/>
      <c r="C232" s="40"/>
      <c r="D232" s="40"/>
      <c r="E232" s="11"/>
      <c r="F232" s="11"/>
      <c r="G232" s="11"/>
      <c r="H232" s="14"/>
      <c r="I232" s="14"/>
      <c r="J232" s="14"/>
      <c r="K232" s="14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9"/>
      <c r="B233" s="40"/>
      <c r="C233" s="40"/>
      <c r="D233" s="40"/>
      <c r="E233" s="11"/>
      <c r="F233" s="11"/>
      <c r="G233" s="11"/>
      <c r="H233" s="14"/>
      <c r="I233" s="14"/>
      <c r="J233" s="14"/>
      <c r="K233" s="14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9"/>
      <c r="B234" s="40"/>
      <c r="C234" s="40"/>
      <c r="D234" s="40"/>
      <c r="E234" s="11"/>
      <c r="F234" s="11"/>
      <c r="G234" s="11"/>
      <c r="H234" s="14"/>
      <c r="I234" s="14"/>
      <c r="J234" s="14"/>
      <c r="K234" s="14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9"/>
      <c r="B235" s="40"/>
      <c r="C235" s="40"/>
      <c r="D235" s="40"/>
      <c r="E235" s="11"/>
      <c r="F235" s="11"/>
      <c r="G235" s="11"/>
      <c r="H235" s="14"/>
      <c r="I235" s="14"/>
      <c r="J235" s="14"/>
      <c r="K235" s="14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9"/>
      <c r="B236" s="40"/>
      <c r="C236" s="40"/>
      <c r="D236" s="40"/>
      <c r="E236" s="11"/>
      <c r="F236" s="11"/>
      <c r="G236" s="11"/>
      <c r="H236" s="14"/>
      <c r="I236" s="14"/>
      <c r="J236" s="14"/>
      <c r="K236" s="1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9"/>
      <c r="B237" s="40"/>
      <c r="C237" s="40"/>
      <c r="D237" s="40"/>
      <c r="E237" s="11"/>
      <c r="F237" s="11"/>
      <c r="G237" s="11"/>
      <c r="H237" s="14"/>
      <c r="I237" s="14"/>
      <c r="J237" s="14"/>
      <c r="K237" s="14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9"/>
      <c r="B238" s="40"/>
      <c r="C238" s="40"/>
      <c r="D238" s="40"/>
      <c r="E238" s="11"/>
      <c r="F238" s="11"/>
      <c r="G238" s="11"/>
      <c r="H238" s="14"/>
      <c r="I238" s="14"/>
      <c r="J238" s="14"/>
      <c r="K238" s="14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9"/>
      <c r="B239" s="40"/>
      <c r="C239" s="40"/>
      <c r="D239" s="40"/>
      <c r="E239" s="11"/>
      <c r="F239" s="11"/>
      <c r="G239" s="11"/>
      <c r="H239" s="14"/>
      <c r="I239" s="14"/>
      <c r="J239" s="14"/>
      <c r="K239" s="14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9"/>
      <c r="B240" s="40"/>
      <c r="C240" s="40"/>
      <c r="D240" s="40"/>
      <c r="E240" s="11"/>
      <c r="F240" s="11"/>
      <c r="G240" s="11"/>
      <c r="H240" s="14"/>
      <c r="I240" s="14"/>
      <c r="J240" s="14"/>
      <c r="K240" s="14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9"/>
      <c r="B241" s="40"/>
      <c r="C241" s="40"/>
      <c r="D241" s="40"/>
      <c r="E241" s="11"/>
      <c r="F241" s="11"/>
      <c r="G241" s="11"/>
      <c r="H241" s="14"/>
      <c r="I241" s="14"/>
      <c r="J241" s="14"/>
      <c r="K241" s="14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9"/>
      <c r="B242" s="40"/>
      <c r="C242" s="40"/>
      <c r="D242" s="40"/>
      <c r="E242" s="11"/>
      <c r="F242" s="11"/>
      <c r="G242" s="11"/>
      <c r="H242" s="14"/>
      <c r="I242" s="14"/>
      <c r="J242" s="14"/>
      <c r="K242" s="14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9"/>
      <c r="B243" s="40"/>
      <c r="C243" s="40"/>
      <c r="D243" s="40"/>
      <c r="E243" s="11"/>
      <c r="F243" s="11"/>
      <c r="G243" s="11"/>
      <c r="H243" s="14"/>
      <c r="I243" s="14"/>
      <c r="J243" s="14"/>
      <c r="K243" s="14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9"/>
      <c r="B244" s="40"/>
      <c r="C244" s="40"/>
      <c r="D244" s="40"/>
      <c r="E244" s="11"/>
      <c r="F244" s="11"/>
      <c r="G244" s="11"/>
      <c r="H244" s="14"/>
      <c r="I244" s="14"/>
      <c r="J244" s="14"/>
      <c r="K244" s="14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9"/>
      <c r="B245" s="40"/>
      <c r="C245" s="40"/>
      <c r="D245" s="40"/>
      <c r="E245" s="11"/>
      <c r="F245" s="11"/>
      <c r="G245" s="11"/>
      <c r="H245" s="14"/>
      <c r="I245" s="14"/>
      <c r="J245" s="14"/>
      <c r="K245" s="14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9"/>
      <c r="B246" s="40"/>
      <c r="C246" s="40"/>
      <c r="D246" s="40"/>
      <c r="E246" s="11"/>
      <c r="F246" s="11"/>
      <c r="G246" s="11"/>
      <c r="H246" s="14"/>
      <c r="I246" s="14"/>
      <c r="J246" s="14"/>
      <c r="K246" s="14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9"/>
      <c r="B247" s="40"/>
      <c r="C247" s="40"/>
      <c r="D247" s="40"/>
      <c r="E247" s="11"/>
      <c r="F247" s="11"/>
      <c r="G247" s="11"/>
      <c r="H247" s="14"/>
      <c r="I247" s="14"/>
      <c r="J247" s="14"/>
      <c r="K247" s="14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9"/>
      <c r="B248" s="40"/>
      <c r="C248" s="40"/>
      <c r="D248" s="40"/>
      <c r="E248" s="11"/>
      <c r="F248" s="11"/>
      <c r="G248" s="11"/>
      <c r="H248" s="14"/>
      <c r="I248" s="14"/>
      <c r="J248" s="14"/>
      <c r="K248" s="14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9"/>
      <c r="B249" s="40"/>
      <c r="C249" s="40"/>
      <c r="D249" s="40"/>
      <c r="E249" s="11"/>
      <c r="F249" s="11"/>
      <c r="G249" s="11"/>
      <c r="H249" s="14"/>
      <c r="I249" s="14"/>
      <c r="J249" s="14"/>
      <c r="K249" s="14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9"/>
      <c r="B250" s="40"/>
      <c r="C250" s="40"/>
      <c r="D250" s="40"/>
      <c r="E250" s="11"/>
      <c r="F250" s="11"/>
      <c r="G250" s="11"/>
      <c r="H250" s="14"/>
      <c r="I250" s="14"/>
      <c r="J250" s="14"/>
      <c r="K250" s="14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9"/>
      <c r="B251" s="40"/>
      <c r="C251" s="40"/>
      <c r="D251" s="40"/>
      <c r="E251" s="11"/>
      <c r="F251" s="11"/>
      <c r="G251" s="11"/>
      <c r="H251" s="14"/>
      <c r="I251" s="14"/>
      <c r="J251" s="14"/>
      <c r="K251" s="14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9"/>
      <c r="B252" s="40"/>
      <c r="C252" s="40"/>
      <c r="D252" s="40"/>
      <c r="E252" s="11"/>
      <c r="F252" s="11"/>
      <c r="G252" s="11"/>
      <c r="H252" s="14"/>
      <c r="I252" s="14"/>
      <c r="J252" s="14"/>
      <c r="K252" s="14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9"/>
      <c r="B253" s="40"/>
      <c r="C253" s="40"/>
      <c r="D253" s="40"/>
      <c r="E253" s="11"/>
      <c r="F253" s="11"/>
      <c r="G253" s="11"/>
      <c r="H253" s="14"/>
      <c r="I253" s="14"/>
      <c r="J253" s="14"/>
      <c r="K253" s="14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9"/>
      <c r="B254" s="40"/>
      <c r="C254" s="40"/>
      <c r="D254" s="40"/>
      <c r="E254" s="11"/>
      <c r="F254" s="11"/>
      <c r="G254" s="11"/>
      <c r="H254" s="14"/>
      <c r="I254" s="14"/>
      <c r="J254" s="14"/>
      <c r="K254" s="14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39"/>
      <c r="B255" s="40"/>
      <c r="C255" s="40"/>
      <c r="D255" s="40"/>
      <c r="E255" s="11"/>
      <c r="F255" s="11"/>
      <c r="G255" s="11"/>
      <c r="H255" s="14"/>
      <c r="I255" s="14"/>
      <c r="J255" s="14"/>
      <c r="K255" s="14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39"/>
      <c r="B256" s="40"/>
      <c r="C256" s="40"/>
      <c r="D256" s="40"/>
      <c r="E256" s="11"/>
      <c r="F256" s="11"/>
      <c r="G256" s="11"/>
      <c r="H256" s="14"/>
      <c r="I256" s="14"/>
      <c r="J256" s="14"/>
      <c r="K256" s="14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39"/>
      <c r="B257" s="40"/>
      <c r="C257" s="40"/>
      <c r="D257" s="40"/>
      <c r="E257" s="11"/>
      <c r="F257" s="11"/>
      <c r="G257" s="11"/>
      <c r="H257" s="14"/>
      <c r="I257" s="14"/>
      <c r="J257" s="14"/>
      <c r="K257" s="14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39"/>
      <c r="B258" s="40"/>
      <c r="C258" s="40"/>
      <c r="D258" s="40"/>
      <c r="E258" s="11"/>
      <c r="F258" s="11"/>
      <c r="G258" s="11"/>
      <c r="H258" s="14"/>
      <c r="I258" s="14"/>
      <c r="J258" s="14"/>
      <c r="K258" s="14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39"/>
      <c r="B259" s="40"/>
      <c r="C259" s="40"/>
      <c r="D259" s="40"/>
      <c r="E259" s="11"/>
      <c r="F259" s="11"/>
      <c r="G259" s="11"/>
      <c r="H259" s="14"/>
      <c r="I259" s="14"/>
      <c r="J259" s="14"/>
      <c r="K259" s="14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39"/>
      <c r="B260" s="40"/>
      <c r="C260" s="40"/>
      <c r="D260" s="40"/>
      <c r="E260" s="11"/>
      <c r="F260" s="11"/>
      <c r="G260" s="11"/>
      <c r="H260" s="14"/>
      <c r="I260" s="14"/>
      <c r="J260" s="14"/>
      <c r="K260" s="14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9"/>
      <c r="B261" s="40"/>
      <c r="C261" s="40"/>
      <c r="D261" s="40"/>
      <c r="E261" s="11"/>
      <c r="F261" s="11"/>
      <c r="G261" s="11"/>
      <c r="H261" s="14"/>
      <c r="I261" s="14"/>
      <c r="J261" s="14"/>
      <c r="K261" s="14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39"/>
      <c r="B262" s="40"/>
      <c r="C262" s="40"/>
      <c r="D262" s="40"/>
      <c r="E262" s="11"/>
      <c r="F262" s="11"/>
      <c r="G262" s="11"/>
      <c r="H262" s="14"/>
      <c r="I262" s="14"/>
      <c r="J262" s="14"/>
      <c r="K262" s="14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39"/>
      <c r="B263" s="40"/>
      <c r="C263" s="40"/>
      <c r="D263" s="40"/>
      <c r="E263" s="11"/>
      <c r="F263" s="11"/>
      <c r="G263" s="11"/>
      <c r="H263" s="14"/>
      <c r="I263" s="14"/>
      <c r="J263" s="14"/>
      <c r="K263" s="14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9"/>
      <c r="B264" s="40"/>
      <c r="C264" s="40"/>
      <c r="D264" s="40"/>
      <c r="E264" s="11"/>
      <c r="F264" s="11"/>
      <c r="G264" s="11"/>
      <c r="H264" s="14"/>
      <c r="I264" s="14"/>
      <c r="J264" s="14"/>
      <c r="K264" s="14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39"/>
      <c r="B265" s="40"/>
      <c r="C265" s="40"/>
      <c r="D265" s="40"/>
      <c r="E265" s="11"/>
      <c r="F265" s="11"/>
      <c r="G265" s="11"/>
      <c r="H265" s="14"/>
      <c r="I265" s="14"/>
      <c r="J265" s="14"/>
      <c r="K265" s="14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39"/>
      <c r="B266" s="40"/>
      <c r="C266" s="40"/>
      <c r="D266" s="40"/>
      <c r="E266" s="11"/>
      <c r="F266" s="11"/>
      <c r="G266" s="11"/>
      <c r="H266" s="14"/>
      <c r="I266" s="14"/>
      <c r="J266" s="14"/>
      <c r="K266" s="14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39"/>
      <c r="B267" s="40"/>
      <c r="C267" s="40"/>
      <c r="D267" s="40"/>
      <c r="E267" s="11"/>
      <c r="F267" s="11"/>
      <c r="G267" s="11"/>
      <c r="H267" s="14"/>
      <c r="I267" s="14"/>
      <c r="J267" s="14"/>
      <c r="K267" s="14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39"/>
      <c r="B268" s="40"/>
      <c r="C268" s="40"/>
      <c r="D268" s="40"/>
      <c r="E268" s="11"/>
      <c r="F268" s="11"/>
      <c r="G268" s="11"/>
      <c r="H268" s="14"/>
      <c r="I268" s="14"/>
      <c r="J268" s="14"/>
      <c r="K268" s="14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39"/>
      <c r="B269" s="40"/>
      <c r="C269" s="40"/>
      <c r="D269" s="40"/>
      <c r="E269" s="11"/>
      <c r="F269" s="11"/>
      <c r="G269" s="11"/>
      <c r="H269" s="14"/>
      <c r="I269" s="14"/>
      <c r="J269" s="14"/>
      <c r="K269" s="14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39"/>
      <c r="B270" s="40"/>
      <c r="C270" s="40"/>
      <c r="D270" s="40"/>
      <c r="E270" s="11"/>
      <c r="F270" s="11"/>
      <c r="G270" s="11"/>
      <c r="H270" s="14"/>
      <c r="I270" s="14"/>
      <c r="J270" s="14"/>
      <c r="K270" s="14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39"/>
      <c r="B271" s="40"/>
      <c r="C271" s="40"/>
      <c r="D271" s="40"/>
      <c r="E271" s="11"/>
      <c r="F271" s="11"/>
      <c r="G271" s="11"/>
      <c r="H271" s="14"/>
      <c r="I271" s="14"/>
      <c r="J271" s="14"/>
      <c r="K271" s="14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39"/>
      <c r="B272" s="40"/>
      <c r="C272" s="40"/>
      <c r="D272" s="40"/>
      <c r="E272" s="11"/>
      <c r="F272" s="11"/>
      <c r="G272" s="11"/>
      <c r="H272" s="14"/>
      <c r="I272" s="14"/>
      <c r="J272" s="14"/>
      <c r="K272" s="14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39"/>
      <c r="B273" s="40"/>
      <c r="C273" s="40"/>
      <c r="D273" s="40"/>
      <c r="E273" s="11"/>
      <c r="F273" s="11"/>
      <c r="G273" s="11"/>
      <c r="H273" s="14"/>
      <c r="I273" s="14"/>
      <c r="J273" s="14"/>
      <c r="K273" s="14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39"/>
      <c r="B274" s="40"/>
      <c r="C274" s="40"/>
      <c r="D274" s="40"/>
      <c r="E274" s="11"/>
      <c r="F274" s="11"/>
      <c r="G274" s="11"/>
      <c r="H274" s="14"/>
      <c r="I274" s="14"/>
      <c r="J274" s="14"/>
      <c r="K274" s="14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9"/>
      <c r="B275" s="40"/>
      <c r="C275" s="40"/>
      <c r="D275" s="40"/>
      <c r="E275" s="11"/>
      <c r="F275" s="11"/>
      <c r="G275" s="11"/>
      <c r="H275" s="14"/>
      <c r="I275" s="14"/>
      <c r="J275" s="14"/>
      <c r="K275" s="14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39"/>
      <c r="B276" s="40"/>
      <c r="C276" s="40"/>
      <c r="D276" s="40"/>
      <c r="E276" s="11"/>
      <c r="F276" s="11"/>
      <c r="G276" s="11"/>
      <c r="H276" s="14"/>
      <c r="I276" s="14"/>
      <c r="J276" s="14"/>
      <c r="K276" s="14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39"/>
      <c r="B277" s="40"/>
      <c r="C277" s="40"/>
      <c r="D277" s="40"/>
      <c r="E277" s="11"/>
      <c r="F277" s="11"/>
      <c r="G277" s="11"/>
      <c r="H277" s="14"/>
      <c r="I277" s="14"/>
      <c r="J277" s="14"/>
      <c r="K277" s="14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39"/>
      <c r="B278" s="40"/>
      <c r="C278" s="40"/>
      <c r="D278" s="40"/>
      <c r="E278" s="11"/>
      <c r="F278" s="11"/>
      <c r="G278" s="11"/>
      <c r="H278" s="14"/>
      <c r="I278" s="14"/>
      <c r="J278" s="14"/>
      <c r="K278" s="14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9"/>
      <c r="B279" s="40"/>
      <c r="C279" s="40"/>
      <c r="D279" s="40"/>
      <c r="E279" s="11"/>
      <c r="F279" s="11"/>
      <c r="G279" s="11"/>
      <c r="H279" s="14"/>
      <c r="I279" s="14"/>
      <c r="J279" s="14"/>
      <c r="K279" s="14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39"/>
      <c r="B280" s="40"/>
      <c r="C280" s="40"/>
      <c r="D280" s="40"/>
      <c r="E280" s="11"/>
      <c r="F280" s="11"/>
      <c r="G280" s="11"/>
      <c r="H280" s="14"/>
      <c r="I280" s="14"/>
      <c r="J280" s="14"/>
      <c r="K280" s="14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39"/>
      <c r="B281" s="40"/>
      <c r="C281" s="40"/>
      <c r="D281" s="40"/>
      <c r="E281" s="11"/>
      <c r="F281" s="11"/>
      <c r="G281" s="11"/>
      <c r="H281" s="14"/>
      <c r="I281" s="14"/>
      <c r="J281" s="14"/>
      <c r="K281" s="14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39"/>
      <c r="B282" s="40"/>
      <c r="C282" s="40"/>
      <c r="D282" s="40"/>
      <c r="E282" s="11"/>
      <c r="F282" s="11"/>
      <c r="G282" s="11"/>
      <c r="H282" s="14"/>
      <c r="I282" s="14"/>
      <c r="J282" s="14"/>
      <c r="K282" s="1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39"/>
      <c r="B283" s="40"/>
      <c r="C283" s="40"/>
      <c r="D283" s="40"/>
      <c r="E283" s="11"/>
      <c r="F283" s="11"/>
      <c r="G283" s="11"/>
      <c r="H283" s="14"/>
      <c r="I283" s="14"/>
      <c r="J283" s="14"/>
      <c r="K283" s="14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39"/>
      <c r="B284" s="40"/>
      <c r="C284" s="40"/>
      <c r="D284" s="40"/>
      <c r="E284" s="11"/>
      <c r="F284" s="11"/>
      <c r="G284" s="11"/>
      <c r="H284" s="14"/>
      <c r="I284" s="14"/>
      <c r="J284" s="14"/>
      <c r="K284" s="14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39"/>
      <c r="B285" s="40"/>
      <c r="C285" s="40"/>
      <c r="D285" s="40"/>
      <c r="E285" s="11"/>
      <c r="F285" s="11"/>
      <c r="G285" s="11"/>
      <c r="H285" s="14"/>
      <c r="I285" s="14"/>
      <c r="J285" s="14"/>
      <c r="K285" s="14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39"/>
      <c r="B286" s="40"/>
      <c r="C286" s="40"/>
      <c r="D286" s="40"/>
      <c r="E286" s="11"/>
      <c r="F286" s="11"/>
      <c r="G286" s="11"/>
      <c r="H286" s="14"/>
      <c r="I286" s="14"/>
      <c r="J286" s="14"/>
      <c r="K286" s="14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39"/>
      <c r="B287" s="40"/>
      <c r="C287" s="40"/>
      <c r="D287" s="40"/>
      <c r="E287" s="11"/>
      <c r="F287" s="11"/>
      <c r="G287" s="11"/>
      <c r="H287" s="14"/>
      <c r="I287" s="14"/>
      <c r="J287" s="14"/>
      <c r="K287" s="14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39"/>
      <c r="B288" s="40"/>
      <c r="C288" s="40"/>
      <c r="D288" s="40"/>
      <c r="E288" s="11"/>
      <c r="F288" s="11"/>
      <c r="G288" s="11"/>
      <c r="H288" s="14"/>
      <c r="I288" s="14"/>
      <c r="J288" s="14"/>
      <c r="K288" s="14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9"/>
      <c r="B289" s="40"/>
      <c r="C289" s="40"/>
      <c r="D289" s="40"/>
      <c r="E289" s="11"/>
      <c r="F289" s="11"/>
      <c r="G289" s="11"/>
      <c r="H289" s="14"/>
      <c r="I289" s="14"/>
      <c r="J289" s="14"/>
      <c r="K289" s="14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39"/>
      <c r="B290" s="40"/>
      <c r="C290" s="40"/>
      <c r="D290" s="40"/>
      <c r="E290" s="11"/>
      <c r="F290" s="11"/>
      <c r="G290" s="11"/>
      <c r="H290" s="14"/>
      <c r="I290" s="14"/>
      <c r="J290" s="14"/>
      <c r="K290" s="14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39"/>
      <c r="B291" s="40"/>
      <c r="C291" s="40"/>
      <c r="D291" s="40"/>
      <c r="E291" s="11"/>
      <c r="F291" s="11"/>
      <c r="G291" s="11"/>
      <c r="H291" s="14"/>
      <c r="I291" s="14"/>
      <c r="J291" s="14"/>
      <c r="K291" s="14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39"/>
      <c r="B292" s="40"/>
      <c r="C292" s="40"/>
      <c r="D292" s="40"/>
      <c r="E292" s="11"/>
      <c r="F292" s="11"/>
      <c r="G292" s="11"/>
      <c r="H292" s="14"/>
      <c r="I292" s="14"/>
      <c r="J292" s="14"/>
      <c r="K292" s="14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39"/>
      <c r="B293" s="40"/>
      <c r="C293" s="40"/>
      <c r="D293" s="40"/>
      <c r="E293" s="11"/>
      <c r="F293" s="11"/>
      <c r="G293" s="11"/>
      <c r="H293" s="14"/>
      <c r="I293" s="14"/>
      <c r="J293" s="14"/>
      <c r="K293" s="14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39"/>
      <c r="B294" s="40"/>
      <c r="C294" s="40"/>
      <c r="D294" s="40"/>
      <c r="E294" s="11"/>
      <c r="F294" s="11"/>
      <c r="G294" s="11"/>
      <c r="H294" s="14"/>
      <c r="I294" s="14"/>
      <c r="J294" s="14"/>
      <c r="K294" s="14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39"/>
      <c r="B295" s="40"/>
      <c r="C295" s="40"/>
      <c r="D295" s="40"/>
      <c r="E295" s="11"/>
      <c r="F295" s="11"/>
      <c r="G295" s="11"/>
      <c r="H295" s="14"/>
      <c r="I295" s="14"/>
      <c r="J295" s="14"/>
      <c r="K295" s="14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39"/>
      <c r="B296" s="40"/>
      <c r="C296" s="40"/>
      <c r="D296" s="40"/>
      <c r="E296" s="11"/>
      <c r="F296" s="11"/>
      <c r="G296" s="11"/>
      <c r="H296" s="14"/>
      <c r="I296" s="14"/>
      <c r="J296" s="14"/>
      <c r="K296" s="14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39"/>
      <c r="B297" s="40"/>
      <c r="C297" s="40"/>
      <c r="D297" s="40"/>
      <c r="E297" s="11"/>
      <c r="F297" s="11"/>
      <c r="G297" s="11"/>
      <c r="H297" s="14"/>
      <c r="I297" s="14"/>
      <c r="J297" s="14"/>
      <c r="K297" s="14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39"/>
      <c r="B298" s="40"/>
      <c r="C298" s="40"/>
      <c r="D298" s="40"/>
      <c r="E298" s="11"/>
      <c r="F298" s="11"/>
      <c r="G298" s="11"/>
      <c r="H298" s="14"/>
      <c r="I298" s="14"/>
      <c r="J298" s="14"/>
      <c r="K298" s="14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39"/>
      <c r="B299" s="40"/>
      <c r="C299" s="40"/>
      <c r="D299" s="40"/>
      <c r="E299" s="11"/>
      <c r="F299" s="11"/>
      <c r="G299" s="11"/>
      <c r="H299" s="14"/>
      <c r="I299" s="14"/>
      <c r="J299" s="14"/>
      <c r="K299" s="14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39"/>
      <c r="B300" s="40"/>
      <c r="C300" s="40"/>
      <c r="D300" s="40"/>
      <c r="E300" s="11"/>
      <c r="F300" s="11"/>
      <c r="G300" s="11"/>
      <c r="H300" s="14"/>
      <c r="I300" s="14"/>
      <c r="J300" s="14"/>
      <c r="K300" s="14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39"/>
      <c r="B301" s="40"/>
      <c r="C301" s="40"/>
      <c r="D301" s="40"/>
      <c r="E301" s="11"/>
      <c r="F301" s="11"/>
      <c r="G301" s="11"/>
      <c r="H301" s="14"/>
      <c r="I301" s="14"/>
      <c r="J301" s="14"/>
      <c r="K301" s="14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9"/>
      <c r="B302" s="40"/>
      <c r="C302" s="40"/>
      <c r="D302" s="40"/>
      <c r="E302" s="11"/>
      <c r="F302" s="11"/>
      <c r="G302" s="11"/>
      <c r="H302" s="14"/>
      <c r="I302" s="14"/>
      <c r="J302" s="14"/>
      <c r="K302" s="14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39"/>
      <c r="B303" s="40"/>
      <c r="C303" s="40"/>
      <c r="D303" s="40"/>
      <c r="E303" s="11"/>
      <c r="F303" s="11"/>
      <c r="G303" s="11"/>
      <c r="H303" s="14"/>
      <c r="I303" s="14"/>
      <c r="J303" s="14"/>
      <c r="K303" s="14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39"/>
      <c r="B304" s="40"/>
      <c r="C304" s="40"/>
      <c r="D304" s="40"/>
      <c r="E304" s="11"/>
      <c r="F304" s="11"/>
      <c r="G304" s="11"/>
      <c r="H304" s="14"/>
      <c r="I304" s="14"/>
      <c r="J304" s="14"/>
      <c r="K304" s="14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39"/>
      <c r="B305" s="40"/>
      <c r="C305" s="40"/>
      <c r="D305" s="40"/>
      <c r="E305" s="11"/>
      <c r="F305" s="11"/>
      <c r="G305" s="11"/>
      <c r="H305" s="14"/>
      <c r="I305" s="14"/>
      <c r="J305" s="14"/>
      <c r="K305" s="14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39"/>
      <c r="B306" s="40"/>
      <c r="C306" s="40"/>
      <c r="D306" s="40"/>
      <c r="E306" s="11"/>
      <c r="F306" s="11"/>
      <c r="G306" s="11"/>
      <c r="H306" s="14"/>
      <c r="I306" s="14"/>
      <c r="J306" s="14"/>
      <c r="K306" s="14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39"/>
      <c r="B307" s="40"/>
      <c r="C307" s="40"/>
      <c r="D307" s="40"/>
      <c r="E307" s="11"/>
      <c r="F307" s="11"/>
      <c r="G307" s="11"/>
      <c r="H307" s="14"/>
      <c r="I307" s="14"/>
      <c r="J307" s="14"/>
      <c r="K307" s="14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39"/>
      <c r="B308" s="40"/>
      <c r="C308" s="40"/>
      <c r="D308" s="40"/>
      <c r="E308" s="11"/>
      <c r="F308" s="11"/>
      <c r="G308" s="11"/>
      <c r="H308" s="14"/>
      <c r="I308" s="14"/>
      <c r="J308" s="14"/>
      <c r="K308" s="14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39"/>
      <c r="B309" s="40"/>
      <c r="C309" s="40"/>
      <c r="D309" s="40"/>
      <c r="E309" s="11"/>
      <c r="F309" s="11"/>
      <c r="G309" s="11"/>
      <c r="H309" s="14"/>
      <c r="I309" s="14"/>
      <c r="J309" s="14"/>
      <c r="K309" s="14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39"/>
      <c r="B310" s="40"/>
      <c r="C310" s="40"/>
      <c r="D310" s="40"/>
      <c r="E310" s="11"/>
      <c r="F310" s="11"/>
      <c r="G310" s="11"/>
      <c r="H310" s="14"/>
      <c r="I310" s="14"/>
      <c r="J310" s="14"/>
      <c r="K310" s="14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39"/>
      <c r="B311" s="40"/>
      <c r="C311" s="40"/>
      <c r="D311" s="40"/>
      <c r="E311" s="11"/>
      <c r="F311" s="11"/>
      <c r="G311" s="11"/>
      <c r="H311" s="14"/>
      <c r="I311" s="14"/>
      <c r="J311" s="14"/>
      <c r="K311" s="14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39"/>
      <c r="B312" s="40"/>
      <c r="C312" s="40"/>
      <c r="D312" s="40"/>
      <c r="E312" s="11"/>
      <c r="F312" s="11"/>
      <c r="G312" s="11"/>
      <c r="H312" s="14"/>
      <c r="I312" s="14"/>
      <c r="J312" s="14"/>
      <c r="K312" s="14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39"/>
      <c r="B313" s="40"/>
      <c r="C313" s="40"/>
      <c r="D313" s="40"/>
      <c r="E313" s="11"/>
      <c r="F313" s="11"/>
      <c r="G313" s="11"/>
      <c r="H313" s="14"/>
      <c r="I313" s="14"/>
      <c r="J313" s="14"/>
      <c r="K313" s="14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39"/>
      <c r="B314" s="40"/>
      <c r="C314" s="40"/>
      <c r="D314" s="40"/>
      <c r="E314" s="11"/>
      <c r="F314" s="11"/>
      <c r="G314" s="11"/>
      <c r="H314" s="14"/>
      <c r="I314" s="14"/>
      <c r="J314" s="14"/>
      <c r="K314" s="14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39"/>
      <c r="B315" s="40"/>
      <c r="C315" s="40"/>
      <c r="D315" s="40"/>
      <c r="E315" s="11"/>
      <c r="F315" s="11"/>
      <c r="G315" s="11"/>
      <c r="H315" s="14"/>
      <c r="I315" s="14"/>
      <c r="J315" s="14"/>
      <c r="K315" s="14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39"/>
      <c r="B316" s="40"/>
      <c r="C316" s="40"/>
      <c r="D316" s="40"/>
      <c r="E316" s="11"/>
      <c r="F316" s="11"/>
      <c r="G316" s="11"/>
      <c r="H316" s="14"/>
      <c r="I316" s="14"/>
      <c r="J316" s="14"/>
      <c r="K316" s="1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39"/>
      <c r="B317" s="40"/>
      <c r="C317" s="40"/>
      <c r="D317" s="40"/>
      <c r="E317" s="11"/>
      <c r="F317" s="11"/>
      <c r="G317" s="11"/>
      <c r="H317" s="14"/>
      <c r="I317" s="14"/>
      <c r="J317" s="14"/>
      <c r="K317" s="14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39"/>
      <c r="B318" s="40"/>
      <c r="C318" s="40"/>
      <c r="D318" s="40"/>
      <c r="E318" s="11"/>
      <c r="F318" s="11"/>
      <c r="G318" s="11"/>
      <c r="H318" s="14"/>
      <c r="I318" s="14"/>
      <c r="J318" s="14"/>
      <c r="K318" s="14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39"/>
      <c r="B319" s="40"/>
      <c r="C319" s="40"/>
      <c r="D319" s="40"/>
      <c r="E319" s="11"/>
      <c r="F319" s="11"/>
      <c r="G319" s="11"/>
      <c r="H319" s="14"/>
      <c r="I319" s="14"/>
      <c r="J319" s="14"/>
      <c r="K319" s="14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39"/>
      <c r="B320" s="40"/>
      <c r="C320" s="40"/>
      <c r="D320" s="40"/>
      <c r="E320" s="11"/>
      <c r="F320" s="11"/>
      <c r="G320" s="11"/>
      <c r="H320" s="14"/>
      <c r="I320" s="14"/>
      <c r="J320" s="14"/>
      <c r="K320" s="14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39"/>
      <c r="B321" s="40"/>
      <c r="C321" s="40"/>
      <c r="D321" s="40"/>
      <c r="E321" s="11"/>
      <c r="F321" s="11"/>
      <c r="G321" s="11"/>
      <c r="H321" s="14"/>
      <c r="I321" s="14"/>
      <c r="J321" s="14"/>
      <c r="K321" s="14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39"/>
      <c r="B322" s="40"/>
      <c r="C322" s="40"/>
      <c r="D322" s="40"/>
      <c r="E322" s="11"/>
      <c r="F322" s="11"/>
      <c r="G322" s="11"/>
      <c r="H322" s="14"/>
      <c r="I322" s="14"/>
      <c r="J322" s="14"/>
      <c r="K322" s="14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39"/>
      <c r="B323" s="40"/>
      <c r="C323" s="40"/>
      <c r="D323" s="40"/>
      <c r="E323" s="11"/>
      <c r="F323" s="11"/>
      <c r="G323" s="11"/>
      <c r="H323" s="14"/>
      <c r="I323" s="14"/>
      <c r="J323" s="14"/>
      <c r="K323" s="14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39"/>
      <c r="B324" s="40"/>
      <c r="C324" s="40"/>
      <c r="D324" s="40"/>
      <c r="E324" s="11"/>
      <c r="F324" s="11"/>
      <c r="G324" s="11"/>
      <c r="H324" s="14"/>
      <c r="I324" s="14"/>
      <c r="J324" s="14"/>
      <c r="K324" s="14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39"/>
      <c r="B325" s="40"/>
      <c r="C325" s="40"/>
      <c r="D325" s="40"/>
      <c r="E325" s="11"/>
      <c r="F325" s="11"/>
      <c r="G325" s="11"/>
      <c r="H325" s="14"/>
      <c r="I325" s="14"/>
      <c r="J325" s="14"/>
      <c r="K325" s="14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39"/>
      <c r="B326" s="40"/>
      <c r="C326" s="40"/>
      <c r="D326" s="40"/>
      <c r="E326" s="11"/>
      <c r="F326" s="11"/>
      <c r="G326" s="11"/>
      <c r="H326" s="14"/>
      <c r="I326" s="14"/>
      <c r="J326" s="14"/>
      <c r="K326" s="14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39"/>
      <c r="B327" s="40"/>
      <c r="C327" s="40"/>
      <c r="D327" s="40"/>
      <c r="E327" s="11"/>
      <c r="F327" s="11"/>
      <c r="G327" s="11"/>
      <c r="H327" s="14"/>
      <c r="I327" s="14"/>
      <c r="J327" s="14"/>
      <c r="K327" s="14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39"/>
      <c r="B328" s="40"/>
      <c r="C328" s="40"/>
      <c r="D328" s="40"/>
      <c r="E328" s="11"/>
      <c r="F328" s="11"/>
      <c r="G328" s="11"/>
      <c r="H328" s="14"/>
      <c r="I328" s="14"/>
      <c r="J328" s="14"/>
      <c r="K328" s="14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39"/>
      <c r="B329" s="40"/>
      <c r="C329" s="40"/>
      <c r="D329" s="40"/>
      <c r="E329" s="11"/>
      <c r="F329" s="11"/>
      <c r="G329" s="11"/>
      <c r="H329" s="14"/>
      <c r="I329" s="14"/>
      <c r="J329" s="14"/>
      <c r="K329" s="14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39"/>
      <c r="B330" s="40"/>
      <c r="C330" s="40"/>
      <c r="D330" s="40"/>
      <c r="E330" s="11"/>
      <c r="F330" s="11"/>
      <c r="G330" s="11"/>
      <c r="H330" s="14"/>
      <c r="I330" s="14"/>
      <c r="J330" s="14"/>
      <c r="K330" s="14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39"/>
      <c r="B331" s="40"/>
      <c r="C331" s="40"/>
      <c r="D331" s="40"/>
      <c r="E331" s="11"/>
      <c r="F331" s="11"/>
      <c r="G331" s="11"/>
      <c r="H331" s="14"/>
      <c r="I331" s="14"/>
      <c r="J331" s="14"/>
      <c r="K331" s="14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9"/>
      <c r="B332" s="40"/>
      <c r="C332" s="40"/>
      <c r="D332" s="40"/>
      <c r="E332" s="11"/>
      <c r="F332" s="11"/>
      <c r="G332" s="11"/>
      <c r="H332" s="14"/>
      <c r="I332" s="14"/>
      <c r="J332" s="14"/>
      <c r="K332" s="14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39"/>
      <c r="B333" s="40"/>
      <c r="C333" s="40"/>
      <c r="D333" s="40"/>
      <c r="E333" s="11"/>
      <c r="F333" s="11"/>
      <c r="G333" s="11"/>
      <c r="H333" s="14"/>
      <c r="I333" s="14"/>
      <c r="J333" s="14"/>
      <c r="K333" s="14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39"/>
      <c r="B334" s="40"/>
      <c r="C334" s="40"/>
      <c r="D334" s="40"/>
      <c r="E334" s="11"/>
      <c r="F334" s="11"/>
      <c r="G334" s="11"/>
      <c r="H334" s="14"/>
      <c r="I334" s="14"/>
      <c r="J334" s="14"/>
      <c r="K334" s="14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39"/>
      <c r="B335" s="40"/>
      <c r="C335" s="40"/>
      <c r="D335" s="40"/>
      <c r="E335" s="11"/>
      <c r="F335" s="11"/>
      <c r="G335" s="11"/>
      <c r="H335" s="14"/>
      <c r="I335" s="14"/>
      <c r="J335" s="14"/>
      <c r="K335" s="14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39"/>
      <c r="B336" s="40"/>
      <c r="C336" s="40"/>
      <c r="D336" s="40"/>
      <c r="E336" s="11"/>
      <c r="F336" s="11"/>
      <c r="G336" s="11"/>
      <c r="H336" s="14"/>
      <c r="I336" s="14"/>
      <c r="J336" s="14"/>
      <c r="K336" s="14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39"/>
      <c r="B337" s="40"/>
      <c r="C337" s="40"/>
      <c r="D337" s="40"/>
      <c r="E337" s="11"/>
      <c r="F337" s="11"/>
      <c r="G337" s="11"/>
      <c r="H337" s="14"/>
      <c r="I337" s="14"/>
      <c r="J337" s="14"/>
      <c r="K337" s="14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39"/>
      <c r="B338" s="40"/>
      <c r="C338" s="40"/>
      <c r="D338" s="40"/>
      <c r="E338" s="11"/>
      <c r="F338" s="11"/>
      <c r="G338" s="11"/>
      <c r="H338" s="14"/>
      <c r="I338" s="14"/>
      <c r="J338" s="14"/>
      <c r="K338" s="14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39"/>
      <c r="B339" s="40"/>
      <c r="C339" s="40"/>
      <c r="D339" s="40"/>
      <c r="E339" s="11"/>
      <c r="F339" s="11"/>
      <c r="G339" s="11"/>
      <c r="H339" s="14"/>
      <c r="I339" s="14"/>
      <c r="J339" s="14"/>
      <c r="K339" s="14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39"/>
      <c r="B340" s="40"/>
      <c r="C340" s="40"/>
      <c r="D340" s="40"/>
      <c r="E340" s="11"/>
      <c r="F340" s="11"/>
      <c r="G340" s="11"/>
      <c r="H340" s="14"/>
      <c r="I340" s="14"/>
      <c r="J340" s="14"/>
      <c r="K340" s="14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39"/>
      <c r="B341" s="40"/>
      <c r="C341" s="40"/>
      <c r="D341" s="40"/>
      <c r="E341" s="11"/>
      <c r="F341" s="11"/>
      <c r="G341" s="11"/>
      <c r="H341" s="14"/>
      <c r="I341" s="14"/>
      <c r="J341" s="14"/>
      <c r="K341" s="14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39"/>
      <c r="B342" s="40"/>
      <c r="C342" s="40"/>
      <c r="D342" s="40"/>
      <c r="E342" s="11"/>
      <c r="F342" s="11"/>
      <c r="G342" s="11"/>
      <c r="H342" s="14"/>
      <c r="I342" s="14"/>
      <c r="J342" s="14"/>
      <c r="K342" s="14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39"/>
      <c r="B343" s="40"/>
      <c r="C343" s="40"/>
      <c r="D343" s="40"/>
      <c r="E343" s="11"/>
      <c r="F343" s="11"/>
      <c r="G343" s="11"/>
      <c r="H343" s="14"/>
      <c r="I343" s="14"/>
      <c r="J343" s="14"/>
      <c r="K343" s="14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39"/>
      <c r="B344" s="40"/>
      <c r="C344" s="40"/>
      <c r="D344" s="40"/>
      <c r="E344" s="11"/>
      <c r="F344" s="11"/>
      <c r="G344" s="11"/>
      <c r="H344" s="14"/>
      <c r="I344" s="14"/>
      <c r="J344" s="14"/>
      <c r="K344" s="14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39"/>
      <c r="B345" s="40"/>
      <c r="C345" s="40"/>
      <c r="D345" s="40"/>
      <c r="E345" s="11"/>
      <c r="F345" s="11"/>
      <c r="G345" s="11"/>
      <c r="H345" s="14"/>
      <c r="I345" s="14"/>
      <c r="J345" s="14"/>
      <c r="K345" s="14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39"/>
      <c r="B346" s="40"/>
      <c r="C346" s="40"/>
      <c r="D346" s="40"/>
      <c r="E346" s="11"/>
      <c r="F346" s="11"/>
      <c r="G346" s="11"/>
      <c r="H346" s="14"/>
      <c r="I346" s="14"/>
      <c r="J346" s="14"/>
      <c r="K346" s="14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39"/>
      <c r="B347" s="40"/>
      <c r="C347" s="40"/>
      <c r="D347" s="40"/>
      <c r="E347" s="11"/>
      <c r="F347" s="11"/>
      <c r="G347" s="11"/>
      <c r="H347" s="14"/>
      <c r="I347" s="14"/>
      <c r="J347" s="14"/>
      <c r="K347" s="14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39"/>
      <c r="B348" s="40"/>
      <c r="C348" s="40"/>
      <c r="D348" s="40"/>
      <c r="E348" s="11"/>
      <c r="F348" s="11"/>
      <c r="G348" s="11"/>
      <c r="H348" s="14"/>
      <c r="I348" s="14"/>
      <c r="J348" s="14"/>
      <c r="K348" s="14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39"/>
      <c r="B349" s="40"/>
      <c r="C349" s="40"/>
      <c r="D349" s="40"/>
      <c r="E349" s="11"/>
      <c r="F349" s="11"/>
      <c r="G349" s="11"/>
      <c r="H349" s="14"/>
      <c r="I349" s="14"/>
      <c r="J349" s="14"/>
      <c r="K349" s="14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39"/>
      <c r="B350" s="40"/>
      <c r="C350" s="40"/>
      <c r="D350" s="40"/>
      <c r="E350" s="11"/>
      <c r="F350" s="11"/>
      <c r="G350" s="11"/>
      <c r="H350" s="14"/>
      <c r="I350" s="14"/>
      <c r="J350" s="14"/>
      <c r="K350" s="14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39"/>
      <c r="B351" s="40"/>
      <c r="C351" s="40"/>
      <c r="D351" s="40"/>
      <c r="E351" s="11"/>
      <c r="F351" s="11"/>
      <c r="G351" s="11"/>
      <c r="H351" s="14"/>
      <c r="I351" s="14"/>
      <c r="J351" s="14"/>
      <c r="K351" s="14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39"/>
      <c r="B352" s="40"/>
      <c r="C352" s="40"/>
      <c r="D352" s="40"/>
      <c r="E352" s="11"/>
      <c r="F352" s="11"/>
      <c r="G352" s="11"/>
      <c r="H352" s="14"/>
      <c r="I352" s="14"/>
      <c r="J352" s="14"/>
      <c r="K352" s="14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39"/>
      <c r="B353" s="40"/>
      <c r="C353" s="40"/>
      <c r="D353" s="40"/>
      <c r="E353" s="11"/>
      <c r="F353" s="11"/>
      <c r="G353" s="11"/>
      <c r="H353" s="14"/>
      <c r="I353" s="14"/>
      <c r="J353" s="14"/>
      <c r="K353" s="14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39"/>
      <c r="B354" s="40"/>
      <c r="C354" s="40"/>
      <c r="D354" s="40"/>
      <c r="E354" s="11"/>
      <c r="F354" s="11"/>
      <c r="G354" s="11"/>
      <c r="H354" s="14"/>
      <c r="I354" s="14"/>
      <c r="J354" s="14"/>
      <c r="K354" s="14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39"/>
      <c r="B355" s="40"/>
      <c r="C355" s="40"/>
      <c r="D355" s="40"/>
      <c r="E355" s="11"/>
      <c r="F355" s="11"/>
      <c r="G355" s="11"/>
      <c r="H355" s="14"/>
      <c r="I355" s="14"/>
      <c r="J355" s="14"/>
      <c r="K355" s="14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39"/>
      <c r="B356" s="40"/>
      <c r="C356" s="40"/>
      <c r="D356" s="40"/>
      <c r="E356" s="11"/>
      <c r="F356" s="11"/>
      <c r="G356" s="11"/>
      <c r="H356" s="14"/>
      <c r="I356" s="14"/>
      <c r="J356" s="14"/>
      <c r="K356" s="14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39"/>
      <c r="B357" s="40"/>
      <c r="C357" s="40"/>
      <c r="D357" s="40"/>
      <c r="E357" s="11"/>
      <c r="F357" s="11"/>
      <c r="G357" s="11"/>
      <c r="H357" s="14"/>
      <c r="I357" s="14"/>
      <c r="J357" s="14"/>
      <c r="K357" s="14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39"/>
      <c r="B358" s="40"/>
      <c r="C358" s="40"/>
      <c r="D358" s="40"/>
      <c r="E358" s="11"/>
      <c r="F358" s="11"/>
      <c r="G358" s="11"/>
      <c r="H358" s="14"/>
      <c r="I358" s="14"/>
      <c r="J358" s="14"/>
      <c r="K358" s="14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39"/>
      <c r="B359" s="40"/>
      <c r="C359" s="40"/>
      <c r="D359" s="40"/>
      <c r="E359" s="11"/>
      <c r="F359" s="11"/>
      <c r="G359" s="11"/>
      <c r="H359" s="14"/>
      <c r="I359" s="14"/>
      <c r="J359" s="14"/>
      <c r="K359" s="14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39"/>
      <c r="B360" s="40"/>
      <c r="C360" s="40"/>
      <c r="D360" s="40"/>
      <c r="E360" s="11"/>
      <c r="F360" s="11"/>
      <c r="G360" s="11"/>
      <c r="H360" s="14"/>
      <c r="I360" s="14"/>
      <c r="J360" s="14"/>
      <c r="K360" s="14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39"/>
      <c r="B361" s="40"/>
      <c r="C361" s="40"/>
      <c r="D361" s="40"/>
      <c r="E361" s="11"/>
      <c r="F361" s="11"/>
      <c r="G361" s="11"/>
      <c r="H361" s="14"/>
      <c r="I361" s="14"/>
      <c r="J361" s="14"/>
      <c r="K361" s="14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39"/>
      <c r="B362" s="40"/>
      <c r="C362" s="40"/>
      <c r="D362" s="40"/>
      <c r="E362" s="11"/>
      <c r="F362" s="11"/>
      <c r="G362" s="11"/>
      <c r="H362" s="14"/>
      <c r="I362" s="14"/>
      <c r="J362" s="14"/>
      <c r="K362" s="14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39"/>
      <c r="B363" s="40"/>
      <c r="C363" s="40"/>
      <c r="D363" s="40"/>
      <c r="E363" s="11"/>
      <c r="F363" s="11"/>
      <c r="G363" s="11"/>
      <c r="H363" s="14"/>
      <c r="I363" s="14"/>
      <c r="J363" s="14"/>
      <c r="K363" s="14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39"/>
      <c r="B364" s="40"/>
      <c r="C364" s="40"/>
      <c r="D364" s="40"/>
      <c r="E364" s="11"/>
      <c r="F364" s="11"/>
      <c r="G364" s="11"/>
      <c r="H364" s="14"/>
      <c r="I364" s="14"/>
      <c r="J364" s="14"/>
      <c r="K364" s="14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39"/>
      <c r="B365" s="40"/>
      <c r="C365" s="40"/>
      <c r="D365" s="40"/>
      <c r="E365" s="11"/>
      <c r="F365" s="11"/>
      <c r="G365" s="11"/>
      <c r="H365" s="14"/>
      <c r="I365" s="14"/>
      <c r="J365" s="14"/>
      <c r="K365" s="14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39"/>
      <c r="B366" s="40"/>
      <c r="C366" s="40"/>
      <c r="D366" s="40"/>
      <c r="E366" s="11"/>
      <c r="F366" s="11"/>
      <c r="G366" s="11"/>
      <c r="H366" s="14"/>
      <c r="I366" s="14"/>
      <c r="J366" s="14"/>
      <c r="K366" s="14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39"/>
      <c r="B367" s="40"/>
      <c r="C367" s="40"/>
      <c r="D367" s="40"/>
      <c r="E367" s="11"/>
      <c r="F367" s="11"/>
      <c r="G367" s="11"/>
      <c r="H367" s="14"/>
      <c r="I367" s="14"/>
      <c r="J367" s="14"/>
      <c r="K367" s="14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39"/>
      <c r="B368" s="40"/>
      <c r="C368" s="40"/>
      <c r="D368" s="40"/>
      <c r="E368" s="11"/>
      <c r="F368" s="11"/>
      <c r="G368" s="11"/>
      <c r="H368" s="14"/>
      <c r="I368" s="14"/>
      <c r="J368" s="14"/>
      <c r="K368" s="14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39"/>
      <c r="B369" s="40"/>
      <c r="C369" s="40"/>
      <c r="D369" s="40"/>
      <c r="E369" s="11"/>
      <c r="F369" s="11"/>
      <c r="G369" s="11"/>
      <c r="H369" s="14"/>
      <c r="I369" s="14"/>
      <c r="J369" s="14"/>
      <c r="K369" s="14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39"/>
      <c r="B370" s="40"/>
      <c r="C370" s="40"/>
      <c r="D370" s="40"/>
      <c r="E370" s="11"/>
      <c r="F370" s="11"/>
      <c r="G370" s="11"/>
      <c r="H370" s="14"/>
      <c r="I370" s="14"/>
      <c r="J370" s="14"/>
      <c r="K370" s="14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39"/>
      <c r="B371" s="40"/>
      <c r="C371" s="40"/>
      <c r="D371" s="40"/>
      <c r="E371" s="11"/>
      <c r="F371" s="11"/>
      <c r="G371" s="11"/>
      <c r="H371" s="14"/>
      <c r="I371" s="14"/>
      <c r="J371" s="14"/>
      <c r="K371" s="14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39"/>
      <c r="B372" s="40"/>
      <c r="C372" s="40"/>
      <c r="D372" s="40"/>
      <c r="E372" s="11"/>
      <c r="F372" s="11"/>
      <c r="G372" s="11"/>
      <c r="H372" s="14"/>
      <c r="I372" s="14"/>
      <c r="J372" s="14"/>
      <c r="K372" s="14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39"/>
      <c r="B373" s="40"/>
      <c r="C373" s="40"/>
      <c r="D373" s="40"/>
      <c r="E373" s="11"/>
      <c r="F373" s="11"/>
      <c r="G373" s="11"/>
      <c r="H373" s="14"/>
      <c r="I373" s="14"/>
      <c r="J373" s="14"/>
      <c r="K373" s="14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39"/>
      <c r="B374" s="40"/>
      <c r="C374" s="40"/>
      <c r="D374" s="40"/>
      <c r="E374" s="11"/>
      <c r="F374" s="11"/>
      <c r="G374" s="11"/>
      <c r="H374" s="14"/>
      <c r="I374" s="14"/>
      <c r="J374" s="14"/>
      <c r="K374" s="14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39"/>
      <c r="B375" s="40"/>
      <c r="C375" s="40"/>
      <c r="D375" s="40"/>
      <c r="E375" s="11"/>
      <c r="F375" s="11"/>
      <c r="G375" s="11"/>
      <c r="H375" s="14"/>
      <c r="I375" s="14"/>
      <c r="J375" s="14"/>
      <c r="K375" s="14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39"/>
      <c r="B376" s="40"/>
      <c r="C376" s="40"/>
      <c r="D376" s="40"/>
      <c r="E376" s="11"/>
      <c r="F376" s="11"/>
      <c r="G376" s="11"/>
      <c r="H376" s="14"/>
      <c r="I376" s="14"/>
      <c r="J376" s="14"/>
      <c r="K376" s="14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39"/>
      <c r="B377" s="40"/>
      <c r="C377" s="40"/>
      <c r="D377" s="40"/>
      <c r="E377" s="11"/>
      <c r="F377" s="11"/>
      <c r="G377" s="11"/>
      <c r="H377" s="14"/>
      <c r="I377" s="14"/>
      <c r="J377" s="14"/>
      <c r="K377" s="14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39"/>
      <c r="B378" s="40"/>
      <c r="C378" s="40"/>
      <c r="D378" s="40"/>
      <c r="E378" s="11"/>
      <c r="F378" s="11"/>
      <c r="G378" s="11"/>
      <c r="H378" s="14"/>
      <c r="I378" s="14"/>
      <c r="J378" s="14"/>
      <c r="K378" s="14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39"/>
      <c r="B379" s="40"/>
      <c r="C379" s="40"/>
      <c r="D379" s="40"/>
      <c r="E379" s="11"/>
      <c r="F379" s="11"/>
      <c r="G379" s="11"/>
      <c r="H379" s="14"/>
      <c r="I379" s="14"/>
      <c r="J379" s="14"/>
      <c r="K379" s="14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39"/>
      <c r="B380" s="40"/>
      <c r="C380" s="40"/>
      <c r="D380" s="40"/>
      <c r="E380" s="11"/>
      <c r="F380" s="11"/>
      <c r="G380" s="11"/>
      <c r="H380" s="14"/>
      <c r="I380" s="14"/>
      <c r="J380" s="14"/>
      <c r="K380" s="14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39"/>
      <c r="B381" s="40"/>
      <c r="C381" s="40"/>
      <c r="D381" s="40"/>
      <c r="E381" s="11"/>
      <c r="F381" s="11"/>
      <c r="G381" s="11"/>
      <c r="H381" s="14"/>
      <c r="I381" s="14"/>
      <c r="J381" s="14"/>
      <c r="K381" s="14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39"/>
      <c r="B382" s="40"/>
      <c r="C382" s="40"/>
      <c r="D382" s="40"/>
      <c r="E382" s="11"/>
      <c r="F382" s="11"/>
      <c r="G382" s="11"/>
      <c r="H382" s="14"/>
      <c r="I382" s="14"/>
      <c r="J382" s="14"/>
      <c r="K382" s="14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39"/>
      <c r="B383" s="40"/>
      <c r="C383" s="40"/>
      <c r="D383" s="40"/>
      <c r="E383" s="11"/>
      <c r="F383" s="11"/>
      <c r="G383" s="11"/>
      <c r="H383" s="14"/>
      <c r="I383" s="14"/>
      <c r="J383" s="14"/>
      <c r="K383" s="14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39"/>
      <c r="B384" s="40"/>
      <c r="C384" s="40"/>
      <c r="D384" s="40"/>
      <c r="E384" s="11"/>
      <c r="F384" s="11"/>
      <c r="G384" s="11"/>
      <c r="H384" s="14"/>
      <c r="I384" s="14"/>
      <c r="J384" s="14"/>
      <c r="K384" s="14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39"/>
      <c r="B385" s="40"/>
      <c r="C385" s="40"/>
      <c r="D385" s="40"/>
      <c r="E385" s="11"/>
      <c r="F385" s="11"/>
      <c r="G385" s="11"/>
      <c r="H385" s="14"/>
      <c r="I385" s="14"/>
      <c r="J385" s="14"/>
      <c r="K385" s="14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39"/>
      <c r="B386" s="40"/>
      <c r="C386" s="40"/>
      <c r="D386" s="40"/>
      <c r="E386" s="11"/>
      <c r="F386" s="11"/>
      <c r="G386" s="11"/>
      <c r="H386" s="14"/>
      <c r="I386" s="14"/>
      <c r="J386" s="14"/>
      <c r="K386" s="14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39"/>
      <c r="B387" s="40"/>
      <c r="C387" s="40"/>
      <c r="D387" s="40"/>
      <c r="E387" s="11"/>
      <c r="F387" s="11"/>
      <c r="G387" s="11"/>
      <c r="H387" s="14"/>
      <c r="I387" s="14"/>
      <c r="J387" s="14"/>
      <c r="K387" s="14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39"/>
      <c r="B388" s="40"/>
      <c r="C388" s="40"/>
      <c r="D388" s="40"/>
      <c r="E388" s="11"/>
      <c r="F388" s="11"/>
      <c r="G388" s="11"/>
      <c r="H388" s="14"/>
      <c r="I388" s="14"/>
      <c r="J388" s="14"/>
      <c r="K388" s="14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39"/>
      <c r="B389" s="40"/>
      <c r="C389" s="40"/>
      <c r="D389" s="40"/>
      <c r="E389" s="11"/>
      <c r="F389" s="11"/>
      <c r="G389" s="11"/>
      <c r="H389" s="14"/>
      <c r="I389" s="14"/>
      <c r="J389" s="14"/>
      <c r="K389" s="14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39"/>
      <c r="B390" s="40"/>
      <c r="C390" s="40"/>
      <c r="D390" s="40"/>
      <c r="E390" s="11"/>
      <c r="F390" s="11"/>
      <c r="G390" s="11"/>
      <c r="H390" s="14"/>
      <c r="I390" s="14"/>
      <c r="J390" s="14"/>
      <c r="K390" s="14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39"/>
      <c r="B391" s="40"/>
      <c r="C391" s="40"/>
      <c r="D391" s="40"/>
      <c r="E391" s="11"/>
      <c r="F391" s="11"/>
      <c r="G391" s="11"/>
      <c r="H391" s="14"/>
      <c r="I391" s="14"/>
      <c r="J391" s="14"/>
      <c r="K391" s="14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39"/>
      <c r="B392" s="40"/>
      <c r="C392" s="40"/>
      <c r="D392" s="40"/>
      <c r="E392" s="11"/>
      <c r="F392" s="11"/>
      <c r="G392" s="11"/>
      <c r="H392" s="14"/>
      <c r="I392" s="14"/>
      <c r="J392" s="14"/>
      <c r="K392" s="14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39"/>
      <c r="B393" s="40"/>
      <c r="C393" s="40"/>
      <c r="D393" s="40"/>
      <c r="E393" s="11"/>
      <c r="F393" s="11"/>
      <c r="G393" s="11"/>
      <c r="H393" s="14"/>
      <c r="I393" s="14"/>
      <c r="J393" s="14"/>
      <c r="K393" s="14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39"/>
      <c r="B394" s="40"/>
      <c r="C394" s="40"/>
      <c r="D394" s="40"/>
      <c r="E394" s="11"/>
      <c r="F394" s="11"/>
      <c r="G394" s="11"/>
      <c r="H394" s="14"/>
      <c r="I394" s="14"/>
      <c r="J394" s="14"/>
      <c r="K394" s="14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39"/>
      <c r="B395" s="40"/>
      <c r="C395" s="40"/>
      <c r="D395" s="40"/>
      <c r="E395" s="11"/>
      <c r="F395" s="11"/>
      <c r="G395" s="11"/>
      <c r="H395" s="14"/>
      <c r="I395" s="14"/>
      <c r="J395" s="14"/>
      <c r="K395" s="14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39"/>
      <c r="B396" s="40"/>
      <c r="C396" s="40"/>
      <c r="D396" s="40"/>
      <c r="E396" s="11"/>
      <c r="F396" s="11"/>
      <c r="G396" s="11"/>
      <c r="H396" s="14"/>
      <c r="I396" s="14"/>
      <c r="J396" s="14"/>
      <c r="K396" s="14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39"/>
      <c r="B397" s="40"/>
      <c r="C397" s="40"/>
      <c r="D397" s="40"/>
      <c r="E397" s="11"/>
      <c r="F397" s="11"/>
      <c r="G397" s="11"/>
      <c r="H397" s="14"/>
      <c r="I397" s="14"/>
      <c r="J397" s="14"/>
      <c r="K397" s="14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39"/>
      <c r="B398" s="40"/>
      <c r="C398" s="40"/>
      <c r="D398" s="40"/>
      <c r="E398" s="11"/>
      <c r="F398" s="11"/>
      <c r="G398" s="11"/>
      <c r="H398" s="14"/>
      <c r="I398" s="14"/>
      <c r="J398" s="14"/>
      <c r="K398" s="14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39"/>
      <c r="B399" s="40"/>
      <c r="C399" s="40"/>
      <c r="D399" s="40"/>
      <c r="E399" s="11"/>
      <c r="F399" s="11"/>
      <c r="G399" s="11"/>
      <c r="H399" s="14"/>
      <c r="I399" s="14"/>
      <c r="J399" s="14"/>
      <c r="K399" s="14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39"/>
      <c r="B400" s="40"/>
      <c r="C400" s="40"/>
      <c r="D400" s="40"/>
      <c r="E400" s="11"/>
      <c r="F400" s="11"/>
      <c r="G400" s="11"/>
      <c r="H400" s="14"/>
      <c r="I400" s="14"/>
      <c r="J400" s="14"/>
      <c r="K400" s="14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39"/>
      <c r="B401" s="40"/>
      <c r="C401" s="40"/>
      <c r="D401" s="40"/>
      <c r="E401" s="11"/>
      <c r="F401" s="11"/>
      <c r="G401" s="11"/>
      <c r="H401" s="14"/>
      <c r="I401" s="14"/>
      <c r="J401" s="14"/>
      <c r="K401" s="14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39"/>
      <c r="B402" s="40"/>
      <c r="C402" s="40"/>
      <c r="D402" s="40"/>
      <c r="E402" s="11"/>
      <c r="F402" s="11"/>
      <c r="G402" s="11"/>
      <c r="H402" s="14"/>
      <c r="I402" s="14"/>
      <c r="J402" s="14"/>
      <c r="K402" s="14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39"/>
      <c r="B403" s="40"/>
      <c r="C403" s="40"/>
      <c r="D403" s="40"/>
      <c r="E403" s="11"/>
      <c r="F403" s="11"/>
      <c r="G403" s="11"/>
      <c r="H403" s="14"/>
      <c r="I403" s="14"/>
      <c r="J403" s="14"/>
      <c r="K403" s="14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39"/>
      <c r="B404" s="40"/>
      <c r="C404" s="40"/>
      <c r="D404" s="40"/>
      <c r="E404" s="11"/>
      <c r="F404" s="11"/>
      <c r="G404" s="11"/>
      <c r="H404" s="14"/>
      <c r="I404" s="14"/>
      <c r="J404" s="14"/>
      <c r="K404" s="14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39"/>
      <c r="B405" s="40"/>
      <c r="C405" s="40"/>
      <c r="D405" s="40"/>
      <c r="E405" s="11"/>
      <c r="F405" s="11"/>
      <c r="G405" s="11"/>
      <c r="H405" s="14"/>
      <c r="I405" s="14"/>
      <c r="J405" s="14"/>
      <c r="K405" s="14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39"/>
      <c r="B406" s="40"/>
      <c r="C406" s="40"/>
      <c r="D406" s="40"/>
      <c r="E406" s="11"/>
      <c r="F406" s="11"/>
      <c r="G406" s="11"/>
      <c r="H406" s="14"/>
      <c r="I406" s="14"/>
      <c r="J406" s="14"/>
      <c r="K406" s="14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39"/>
      <c r="B407" s="40"/>
      <c r="C407" s="40"/>
      <c r="D407" s="40"/>
      <c r="E407" s="11"/>
      <c r="F407" s="11"/>
      <c r="G407" s="11"/>
      <c r="H407" s="14"/>
      <c r="I407" s="14"/>
      <c r="J407" s="14"/>
      <c r="K407" s="14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39"/>
      <c r="B408" s="40"/>
      <c r="C408" s="40"/>
      <c r="D408" s="40"/>
      <c r="E408" s="11"/>
      <c r="F408" s="11"/>
      <c r="G408" s="11"/>
      <c r="H408" s="14"/>
      <c r="I408" s="14"/>
      <c r="J408" s="14"/>
      <c r="K408" s="14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39"/>
      <c r="B409" s="40"/>
      <c r="C409" s="40"/>
      <c r="D409" s="40"/>
      <c r="E409" s="11"/>
      <c r="F409" s="11"/>
      <c r="G409" s="11"/>
      <c r="H409" s="14"/>
      <c r="I409" s="14"/>
      <c r="J409" s="14"/>
      <c r="K409" s="14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39"/>
      <c r="B410" s="40"/>
      <c r="C410" s="40"/>
      <c r="D410" s="40"/>
      <c r="E410" s="11"/>
      <c r="F410" s="11"/>
      <c r="G410" s="11"/>
      <c r="H410" s="14"/>
      <c r="I410" s="14"/>
      <c r="J410" s="14"/>
      <c r="K410" s="14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39"/>
      <c r="B411" s="40"/>
      <c r="C411" s="40"/>
      <c r="D411" s="40"/>
      <c r="E411" s="11"/>
      <c r="F411" s="11"/>
      <c r="G411" s="11"/>
      <c r="H411" s="14"/>
      <c r="I411" s="14"/>
      <c r="J411" s="14"/>
      <c r="K411" s="14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39"/>
      <c r="B412" s="40"/>
      <c r="C412" s="40"/>
      <c r="D412" s="40"/>
      <c r="E412" s="11"/>
      <c r="F412" s="11"/>
      <c r="G412" s="11"/>
      <c r="H412" s="14"/>
      <c r="I412" s="14"/>
      <c r="J412" s="14"/>
      <c r="K412" s="14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39"/>
      <c r="B413" s="40"/>
      <c r="C413" s="40"/>
      <c r="D413" s="40"/>
      <c r="E413" s="11"/>
      <c r="F413" s="11"/>
      <c r="G413" s="11"/>
      <c r="H413" s="14"/>
      <c r="I413" s="14"/>
      <c r="J413" s="14"/>
      <c r="K413" s="14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39"/>
      <c r="B414" s="40"/>
      <c r="C414" s="40"/>
      <c r="D414" s="40"/>
      <c r="E414" s="11"/>
      <c r="F414" s="11"/>
      <c r="G414" s="11"/>
      <c r="H414" s="14"/>
      <c r="I414" s="14"/>
      <c r="J414" s="14"/>
      <c r="K414" s="14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39"/>
      <c r="B415" s="40"/>
      <c r="C415" s="40"/>
      <c r="D415" s="40"/>
      <c r="E415" s="11"/>
      <c r="F415" s="11"/>
      <c r="G415" s="11"/>
      <c r="H415" s="14"/>
      <c r="I415" s="14"/>
      <c r="J415" s="14"/>
      <c r="K415" s="14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39"/>
      <c r="B416" s="40"/>
      <c r="C416" s="40"/>
      <c r="D416" s="40"/>
      <c r="E416" s="11"/>
      <c r="F416" s="11"/>
      <c r="G416" s="11"/>
      <c r="H416" s="14"/>
      <c r="I416" s="14"/>
      <c r="J416" s="14"/>
      <c r="K416" s="14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39"/>
      <c r="B417" s="40"/>
      <c r="C417" s="40"/>
      <c r="D417" s="40"/>
      <c r="E417" s="11"/>
      <c r="F417" s="11"/>
      <c r="G417" s="11"/>
      <c r="H417" s="14"/>
      <c r="I417" s="14"/>
      <c r="J417" s="14"/>
      <c r="K417" s="14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39"/>
      <c r="B418" s="40"/>
      <c r="C418" s="40"/>
      <c r="D418" s="40"/>
      <c r="E418" s="11"/>
      <c r="F418" s="11"/>
      <c r="G418" s="11"/>
      <c r="H418" s="14"/>
      <c r="I418" s="14"/>
      <c r="J418" s="14"/>
      <c r="K418" s="14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39"/>
      <c r="B419" s="40"/>
      <c r="C419" s="40"/>
      <c r="D419" s="40"/>
      <c r="E419" s="11"/>
      <c r="F419" s="11"/>
      <c r="G419" s="11"/>
      <c r="H419" s="14"/>
      <c r="I419" s="14"/>
      <c r="J419" s="14"/>
      <c r="K419" s="14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39"/>
      <c r="B420" s="40"/>
      <c r="C420" s="40"/>
      <c r="D420" s="40"/>
      <c r="E420" s="11"/>
      <c r="F420" s="11"/>
      <c r="G420" s="11"/>
      <c r="H420" s="14"/>
      <c r="I420" s="14"/>
      <c r="J420" s="14"/>
      <c r="K420" s="14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39"/>
      <c r="B421" s="40"/>
      <c r="C421" s="40"/>
      <c r="D421" s="40"/>
      <c r="E421" s="11"/>
      <c r="F421" s="11"/>
      <c r="G421" s="11"/>
      <c r="H421" s="14"/>
      <c r="I421" s="14"/>
      <c r="J421" s="14"/>
      <c r="K421" s="14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39"/>
      <c r="B422" s="40"/>
      <c r="C422" s="40"/>
      <c r="D422" s="40"/>
      <c r="E422" s="11"/>
      <c r="F422" s="11"/>
      <c r="G422" s="11"/>
      <c r="H422" s="14"/>
      <c r="I422" s="14"/>
      <c r="J422" s="14"/>
      <c r="K422" s="14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39"/>
      <c r="B423" s="40"/>
      <c r="C423" s="40"/>
      <c r="D423" s="40"/>
      <c r="E423" s="11"/>
      <c r="F423" s="11"/>
      <c r="G423" s="11"/>
      <c r="H423" s="14"/>
      <c r="I423" s="14"/>
      <c r="J423" s="14"/>
      <c r="K423" s="14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39"/>
      <c r="B424" s="40"/>
      <c r="C424" s="40"/>
      <c r="D424" s="40"/>
      <c r="E424" s="11"/>
      <c r="F424" s="11"/>
      <c r="G424" s="11"/>
      <c r="H424" s="14"/>
      <c r="I424" s="14"/>
      <c r="J424" s="14"/>
      <c r="K424" s="14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39"/>
      <c r="B425" s="40"/>
      <c r="C425" s="40"/>
      <c r="D425" s="40"/>
      <c r="E425" s="11"/>
      <c r="F425" s="11"/>
      <c r="G425" s="11"/>
      <c r="H425" s="14"/>
      <c r="I425" s="14"/>
      <c r="J425" s="14"/>
      <c r="K425" s="14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39"/>
      <c r="B426" s="40"/>
      <c r="C426" s="40"/>
      <c r="D426" s="40"/>
      <c r="E426" s="11"/>
      <c r="F426" s="11"/>
      <c r="G426" s="11"/>
      <c r="H426" s="14"/>
      <c r="I426" s="14"/>
      <c r="J426" s="14"/>
      <c r="K426" s="14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39"/>
      <c r="B427" s="40"/>
      <c r="C427" s="40"/>
      <c r="D427" s="40"/>
      <c r="E427" s="11"/>
      <c r="F427" s="11"/>
      <c r="G427" s="11"/>
      <c r="H427" s="14"/>
      <c r="I427" s="14"/>
      <c r="J427" s="14"/>
      <c r="K427" s="14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39"/>
      <c r="B428" s="40"/>
      <c r="C428" s="40"/>
      <c r="D428" s="40"/>
      <c r="E428" s="11"/>
      <c r="F428" s="11"/>
      <c r="G428" s="11"/>
      <c r="H428" s="14"/>
      <c r="I428" s="14"/>
      <c r="J428" s="14"/>
      <c r="K428" s="14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39"/>
      <c r="B429" s="40"/>
      <c r="C429" s="40"/>
      <c r="D429" s="40"/>
      <c r="E429" s="11"/>
      <c r="F429" s="11"/>
      <c r="G429" s="11"/>
      <c r="H429" s="14"/>
      <c r="I429" s="14"/>
      <c r="J429" s="14"/>
      <c r="K429" s="14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39"/>
      <c r="B430" s="40"/>
      <c r="C430" s="40"/>
      <c r="D430" s="40"/>
      <c r="E430" s="11"/>
      <c r="F430" s="11"/>
      <c r="G430" s="11"/>
      <c r="H430" s="14"/>
      <c r="I430" s="14"/>
      <c r="J430" s="14"/>
      <c r="K430" s="14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39"/>
      <c r="B431" s="40"/>
      <c r="C431" s="40"/>
      <c r="D431" s="40"/>
      <c r="E431" s="11"/>
      <c r="F431" s="11"/>
      <c r="G431" s="11"/>
      <c r="H431" s="14"/>
      <c r="I431" s="14"/>
      <c r="J431" s="14"/>
      <c r="K431" s="14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39"/>
      <c r="B432" s="40"/>
      <c r="C432" s="40"/>
      <c r="D432" s="40"/>
      <c r="E432" s="11"/>
      <c r="F432" s="11"/>
      <c r="G432" s="11"/>
      <c r="H432" s="14"/>
      <c r="I432" s="14"/>
      <c r="J432" s="14"/>
      <c r="K432" s="14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39"/>
      <c r="B433" s="40"/>
      <c r="C433" s="40"/>
      <c r="D433" s="40"/>
      <c r="E433" s="11"/>
      <c r="F433" s="11"/>
      <c r="G433" s="11"/>
      <c r="H433" s="14"/>
      <c r="I433" s="14"/>
      <c r="J433" s="14"/>
      <c r="K433" s="14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39"/>
      <c r="B434" s="40"/>
      <c r="C434" s="40"/>
      <c r="D434" s="40"/>
      <c r="E434" s="11"/>
      <c r="F434" s="11"/>
      <c r="G434" s="11"/>
      <c r="H434" s="14"/>
      <c r="I434" s="14"/>
      <c r="J434" s="14"/>
      <c r="K434" s="14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39"/>
      <c r="B435" s="40"/>
      <c r="C435" s="40"/>
      <c r="D435" s="40"/>
      <c r="E435" s="11"/>
      <c r="F435" s="11"/>
      <c r="G435" s="11"/>
      <c r="H435" s="14"/>
      <c r="I435" s="14"/>
      <c r="J435" s="14"/>
      <c r="K435" s="14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39"/>
      <c r="B436" s="40"/>
      <c r="C436" s="40"/>
      <c r="D436" s="40"/>
      <c r="E436" s="11"/>
      <c r="F436" s="11"/>
      <c r="G436" s="11"/>
      <c r="H436" s="14"/>
      <c r="I436" s="14"/>
      <c r="J436" s="14"/>
      <c r="K436" s="14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39"/>
      <c r="B437" s="40"/>
      <c r="C437" s="40"/>
      <c r="D437" s="40"/>
      <c r="E437" s="11"/>
      <c r="F437" s="11"/>
      <c r="G437" s="11"/>
      <c r="H437" s="14"/>
      <c r="I437" s="14"/>
      <c r="J437" s="14"/>
      <c r="K437" s="14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39"/>
      <c r="B438" s="40"/>
      <c r="C438" s="40"/>
      <c r="D438" s="40"/>
      <c r="E438" s="11"/>
      <c r="F438" s="11"/>
      <c r="G438" s="11"/>
      <c r="H438" s="14"/>
      <c r="I438" s="14"/>
      <c r="J438" s="14"/>
      <c r="K438" s="14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39"/>
      <c r="B439" s="40"/>
      <c r="C439" s="40"/>
      <c r="D439" s="40"/>
      <c r="E439" s="11"/>
      <c r="F439" s="11"/>
      <c r="G439" s="11"/>
      <c r="H439" s="14"/>
      <c r="I439" s="14"/>
      <c r="J439" s="14"/>
      <c r="K439" s="14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39"/>
      <c r="B440" s="40"/>
      <c r="C440" s="40"/>
      <c r="D440" s="40"/>
      <c r="E440" s="11"/>
      <c r="F440" s="11"/>
      <c r="G440" s="11"/>
      <c r="H440" s="14"/>
      <c r="I440" s="14"/>
      <c r="J440" s="14"/>
      <c r="K440" s="14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39"/>
      <c r="B441" s="40"/>
      <c r="C441" s="40"/>
      <c r="D441" s="40"/>
      <c r="E441" s="11"/>
      <c r="F441" s="11"/>
      <c r="G441" s="11"/>
      <c r="H441" s="14"/>
      <c r="I441" s="14"/>
      <c r="J441" s="14"/>
      <c r="K441" s="14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39"/>
      <c r="B442" s="40"/>
      <c r="C442" s="40"/>
      <c r="D442" s="40"/>
      <c r="E442" s="11"/>
      <c r="F442" s="11"/>
      <c r="G442" s="11"/>
      <c r="H442" s="14"/>
      <c r="I442" s="14"/>
      <c r="J442" s="14"/>
      <c r="K442" s="14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</sheetData>
  <conditionalFormatting sqref="A4:D442">
    <cfRule type="cellIs" dxfId="0" priority="1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86"/>
    <col customWidth="1" min="3" max="3" width="9.29"/>
    <col customWidth="1" min="4" max="4" width="27.71"/>
    <col customWidth="1" min="5" max="5" width="10.43"/>
    <col customWidth="1" min="6" max="6" width="9.0"/>
    <col customWidth="1" min="7" max="7" width="15.43"/>
    <col customWidth="1" min="8" max="8" width="6.57"/>
    <col customWidth="1" min="9" max="9" width="10.29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5" t="s">
        <v>14</v>
      </c>
      <c r="C1" s="6"/>
      <c r="D1" s="7"/>
      <c r="E1" s="8" t="s">
        <v>4</v>
      </c>
      <c r="F1" s="11">
        <f>SUM(C:C)</f>
        <v>-51661.014</v>
      </c>
      <c r="G1" s="13" t="s">
        <v>6</v>
      </c>
      <c r="H1" s="14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303</v>
      </c>
      <c r="C2" s="6"/>
      <c r="D2" s="7"/>
      <c r="E2" s="21" t="s">
        <v>8</v>
      </c>
      <c r="F2" s="22">
        <v>114717.43</v>
      </c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21">
        <f>F1+F2</f>
        <v>63056.416</v>
      </c>
      <c r="G3" s="30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IF(ROWS(A$4:A4)&lt;=$B$2,INDEX(data!C$3:C$16128,SMALL(IF(data!$D$3:$D$16128='Люлин'!$B$1,ROW(data!$A$3:$A$16128)-ROW($A$3)+1),ROWS(A$4:A4))),"")</f>
        <v>44557</v>
      </c>
      <c r="B4" s="19" t="str">
        <f t="array" ref="B4">IF(ROWS(B$4:B4)&lt;=$B$2,INDEX(data!A$3:A$16128,SMALL(IF(data!$D$3:$D$16128='Люлин'!$B$1,ROW(data!$A$3:$A$16128)-ROW($A$3)+1),ROWS(B$4:B4))),"")</f>
        <v>MYPOS Бакалия</v>
      </c>
      <c r="C4" s="19">
        <f t="array" ref="C4">IF(ROWS(C$4:C4)&lt;=$B$2,INDEX(data!B$3:B$16128,SMALL(IF(data!$D$3:$D$16128='Люлин'!$B$1,ROW(data!$A$3:$A$16128)-ROW($A$3)+1),ROWS(C$4:C4))),"")</f>
        <v>-0.01</v>
      </c>
      <c r="D4" s="7" t="str">
        <f t="array" ref="D4">IF(ROWS(D$4:D4)&lt;=$B$2,INDEX(data!E$3:E$16128,SMALL(IF(data!$D$3:$D$16128='Люлин'!$B$1,ROW(data!$A$3:$A$16128)-ROW($A$3)+1),ROWS(D$4:D4))),"")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IF(ROWS(A$4:A5)&lt;=$B$2,INDEX(data!C$3:C$16128,SMALL(IF(data!$D$3:$D$16128='Люлин'!$B$1,ROW(data!$A$3:$A$16128)-ROW($A$3)+1),ROWS(A$4:A5))),"")</f>
        <v>46025</v>
      </c>
      <c r="B5" s="19" t="str">
        <f t="array" ref="B5">IF(ROWS(B$4:B5)&lt;=$B$2,INDEX(data!A$3:A$16128,SMALL(IF(data!$D$3:$D$16128='Люлин'!$B$1,ROW(data!$A$3:$A$16128)-ROW($A$3)+1),ROWS(B$4:B5))),"")</f>
        <v>ЗАЕМ</v>
      </c>
      <c r="C5" s="19">
        <f t="array" ref="C5">IF(ROWS(C$4:C5)&lt;=$B$2,INDEX(data!B$3:B$16128,SMALL(IF(data!$D$3:$D$16128='Люлин'!$B$1,ROW(data!$A$3:$A$16128)-ROW($A$3)+1),ROWS(C$4:C5))),"")</f>
        <v>17370.17</v>
      </c>
      <c r="D5" s="7" t="str">
        <f t="array" ref="D5">IF(ROWS(D$4:D5)&lt;=$B$2,INDEX(data!E$3:E$16128,SMALL(IF(data!$D$3:$D$16128='Люлин'!$B$1,ROW(data!$A$3:$A$16128)-ROW($A$3)+1),ROWS(D$4:D5))),"")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IF(ROWS(A$4:A6)&lt;=$B$2,INDEX(data!C$3:C$16128,SMALL(IF(data!$D$3:$D$16128='Люлин'!$B$1,ROW(data!$A$3:$A$16128)-ROW($A$3)+1),ROWS(A$4:A6))),"")</f>
        <v>46027</v>
      </c>
      <c r="B6" s="19" t="str">
        <f t="array" ref="B6">IF(ROWS(B$4:B6)&lt;=$B$2,INDEX(data!A$3:A$16128,SMALL(IF(data!$D$3:$D$16128='Люлин'!$B$1,ROW(data!$A$3:$A$16128)-ROW($A$3)+1),ROWS(B$4:B6))),"")</f>
        <v>КАСОВА КНИГА</v>
      </c>
      <c r="C6" s="19">
        <f t="array" ref="C6">IF(ROWS(C$4:C6)&lt;=$B$2,INDEX(data!B$3:B$16128,SMALL(IF(data!$D$3:$D$16128='Люлин'!$B$1,ROW(data!$A$3:$A$16128)-ROW($A$3)+1),ROWS(C$4:C6))),"")</f>
        <v>-3834.69</v>
      </c>
      <c r="D6" s="7" t="str">
        <f t="array" ref="D6">IF(ROWS(D$4:D6)&lt;=$B$2,INDEX(data!E$3:E$16128,SMALL(IF(data!$D$3:$D$16128='Люлин'!$B$1,ROW(data!$A$3:$A$16128)-ROW($A$3)+1),ROWS(D$4:D6))),"")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IF(ROWS(A$4:A7)&lt;=$B$2,INDEX(data!C$3:C$16128,SMALL(IF(data!$D$3:$D$16128='Люлин'!$B$1,ROW(data!$A$3:$A$16128)-ROW($A$3)+1),ROWS(A$4:A7))),"")</f>
        <v>46027</v>
      </c>
      <c r="B7" s="19" t="str">
        <f t="array" ref="B7">IF(ROWS(B$4:B7)&lt;=$B$2,INDEX(data!A$3:A$16128,SMALL(IF(data!$D$3:$D$16128='Люлин'!$B$1,ROW(data!$A$3:$A$16128)-ROW($A$3)+1),ROWS(B$4:B7))),"")</f>
        <v>MYPOS Бакалия</v>
      </c>
      <c r="C7" s="19">
        <f t="array" ref="C7">IF(ROWS(C$4:C7)&lt;=$B$2,INDEX(data!B$3:B$16128,SMALL(IF(data!$D$3:$D$16128='Люлин'!$B$1,ROW(data!$A$3:$A$16128)-ROW($A$3)+1),ROWS(C$4:C7))),"")</f>
        <v>-1896.62</v>
      </c>
      <c r="D7" s="7" t="str">
        <f t="array" ref="D7">IF(ROWS(D$4:D7)&lt;=$B$2,INDEX(data!E$3:E$16128,SMALL(IF(data!$D$3:$D$16128='Люлин'!$B$1,ROW(data!$A$3:$A$16128)-ROW($A$3)+1),ROWS(D$4:D7))),"")</f>
        <v/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IF(ROWS(A$4:A8)&lt;=$B$2,INDEX(data!C$3:C$16128,SMALL(IF(data!$D$3:$D$16128='Люлин'!$B$1,ROW(data!$A$3:$A$16128)-ROW($A$3)+1),ROWS(A$4:A8))),"")</f>
        <v>46027</v>
      </c>
      <c r="B8" s="19" t="str">
        <f t="array" ref="B8">IF(ROWS(B$4:B8)&lt;=$B$2,INDEX(data!A$3:A$16128,SMALL(IF(data!$D$3:$D$16128='Люлин'!$B$1,ROW(data!$A$3:$A$16128)-ROW($A$3)+1),ROWS(B$4:B8))),"")</f>
        <v>КАСОВА КНИГА</v>
      </c>
      <c r="C8" s="19">
        <f t="array" ref="C8">IF(ROWS(C$4:C8)&lt;=$B$2,INDEX(data!B$3:B$16128,SMALL(IF(data!$D$3:$D$16128='Люлин'!$B$1,ROW(data!$A$3:$A$16128)-ROW($A$3)+1),ROWS(C$4:C8))),"")</f>
        <v>-2556.46</v>
      </c>
      <c r="D8" s="7" t="str">
        <f t="array" ref="D8">IF(ROWS(D$4:D8)&lt;=$B$2,INDEX(data!E$3:E$16128,SMALL(IF(data!$D$3:$D$16128='Люлин'!$B$1,ROW(data!$A$3:$A$16128)-ROW($A$3)+1),ROWS(D$4:D8))),"")</f>
        <v/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IF(ROWS(A$4:A9)&lt;=$B$2,INDEX(data!C$3:C$16128,SMALL(IF(data!$D$3:$D$16128='Люлин'!$B$1,ROW(data!$A$3:$A$16128)-ROW($A$3)+1),ROWS(A$4:A9))),"")</f>
        <v>46027</v>
      </c>
      <c r="B9" s="19" t="str">
        <f t="array" ref="B9">IF(ROWS(B$4:B9)&lt;=$B$2,INDEX(data!A$3:A$16128,SMALL(IF(data!$D$3:$D$16128='Люлин'!$B$1,ROW(data!$A$3:$A$16128)-ROW($A$3)+1),ROWS(B$4:B9))),"")</f>
        <v>MYPOS Бакалия</v>
      </c>
      <c r="C9" s="19">
        <f t="array" ref="C9">IF(ROWS(C$4:C9)&lt;=$B$2,INDEX(data!B$3:B$16128,SMALL(IF(data!$D$3:$D$16128='Люлин'!$B$1,ROW(data!$A$3:$A$16128)-ROW($A$3)+1),ROWS(C$4:C9))),"")</f>
        <v>-3375.12</v>
      </c>
      <c r="D9" s="7" t="str">
        <f t="array" ref="D9">IF(ROWS(D$4:D9)&lt;=$B$2,INDEX(data!E$3:E$16128,SMALL(IF(data!$D$3:$D$16128='Люлин'!$B$1,ROW(data!$A$3:$A$16128)-ROW($A$3)+1),ROWS(D$4:D9))),"")</f>
        <v>29-31,12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IF(ROWS(A$4:A10)&lt;=$B$2,INDEX(data!C$3:C$16128,SMALL(IF(data!$D$3:$D$16128='Люлин'!$B$1,ROW(data!$A$3:$A$16128)-ROW($A$3)+1),ROWS(A$4:A10))),"")</f>
        <v>46027</v>
      </c>
      <c r="B10" s="19" t="str">
        <f t="array" ref="B10">IF(ROWS(B$4:B10)&lt;=$B$2,INDEX(data!A$3:A$16128,SMALL(IF(data!$D$3:$D$16128='Люлин'!$B$1,ROW(data!$A$3:$A$16128)-ROW($A$3)+1),ROWS(B$4:B10))),"")</f>
        <v>КАСОВА КНИГА</v>
      </c>
      <c r="C10" s="19">
        <f t="array" ref="C10">IF(ROWS(C$4:C10)&lt;=$B$2,INDEX(data!B$3:B$16128,SMALL(IF(data!$D$3:$D$16128='Люлин'!$B$1,ROW(data!$A$3:$A$16128)-ROW($A$3)+1),ROWS(C$4:C10))),"")</f>
        <v>7554</v>
      </c>
      <c r="D10" s="7" t="str">
        <f t="array" ref="D10">IF(ROWS(D$4:D10)&lt;=$B$2,INDEX(data!E$3:E$16128,SMALL(IF(data!$D$3:$D$16128='Люлин'!$B$1,ROW(data!$A$3:$A$16128)-ROW($A$3)+1),ROWS(D$4:D10))),"")</f>
        <v>евро</v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IF(ROWS(A$4:A11)&lt;=$B$2,INDEX(data!C$3:C$16128,SMALL(IF(data!$D$3:$D$16128='Люлин'!$B$1,ROW(data!$A$3:$A$16128)-ROW($A$3)+1),ROWS(A$4:A11))),"")</f>
        <v>46028</v>
      </c>
      <c r="B11" s="19" t="str">
        <f t="array" ref="B11">IF(ROWS(B$4:B11)&lt;=$B$2,INDEX(data!A$3:A$16128,SMALL(IF(data!$D$3:$D$16128='Люлин'!$B$1,ROW(data!$A$3:$A$16128)-ROW($A$3)+1),ROWS(B$4:B11))),"")</f>
        <v>КАСОВА КНИГА</v>
      </c>
      <c r="C11" s="19">
        <f t="array" ref="C11">IF(ROWS(C$4:C11)&lt;=$B$2,INDEX(data!B$3:B$16128,SMALL(IF(data!$D$3:$D$16128='Люлин'!$B$1,ROW(data!$A$3:$A$16128)-ROW($A$3)+1),ROWS(C$4:C11))),"")</f>
        <v>-1022.58</v>
      </c>
      <c r="D11" s="7" t="str">
        <f t="array" ref="D11">IF(ROWS(D$4:D11)&lt;=$B$2,INDEX(data!E$3:E$16128,SMALL(IF(data!$D$3:$D$16128='Люлин'!$B$1,ROW(data!$A$3:$A$16128)-ROW($A$3)+1),ROWS(D$4:D11))),"")</f>
        <v/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IF(ROWS(A$4:A12)&lt;=$B$2,INDEX(data!C$3:C$16128,SMALL(IF(data!$D$3:$D$16128='Люлин'!$B$1,ROW(data!$A$3:$A$16128)-ROW($A$3)+1),ROWS(A$4:A12))),"")</f>
        <v>46028</v>
      </c>
      <c r="B12" s="19" t="str">
        <f t="array" ref="B12">IF(ROWS(B$4:B12)&lt;=$B$2,INDEX(data!A$3:A$16128,SMALL(IF(data!$D$3:$D$16128='Люлин'!$B$1,ROW(data!$A$3:$A$16128)-ROW($A$3)+1),ROWS(B$4:B12))),"")</f>
        <v>каса ФИКТИВНА</v>
      </c>
      <c r="C12" s="19">
        <f t="array" ref="C12">IF(ROWS(C$4:C12)&lt;=$B$2,INDEX(data!B$3:B$16128,SMALL(IF(data!$D$3:$D$16128='Люлин'!$B$1,ROW(data!$A$3:$A$16128)-ROW($A$3)+1),ROWS(C$4:C12))),"")</f>
        <v>-200</v>
      </c>
      <c r="D12" s="7" t="str">
        <f t="array" ref="D12">IF(ROWS(D$4:D12)&lt;=$B$2,INDEX(data!E$3:E$16128,SMALL(IF(data!$D$3:$D$16128='Люлин'!$B$1,ROW(data!$A$3:$A$16128)-ROW($A$3)+1),ROWS(D$4:D12))),"")</f>
        <v>Спартак от премиите</v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IF(ROWS(A$4:A13)&lt;=$B$2,INDEX(data!C$3:C$16128,SMALL(IF(data!$D$3:$D$16128='Люлин'!$B$1,ROW(data!$A$3:$A$16128)-ROW($A$3)+1),ROWS(A$4:A13))),"")</f>
        <v>46029</v>
      </c>
      <c r="B13" s="19" t="str">
        <f t="array" ref="B13">IF(ROWS(B$4:B13)&lt;=$B$2,INDEX(data!A$3:A$16128,SMALL(IF(data!$D$3:$D$16128='Люлин'!$B$1,ROW(data!$A$3:$A$16128)-ROW($A$3)+1),ROWS(B$4:B13))),"")</f>
        <v>КАСОВА КНИГА</v>
      </c>
      <c r="C13" s="19">
        <f t="array" ref="C13">IF(ROWS(C$4:C13)&lt;=$B$2,INDEX(data!B$3:B$16128,SMALL(IF(data!$D$3:$D$16128='Люлин'!$B$1,ROW(data!$A$3:$A$16128)-ROW($A$3)+1),ROWS(C$4:C13))),"")</f>
        <v>-511.29</v>
      </c>
      <c r="D13" s="7" t="str">
        <f t="array" ref="D13">IF(ROWS(D$4:D13)&lt;=$B$2,INDEX(data!E$3:E$16128,SMALL(IF(data!$D$3:$D$16128='Люлин'!$B$1,ROW(data!$A$3:$A$16128)-ROW($A$3)+1),ROWS(D$4:D13))),"")</f>
        <v/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IF(ROWS(A$4:A14)&lt;=$B$2,INDEX(data!C$3:C$16128,SMALL(IF(data!$D$3:$D$16128='Люлин'!$B$1,ROW(data!$A$3:$A$16128)-ROW($A$3)+1),ROWS(A$4:A14))),"")</f>
        <v>46029</v>
      </c>
      <c r="B14" s="19" t="str">
        <f t="array" ref="B14">IF(ROWS(B$4:B14)&lt;=$B$2,INDEX(data!A$3:A$16128,SMALL(IF(data!$D$3:$D$16128='Люлин'!$B$1,ROW(data!$A$3:$A$16128)-ROW($A$3)+1),ROWS(B$4:B14))),"")</f>
        <v>каса ФИКТИВНА</v>
      </c>
      <c r="C14" s="19">
        <f t="array" ref="C14">IF(ROWS(C$4:C14)&lt;=$B$2,INDEX(data!B$3:B$16128,SMALL(IF(data!$D$3:$D$16128='Люлин'!$B$1,ROW(data!$A$3:$A$16128)-ROW($A$3)+1),ROWS(C$4:C14))),"")</f>
        <v>-75</v>
      </c>
      <c r="D14" s="7" t="str">
        <f t="array" ref="D14">IF(ROWS(D$4:D14)&lt;=$B$2,INDEX(data!E$3:E$16128,SMALL(IF(data!$D$3:$D$16128='Люлин'!$B$1,ROW(data!$A$3:$A$16128)-ROW($A$3)+1),ROWS(D$4:D14))),"")</f>
        <v>пазар Тихомир</v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IF(ROWS(A$4:A15)&lt;=$B$2,INDEX(data!C$3:C$16128,SMALL(IF(data!$D$3:$D$16128='Люлин'!$B$1,ROW(data!$A$3:$A$16128)-ROW($A$3)+1),ROWS(A$4:A15))),"")</f>
        <v>46030</v>
      </c>
      <c r="B15" s="19" t="str">
        <f t="array" ref="B15">IF(ROWS(B$4:B15)&lt;=$B$2,INDEX(data!A$3:A$16128,SMALL(IF(data!$D$3:$D$16128='Люлин'!$B$1,ROW(data!$A$3:$A$16128)-ROW($A$3)+1),ROWS(B$4:B15))),"")</f>
        <v>КАСОВА КНИГА</v>
      </c>
      <c r="C15" s="19">
        <f t="array" ref="C15">IF(ROWS(C$4:C15)&lt;=$B$2,INDEX(data!B$3:B$16128,SMALL(IF(data!$D$3:$D$16128='Люлин'!$B$1,ROW(data!$A$3:$A$16128)-ROW($A$3)+1),ROWS(C$4:C15))),"")</f>
        <v>-511.29</v>
      </c>
      <c r="D15" s="7" t="str">
        <f t="array" ref="D15">IF(ROWS(D$4:D15)&lt;=$B$2,INDEX(data!E$3:E$16128,SMALL(IF(data!$D$3:$D$16128='Люлин'!$B$1,ROW(data!$A$3:$A$16128)-ROW($A$3)+1),ROWS(D$4:D15))),"")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IF(ROWS(A$4:A16)&lt;=$B$2,INDEX(data!C$3:C$16128,SMALL(IF(data!$D$3:$D$16128='Люлин'!$B$1,ROW(data!$A$3:$A$16128)-ROW($A$3)+1),ROWS(A$4:A16))),"")</f>
        <v>46030</v>
      </c>
      <c r="B16" s="19" t="str">
        <f t="array" ref="B16">IF(ROWS(B$4:B16)&lt;=$B$2,INDEX(data!A$3:A$16128,SMALL(IF(data!$D$3:$D$16128='Люлин'!$B$1,ROW(data!$A$3:$A$16128)-ROW($A$3)+1),ROWS(B$4:B16))),"")</f>
        <v>Каса ВАУЧЕРИ</v>
      </c>
      <c r="C16" s="19">
        <f t="array" ref="C16">IF(ROWS(C$4:C16)&lt;=$B$2,INDEX(data!B$3:B$16128,SMALL(IF(data!$D$3:$D$16128='Люлин'!$B$1,ROW(data!$A$3:$A$16128)-ROW($A$3)+1),ROWS(C$4:C16))),"")</f>
        <v>-120.15</v>
      </c>
      <c r="D16" s="7" t="str">
        <f t="array" ref="D16">IF(ROWS(D$4:D16)&lt;=$B$2,INDEX(data!E$3:E$16128,SMALL(IF(data!$D$3:$D$16128='Люлин'!$B$1,ROW(data!$A$3:$A$16128)-ROW($A$3)+1),ROWS(D$4:D16))),"")</f>
        <v>за 29.12</v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IF(ROWS(A$4:A17)&lt;=$B$2,INDEX(data!C$3:C$16128,SMALL(IF(data!$D$3:$D$16128='Люлин'!$B$1,ROW(data!$A$3:$A$16128)-ROW($A$3)+1),ROWS(A$4:A17))),"")</f>
        <v>46030</v>
      </c>
      <c r="B17" s="19" t="str">
        <f t="array" ref="B17">IF(ROWS(B$4:B17)&lt;=$B$2,INDEX(data!A$3:A$16128,SMALL(IF(data!$D$3:$D$16128='Люлин'!$B$1,ROW(data!$A$3:$A$16128)-ROW($A$3)+1),ROWS(B$4:B17))),"")</f>
        <v>каса ФИКТИВНА</v>
      </c>
      <c r="C17" s="19">
        <f t="array" ref="C17">IF(ROWS(C$4:C17)&lt;=$B$2,INDEX(data!B$3:B$16128,SMALL(IF(data!$D$3:$D$16128='Люлин'!$B$1,ROW(data!$A$3:$A$16128)-ROW($A$3)+1),ROWS(C$4:C17))),"")</f>
        <v>-99.5</v>
      </c>
      <c r="D17" s="7" t="str">
        <f t="array" ref="D17">IF(ROWS(D$4:D17)&lt;=$B$2,INDEX(data!E$3:E$16128,SMALL(IF(data!$D$3:$D$16128='Люлин'!$B$1,ROW(data!$A$3:$A$16128)-ROW($A$3)+1),ROWS(D$4:D17))),"")</f>
        <v>пазар Тихомир</v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IF(ROWS(A$4:A18)&lt;=$B$2,INDEX(data!C$3:C$16128,SMALL(IF(data!$D$3:$D$16128='Люлин'!$B$1,ROW(data!$A$3:$A$16128)-ROW($A$3)+1),ROWS(A$4:A18))),"")</f>
        <v>46031</v>
      </c>
      <c r="B18" s="19" t="str">
        <f t="array" ref="B18">IF(ROWS(B$4:B18)&lt;=$B$2,INDEX(data!A$3:A$16128,SMALL(IF(data!$D$3:$D$16128='Люлин'!$B$1,ROW(data!$A$3:$A$16128)-ROW($A$3)+1),ROWS(B$4:B18))),"")</f>
        <v>каса ФИКТИВНА</v>
      </c>
      <c r="C18" s="19">
        <f t="array" ref="C18">IF(ROWS(C$4:C18)&lt;=$B$2,INDEX(data!B$3:B$16128,SMALL(IF(data!$D$3:$D$16128='Люлин'!$B$1,ROW(data!$A$3:$A$16128)-ROW($A$3)+1),ROWS(C$4:C18))),"")</f>
        <v>-200</v>
      </c>
      <c r="D18" s="7" t="str">
        <f t="array" ref="D18">IF(ROWS(D$4:D18)&lt;=$B$2,INDEX(data!E$3:E$16128,SMALL(IF(data!$D$3:$D$16128='Люлин'!$B$1,ROW(data!$A$3:$A$16128)-ROW($A$3)+1),ROWS(D$4:D18))),"")</f>
        <v>Спартак от премиите</v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IF(ROWS(A$4:A19)&lt;=$B$2,INDEX(data!C$3:C$16128,SMALL(IF(data!$D$3:$D$16128='Люлин'!$B$1,ROW(data!$A$3:$A$16128)-ROW($A$3)+1),ROWS(A$4:A19))),"")</f>
        <v>46034</v>
      </c>
      <c r="B19" s="19" t="str">
        <f t="array" ref="B19">IF(ROWS(B$4:B19)&lt;=$B$2,INDEX(data!A$3:A$16128,SMALL(IF(data!$D$3:$D$16128='Люлин'!$B$1,ROW(data!$A$3:$A$16128)-ROW($A$3)+1),ROWS(B$4:B19))),"")</f>
        <v>КАСОВА КНИГА</v>
      </c>
      <c r="C19" s="19">
        <f t="array" ref="C19">IF(ROWS(C$4:C19)&lt;=$B$2,INDEX(data!B$3:B$16128,SMALL(IF(data!$D$3:$D$16128='Люлин'!$B$1,ROW(data!$A$3:$A$16128)-ROW($A$3)+1),ROWS(C$4:C19))),"")</f>
        <v>-1022.58</v>
      </c>
      <c r="D19" s="7" t="str">
        <f t="array" ref="D19">IF(ROWS(D$4:D19)&lt;=$B$2,INDEX(data!E$3:E$16128,SMALL(IF(data!$D$3:$D$16128='Люлин'!$B$1,ROW(data!$A$3:$A$16128)-ROW($A$3)+1),ROWS(D$4:D19))),"")</f>
        <v>1022,58 от 10.01</v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IF(ROWS(A$4:A20)&lt;=$B$2,INDEX(data!C$3:C$16128,SMALL(IF(data!$D$3:$D$16128='Люлин'!$B$1,ROW(data!$A$3:$A$16128)-ROW($A$3)+1),ROWS(A$4:A20))),"")</f>
        <v>46034</v>
      </c>
      <c r="B20" s="19" t="str">
        <f t="array" ref="B20">IF(ROWS(B$4:B20)&lt;=$B$2,INDEX(data!A$3:A$16128,SMALL(IF(data!$D$3:$D$16128='Люлин'!$B$1,ROW(data!$A$3:$A$16128)-ROW($A$3)+1),ROWS(B$4:B20))),"")</f>
        <v>КАСОВА КНИГА</v>
      </c>
      <c r="C20" s="19">
        <f t="array" ref="C20">IF(ROWS(C$4:C20)&lt;=$B$2,INDEX(data!B$3:B$16128,SMALL(IF(data!$D$3:$D$16128='Люлин'!$B$1,ROW(data!$A$3:$A$16128)-ROW($A$3)+1),ROWS(C$4:C20))),"")</f>
        <v>-1255.65</v>
      </c>
      <c r="D20" s="7" t="str">
        <f t="array" ref="D20">IF(ROWS(D$4:D20)&lt;=$B$2,INDEX(data!E$3:E$16128,SMALL(IF(data!$D$3:$D$16128='Люлин'!$B$1,ROW(data!$A$3:$A$16128)-ROW($A$3)+1),ROWS(D$4:D20))),"")</f>
        <v>1255,65 от 10.01</v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IF(ROWS(A$4:A21)&lt;=$B$2,INDEX(data!C$3:C$16128,SMALL(IF(data!$D$3:$D$16128='Люлин'!$B$1,ROW(data!$A$3:$A$16128)-ROW($A$3)+1),ROWS(A$4:A21))),"")</f>
        <v>46034</v>
      </c>
      <c r="B21" s="19" t="str">
        <f t="array" ref="B21">IF(ROWS(B$4:B21)&lt;=$B$2,INDEX(data!A$3:A$16128,SMALL(IF(data!$D$3:$D$16128='Люлин'!$B$1,ROW(data!$A$3:$A$16128)-ROW($A$3)+1),ROWS(B$4:B21))),"")</f>
        <v>каса ФИКТИВНА</v>
      </c>
      <c r="C21" s="19">
        <f t="array" ref="C21">IF(ROWS(C$4:C21)&lt;=$B$2,INDEX(data!B$3:B$16128,SMALL(IF(data!$D$3:$D$16128='Люлин'!$B$1,ROW(data!$A$3:$A$16128)-ROW($A$3)+1),ROWS(C$4:C21))),"")</f>
        <v>-102.3</v>
      </c>
      <c r="D21" s="7" t="str">
        <f t="array" ref="D21">IF(ROWS(D$4:D21)&lt;=$B$2,INDEX(data!E$3:E$16128,SMALL(IF(data!$D$3:$D$16128='Люлин'!$B$1,ROW(data!$A$3:$A$16128)-ROW($A$3)+1),ROWS(D$4:D21))),"")</f>
        <v>Стаси от заплатата</v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IF(ROWS(A$4:A22)&lt;=$B$2,INDEX(data!C$3:C$16128,SMALL(IF(data!$D$3:$D$16128='Люлин'!$B$1,ROW(data!$A$3:$A$16128)-ROW($A$3)+1),ROWS(A$4:A22))),"")</f>
        <v>46034</v>
      </c>
      <c r="B22" s="19" t="str">
        <f t="array" ref="B22">IF(ROWS(B$4:B22)&lt;=$B$2,INDEX(data!A$3:A$16128,SMALL(IF(data!$D$3:$D$16128='Люлин'!$B$1,ROW(data!$A$3:$A$16128)-ROW($A$3)+1),ROWS(B$4:B22))),"")</f>
        <v>каса ФИКТИВНА</v>
      </c>
      <c r="C22" s="19">
        <f t="array" ref="C22">IF(ROWS(C$4:C22)&lt;=$B$2,INDEX(data!B$3:B$16128,SMALL(IF(data!$D$3:$D$16128='Люлин'!$B$1,ROW(data!$A$3:$A$16128)-ROW($A$3)+1),ROWS(C$4:C22))),"")</f>
        <v>-124.5</v>
      </c>
      <c r="D22" s="7" t="str">
        <f t="array" ref="D22">IF(ROWS(D$4:D22)&lt;=$B$2,INDEX(data!E$3:E$16128,SMALL(IF(data!$D$3:$D$16128='Люлин'!$B$1,ROW(data!$A$3:$A$16128)-ROW($A$3)+1),ROWS(D$4:D22))),"")</f>
        <v>пазар Тихомир</v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IF(ROWS(A$4:A23)&lt;=$B$2,INDEX(data!C$3:C$16128,SMALL(IF(data!$D$3:$D$16128='Люлин'!$B$1,ROW(data!$A$3:$A$16128)-ROW($A$3)+1),ROWS(A$4:A23))),"")</f>
        <v>46035</v>
      </c>
      <c r="B23" s="19" t="str">
        <f t="array" ref="B23">IF(ROWS(B$4:B23)&lt;=$B$2,INDEX(data!A$3:A$16128,SMALL(IF(data!$D$3:$D$16128='Люлин'!$B$1,ROW(data!$A$3:$A$16128)-ROW($A$3)+1),ROWS(B$4:B23))),"")</f>
        <v>MYPOS Бакалия</v>
      </c>
      <c r="C23" s="19">
        <f t="array" ref="C23">IF(ROWS(C$4:C23)&lt;=$B$2,INDEX(data!B$3:B$16128,SMALL(IF(data!$D$3:$D$16128='Люлин'!$B$1,ROW(data!$A$3:$A$16128)-ROW($A$3)+1),ROWS(C$4:C23))),"")</f>
        <v>-6927.1</v>
      </c>
      <c r="D23" s="7" t="str">
        <f t="array" ref="D23">IF(ROWS(D$4:D23)&lt;=$B$2,INDEX(data!E$3:E$16128,SMALL(IF(data!$D$3:$D$16128='Люлин'!$B$1,ROW(data!$A$3:$A$16128)-ROW($A$3)+1),ROWS(D$4:D23))),"")</f>
        <v/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IF(ROWS(A$4:A24)&lt;=$B$2,INDEX(data!C$3:C$16128,SMALL(IF(data!$D$3:$D$16128='Люлин'!$B$1,ROW(data!$A$3:$A$16128)-ROW($A$3)+1),ROWS(A$4:A24))),"")</f>
        <v>46035</v>
      </c>
      <c r="B24" s="19" t="str">
        <f t="array" ref="B24">IF(ROWS(B$4:B24)&lt;=$B$2,INDEX(data!A$3:A$16128,SMALL(IF(data!$D$3:$D$16128='Люлин'!$B$1,ROW(data!$A$3:$A$16128)-ROW($A$3)+1),ROWS(B$4:B24))),"")</f>
        <v>КАСОВА КНИГА</v>
      </c>
      <c r="C24" s="19">
        <f t="array" ref="C24">IF(ROWS(C$4:C24)&lt;=$B$2,INDEX(data!B$3:B$16128,SMALL(IF(data!$D$3:$D$16128='Люлин'!$B$1,ROW(data!$A$3:$A$16128)-ROW($A$3)+1),ROWS(C$4:C24))),"")</f>
        <v>-2000</v>
      </c>
      <c r="D24" s="7" t="str">
        <f t="array" ref="D24">IF(ROWS(D$4:D24)&lt;=$B$2,INDEX(data!E$3:E$16128,SMALL(IF(data!$D$3:$D$16128='Люлин'!$B$1,ROW(data!$A$3:$A$16128)-ROW($A$3)+1),ROWS(D$4:D24))),"")</f>
        <v/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IF(ROWS(A$4:A25)&lt;=$B$2,INDEX(data!C$3:C$16128,SMALL(IF(data!$D$3:$D$16128='Люлин'!$B$1,ROW(data!$A$3:$A$16128)-ROW($A$3)+1),ROWS(A$4:A25))),"")</f>
        <v>46035</v>
      </c>
      <c r="B25" s="19" t="str">
        <f t="array" ref="B25">IF(ROWS(B$4:B25)&lt;=$B$2,INDEX(data!A$3:A$16128,SMALL(IF(data!$D$3:$D$16128='Люлин'!$B$1,ROW(data!$A$3:$A$16128)-ROW($A$3)+1),ROWS(B$4:B25))),"")</f>
        <v>каса ФИКТИВНА</v>
      </c>
      <c r="C25" s="19">
        <f t="array" ref="C25">IF(ROWS(C$4:C25)&lt;=$B$2,INDEX(data!B$3:B$16128,SMALL(IF(data!$D$3:$D$16128='Люлин'!$B$1,ROW(data!$A$3:$A$16128)-ROW($A$3)+1),ROWS(C$4:C25))),"")</f>
        <v>-12.5</v>
      </c>
      <c r="D25" s="7" t="str">
        <f t="array" ref="D25">IF(ROWS(D$4:D25)&lt;=$B$2,INDEX(data!E$3:E$16128,SMALL(IF(data!$D$3:$D$16128='Люлин'!$B$1,ROW(data!$A$3:$A$16128)-ROW($A$3)+1),ROWS(D$4:D25))),"")</f>
        <v>пазар Милена</v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IF(ROWS(A$4:A26)&lt;=$B$2,INDEX(data!C$3:C$16128,SMALL(IF(data!$D$3:$D$16128='Люлин'!$B$1,ROW(data!$A$3:$A$16128)-ROW($A$3)+1),ROWS(A$4:A26))),"")</f>
        <v>46035</v>
      </c>
      <c r="B26" s="19" t="str">
        <f t="array" ref="B26">IF(ROWS(B$4:B26)&lt;=$B$2,INDEX(data!A$3:A$16128,SMALL(IF(data!$D$3:$D$16128='Люлин'!$B$1,ROW(data!$A$3:$A$16128)-ROW($A$3)+1),ROWS(B$4:B26))),"")</f>
        <v>каса ФИКТИВНА</v>
      </c>
      <c r="C26" s="19">
        <f t="array" ref="C26">IF(ROWS(C$4:C26)&lt;=$B$2,INDEX(data!B$3:B$16128,SMALL(IF(data!$D$3:$D$16128='Люлин'!$B$1,ROW(data!$A$3:$A$16128)-ROW($A$3)+1),ROWS(C$4:C26))),"")</f>
        <v>-58.6</v>
      </c>
      <c r="D26" s="7" t="str">
        <f t="array" ref="D26">IF(ROWS(D$4:D26)&lt;=$B$2,INDEX(data!E$3:E$16128,SMALL(IF(data!$D$3:$D$16128='Люлин'!$B$1,ROW(data!$A$3:$A$16128)-ROW($A$3)+1),ROWS(D$4:D26))),"")</f>
        <v>пазар Тихомир</v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IF(ROWS(A$4:A27)&lt;=$B$2,INDEX(data!C$3:C$16128,SMALL(IF(data!$D$3:$D$16128='Люлин'!$B$1,ROW(data!$A$3:$A$16128)-ROW($A$3)+1),ROWS(A$4:A27))),"")</f>
        <v>46036</v>
      </c>
      <c r="B27" s="19" t="str">
        <f t="array" ref="B27">IF(ROWS(B$4:B27)&lt;=$B$2,INDEX(data!A$3:A$16128,SMALL(IF(data!$D$3:$D$16128='Люлин'!$B$1,ROW(data!$A$3:$A$16128)-ROW($A$3)+1),ROWS(B$4:B27))),"")</f>
        <v>каса ФИКТИВНА</v>
      </c>
      <c r="C27" s="19">
        <f t="array" ref="C27">IF(ROWS(C$4:C27)&lt;=$B$2,INDEX(data!B$3:B$16128,SMALL(IF(data!$D$3:$D$16128='Люлин'!$B$1,ROW(data!$A$3:$A$16128)-ROW($A$3)+1),ROWS(C$4:C27))),"")</f>
        <v>-86</v>
      </c>
      <c r="D27" s="7" t="str">
        <f t="array" ref="D27">IF(ROWS(D$4:D27)&lt;=$B$2,INDEX(data!E$3:E$16128,SMALL(IF(data!$D$3:$D$16128='Люлин'!$B$1,ROW(data!$A$3:$A$16128)-ROW($A$3)+1),ROWS(D$4:D27))),"")</f>
        <v>пазар Тихомир</v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IF(ROWS(A$4:A28)&lt;=$B$2,INDEX(data!C$3:C$16128,SMALL(IF(data!$D$3:$D$16128='Люлин'!$B$1,ROW(data!$A$3:$A$16128)-ROW($A$3)+1),ROWS(A$4:A28))),"")</f>
        <v>46037</v>
      </c>
      <c r="B28" s="19" t="str">
        <f t="array" ref="B28">IF(ROWS(B$4:B28)&lt;=$B$2,INDEX(data!A$3:A$16128,SMALL(IF(data!$D$3:$D$16128='Люлин'!$B$1,ROW(data!$A$3:$A$16128)-ROW($A$3)+1),ROWS(B$4:B28))),"")</f>
        <v>каса ФИКТИВНА</v>
      </c>
      <c r="C28" s="19">
        <f t="array" ref="C28">IF(ROWS(C$4:C28)&lt;=$B$2,INDEX(data!B$3:B$16128,SMALL(IF(data!$D$3:$D$16128='Люлин'!$B$1,ROW(data!$A$3:$A$16128)-ROW($A$3)+1),ROWS(C$4:C28))),"")</f>
        <v>-69</v>
      </c>
      <c r="D28" s="7" t="str">
        <f t="array" ref="D28">IF(ROWS(D$4:D28)&lt;=$B$2,INDEX(data!E$3:E$16128,SMALL(IF(data!$D$3:$D$16128='Люлин'!$B$1,ROW(data!$A$3:$A$16128)-ROW($A$3)+1),ROWS(D$4:D28))),"")</f>
        <v>пазар Тихомир</v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IF(ROWS(A$4:A29)&lt;=$B$2,INDEX(data!C$3:C$16128,SMALL(IF(data!$D$3:$D$16128='Люлин'!$B$1,ROW(data!$A$3:$A$16128)-ROW($A$3)+1),ROWS(A$4:A29))),"")</f>
        <v>46041</v>
      </c>
      <c r="B29" s="19" t="str">
        <f t="array" ref="B29">IF(ROWS(B$4:B29)&lt;=$B$2,INDEX(data!A$3:A$16128,SMALL(IF(data!$D$3:$D$16128='Люлин'!$B$1,ROW(data!$A$3:$A$16128)-ROW($A$3)+1),ROWS(B$4:B29))),"")</f>
        <v>КАСОВА КНИГА</v>
      </c>
      <c r="C29" s="19">
        <f t="array" ref="C29">IF(ROWS(C$4:C29)&lt;=$B$2,INDEX(data!B$3:B$16128,SMALL(IF(data!$D$3:$D$16128='Люлин'!$B$1,ROW(data!$A$3:$A$16128)-ROW($A$3)+1),ROWS(C$4:C29))),"")</f>
        <v>-1000</v>
      </c>
      <c r="D29" s="7" t="str">
        <f t="array" ref="D29">IF(ROWS(D$4:D29)&lt;=$B$2,INDEX(data!E$3:E$16128,SMALL(IF(data!$D$3:$D$16128='Люлин'!$B$1,ROW(data!$A$3:$A$16128)-ROW($A$3)+1),ROWS(D$4:D29))),"")</f>
        <v/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IF(ROWS(A$4:A30)&lt;=$B$2,INDEX(data!C$3:C$16128,SMALL(IF(data!$D$3:$D$16128='Люлин'!$B$1,ROW(data!$A$3:$A$16128)-ROW($A$3)+1),ROWS(A$4:A30))),"")</f>
        <v>46041</v>
      </c>
      <c r="B30" s="19" t="str">
        <f t="array" ref="B30">IF(ROWS(B$4:B30)&lt;=$B$2,INDEX(data!A$3:A$16128,SMALL(IF(data!$D$3:$D$16128='Люлин'!$B$1,ROW(data!$A$3:$A$16128)-ROW($A$3)+1),ROWS(B$4:B30))),"")</f>
        <v>ПОС ДСК Бакалия</v>
      </c>
      <c r="C30" s="19">
        <f t="array" ref="C30">IF(ROWS(C$4:C30)&lt;=$B$2,INDEX(data!B$3:B$16128,SMALL(IF(data!$D$3:$D$16128='Люлин'!$B$1,ROW(data!$A$3:$A$16128)-ROW($A$3)+1),ROWS(C$4:C30))),"")</f>
        <v>-8145.42</v>
      </c>
      <c r="D30" s="7" t="str">
        <f t="array" ref="D30">IF(ROWS(D$4:D30)&lt;=$B$2,INDEX(data!E$3:E$16128,SMALL(IF(data!$D$3:$D$16128='Люлин'!$B$1,ROW(data!$A$3:$A$16128)-ROW($A$3)+1),ROWS(D$4:D30))),"")</f>
        <v/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IF(ROWS(A$4:A31)&lt;=$B$2,INDEX(data!C$3:C$16128,SMALL(IF(data!$D$3:$D$16128='Люлин'!$B$1,ROW(data!$A$3:$A$16128)-ROW($A$3)+1),ROWS(A$4:A31))),"")</f>
        <v>46041</v>
      </c>
      <c r="B31" s="19" t="str">
        <f t="array" ref="B31">IF(ROWS(B$4:B31)&lt;=$B$2,INDEX(data!A$3:A$16128,SMALL(IF(data!$D$3:$D$16128='Люлин'!$B$1,ROW(data!$A$3:$A$16128)-ROW($A$3)+1),ROWS(B$4:B31))),"")</f>
        <v>каса ФИКТИВНА</v>
      </c>
      <c r="C31" s="19">
        <f t="array" ref="C31">IF(ROWS(C$4:C31)&lt;=$B$2,INDEX(data!B$3:B$16128,SMALL(IF(data!$D$3:$D$16128='Люлин'!$B$1,ROW(data!$A$3:$A$16128)-ROW($A$3)+1),ROWS(C$4:C31))),"")</f>
        <v>-511.29</v>
      </c>
      <c r="D31" s="7" t="str">
        <f t="array" ref="D31">IF(ROWS(D$4:D31)&lt;=$B$2,INDEX(data!E$3:E$16128,SMALL(IF(data!$D$3:$D$16128='Люлин'!$B$1,ROW(data!$A$3:$A$16128)-ROW($A$3)+1),ROWS(D$4:D31))),"")</f>
        <v>1000 от 17.01</v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IF(ROWS(A$4:A32)&lt;=$B$2,INDEX(data!C$3:C$16128,SMALL(IF(data!$D$3:$D$16128='Люлин'!$B$1,ROW(data!$A$3:$A$16128)-ROW($A$3)+1),ROWS(A$4:A32))),"")</f>
        <v>46041</v>
      </c>
      <c r="B32" s="19" t="str">
        <f t="array" ref="B32">IF(ROWS(B$4:B32)&lt;=$B$2,INDEX(data!A$3:A$16128,SMALL(IF(data!$D$3:$D$16128='Люлин'!$B$1,ROW(data!$A$3:$A$16128)-ROW($A$3)+1),ROWS(B$4:B32))),"")</f>
        <v>каса ФИКТИВНА</v>
      </c>
      <c r="C32" s="19">
        <f t="array" ref="C32">IF(ROWS(C$4:C32)&lt;=$B$2,INDEX(data!B$3:B$16128,SMALL(IF(data!$D$3:$D$16128='Люлин'!$B$1,ROW(data!$A$3:$A$16128)-ROW($A$3)+1),ROWS(C$4:C32))),"")</f>
        <v>-159</v>
      </c>
      <c r="D32" s="7" t="str">
        <f t="array" ref="D32">IF(ROWS(D$4:D32)&lt;=$B$2,INDEX(data!E$3:E$16128,SMALL(IF(data!$D$3:$D$16128='Люлин'!$B$1,ROW(data!$A$3:$A$16128)-ROW($A$3)+1),ROWS(D$4:D32))),"")</f>
        <v>пазари Тихомир</v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IF(ROWS(A$4:A33)&lt;=$B$2,INDEX(data!C$3:C$16128,SMALL(IF(data!$D$3:$D$16128='Люлин'!$B$1,ROW(data!$A$3:$A$16128)-ROW($A$3)+1),ROWS(A$4:A33))),"")</f>
        <v>46043</v>
      </c>
      <c r="B33" s="19" t="str">
        <f t="array" ref="B33">IF(ROWS(B$4:B33)&lt;=$B$2,INDEX(data!A$3:A$16128,SMALL(IF(data!$D$3:$D$16128='Люлин'!$B$1,ROW(data!$A$3:$A$16128)-ROW($A$3)+1),ROWS(B$4:B33))),"")</f>
        <v>Каса ВАУЧЕРИ</v>
      </c>
      <c r="C33" s="19">
        <f t="array" ref="C33">IF(ROWS(C$4:C33)&lt;=$B$2,INDEX(data!B$3:B$16128,SMALL(IF(data!$D$3:$D$16128='Люлин'!$B$1,ROW(data!$A$3:$A$16128)-ROW($A$3)+1),ROWS(C$4:C33))),"")</f>
        <v>715.81</v>
      </c>
      <c r="D33" s="7" t="str">
        <f t="array" ref="D33">IF(ROWS(D$4:D33)&lt;=$B$2,INDEX(data!E$3:E$16128,SMALL(IF(data!$D$3:$D$16128='Люлин'!$B$1,ROW(data!$A$3:$A$16128)-ROW($A$3)+1),ROWS(D$4:D33))),"")</f>
        <v>ваучери персонал</v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IF(ROWS(A$4:A34)&lt;=$B$2,INDEX(data!C$3:C$16128,SMALL(IF(data!$D$3:$D$16128='Люлин'!$B$1,ROW(data!$A$3:$A$16128)-ROW($A$3)+1),ROWS(A$4:A34))),"")</f>
        <v>46043</v>
      </c>
      <c r="B34" s="19" t="str">
        <f t="array" ref="B34">IF(ROWS(B$4:B34)&lt;=$B$2,INDEX(data!A$3:A$16128,SMALL(IF(data!$D$3:$D$16128='Люлин'!$B$1,ROW(data!$A$3:$A$16128)-ROW($A$3)+1),ROWS(B$4:B34))),"")</f>
        <v>каса ФИКТИВНА</v>
      </c>
      <c r="C34" s="19">
        <f t="array" ref="C34">IF(ROWS(C$4:C34)&lt;=$B$2,INDEX(data!B$3:B$16128,SMALL(IF(data!$D$3:$D$16128='Люлин'!$B$1,ROW(data!$A$3:$A$16128)-ROW($A$3)+1),ROWS(C$4:C34))),"")</f>
        <v>-95</v>
      </c>
      <c r="D34" s="7" t="str">
        <f t="array" ref="D34">IF(ROWS(D$4:D34)&lt;=$B$2,INDEX(data!E$3:E$16128,SMALL(IF(data!$D$3:$D$16128='Люлин'!$B$1,ROW(data!$A$3:$A$16128)-ROW($A$3)+1),ROWS(D$4:D34))),"")</f>
        <v>пазар Тихомир</v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IF(ROWS(A$4:A35)&lt;=$B$2,INDEX(data!C$3:C$16128,SMALL(IF(data!$D$3:$D$16128='Люлин'!$B$1,ROW(data!$A$3:$A$16128)-ROW($A$3)+1),ROWS(A$4:A35))),"")</f>
        <v>46048</v>
      </c>
      <c r="B35" s="19" t="str">
        <f t="array" ref="B35">IF(ROWS(B$4:B35)&lt;=$B$2,INDEX(data!A$3:A$16128,SMALL(IF(data!$D$3:$D$16128='Люлин'!$B$1,ROW(data!$A$3:$A$16128)-ROW($A$3)+1),ROWS(B$4:B35))),"")</f>
        <v>MYPOS Бакалия</v>
      </c>
      <c r="C35" s="19">
        <f t="array" ref="C35">IF(ROWS(C$4:C35)&lt;=$B$2,INDEX(data!B$3:B$16128,SMALL(IF(data!$D$3:$D$16128='Люлин'!$B$1,ROW(data!$A$3:$A$16128)-ROW($A$3)+1),ROWS(C$4:C35))),"")</f>
        <v>-8880.56</v>
      </c>
      <c r="D35" s="7" t="str">
        <f t="array" ref="D35">IF(ROWS(D$4:D35)&lt;=$B$2,INDEX(data!E$3:E$16128,SMALL(IF(data!$D$3:$D$16128='Люлин'!$B$1,ROW(data!$A$3:$A$16128)-ROW($A$3)+1),ROWS(D$4:D35))),"")</f>
        <v/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IF(ROWS(A$4:A36)&lt;=$B$2,INDEX(data!C$3:C$16128,SMALL(IF(data!$D$3:$D$16128='Люлин'!$B$1,ROW(data!$A$3:$A$16128)-ROW($A$3)+1),ROWS(A$4:A36))),"")</f>
        <v>46048</v>
      </c>
      <c r="B36" s="19" t="str">
        <f t="array" ref="B36">IF(ROWS(B$4:B36)&lt;=$B$2,INDEX(data!A$3:A$16128,SMALL(IF(data!$D$3:$D$16128='Люлин'!$B$1,ROW(data!$A$3:$A$16128)-ROW($A$3)+1),ROWS(B$4:B36))),"")</f>
        <v>КАСОВА КНИГА</v>
      </c>
      <c r="C36" s="19">
        <f t="array" ref="C36">IF(ROWS(C$4:C36)&lt;=$B$2,INDEX(data!B$3:B$16128,SMALL(IF(data!$D$3:$D$16128='Люлин'!$B$1,ROW(data!$A$3:$A$16128)-ROW($A$3)+1),ROWS(C$4:C36))),"")</f>
        <v>-1000</v>
      </c>
      <c r="D36" s="7" t="str">
        <f t="array" ref="D36">IF(ROWS(D$4:D36)&lt;=$B$2,INDEX(data!E$3:E$16128,SMALL(IF(data!$D$3:$D$16128='Люлин'!$B$1,ROW(data!$A$3:$A$16128)-ROW($A$3)+1),ROWS(D$4:D36))),"")</f>
        <v/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IF(ROWS(A$4:A37)&lt;=$B$2,INDEX(data!C$3:C$16128,SMALL(IF(data!$D$3:$D$16128='Люлин'!$B$1,ROW(data!$A$3:$A$16128)-ROW($A$3)+1),ROWS(A$4:A37))),"")</f>
        <v>46048</v>
      </c>
      <c r="B37" s="19" t="str">
        <f t="array" ref="B37">IF(ROWS(B$4:B37)&lt;=$B$2,INDEX(data!A$3:A$16128,SMALL(IF(data!$D$3:$D$16128='Люлин'!$B$1,ROW(data!$A$3:$A$16128)-ROW($A$3)+1),ROWS(B$4:B37))),"")</f>
        <v>каса ФИКТИВНА</v>
      </c>
      <c r="C37" s="19">
        <f t="array" ref="C37">IF(ROWS(C$4:C37)&lt;=$B$2,INDEX(data!B$3:B$16128,SMALL(IF(data!$D$3:$D$16128='Люлин'!$B$1,ROW(data!$A$3:$A$16128)-ROW($A$3)+1),ROWS(C$4:C37))),"")</f>
        <v>-115</v>
      </c>
      <c r="D37" s="7" t="str">
        <f t="array" ref="D37">IF(ROWS(D$4:D37)&lt;=$B$2,INDEX(data!E$3:E$16128,SMALL(IF(data!$D$3:$D$16128='Люлин'!$B$1,ROW(data!$A$3:$A$16128)-ROW($A$3)+1),ROWS(D$4:D37))),"")</f>
        <v>пазар Тихомир</v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IF(ROWS(A$4:A38)&lt;=$B$2,INDEX(data!C$3:C$16128,SMALL(IF(data!$D$3:$D$16128='Люлин'!$B$1,ROW(data!$A$3:$A$16128)-ROW($A$3)+1),ROWS(A$4:A38))),"")</f>
        <v>46049</v>
      </c>
      <c r="B38" s="19" t="str">
        <f t="array" ref="B38">IF(ROWS(B$4:B38)&lt;=$B$2,INDEX(data!A$3:A$16128,SMALL(IF(data!$D$3:$D$16128='Люлин'!$B$1,ROW(data!$A$3:$A$16128)-ROW($A$3)+1),ROWS(B$4:B38))),"")</f>
        <v>Каса ВАУЧЕРИ</v>
      </c>
      <c r="C38" s="19">
        <f t="array" ref="C38">IF(ROWS(C$4:C38)&lt;=$B$2,INDEX(data!B$3:B$16128,SMALL(IF(data!$D$3:$D$16128='Люлин'!$B$1,ROW(data!$A$3:$A$16128)-ROW($A$3)+1),ROWS(C$4:C38))),"")</f>
        <v>-7</v>
      </c>
      <c r="D38" s="7" t="str">
        <f t="array" ref="D38">IF(ROWS(D$4:D38)&lt;=$B$2,INDEX(data!E$3:E$16128,SMALL(IF(data!$D$3:$D$16128='Люлин'!$B$1,ROW(data!$A$3:$A$16128)-ROW($A$3)+1),ROWS(D$4:D38))),"")</f>
        <v>ваучери 19,01</v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IF(ROWS(A$4:A39)&lt;=$B$2,INDEX(data!C$3:C$16128,SMALL(IF(data!$D$3:$D$16128='Люлин'!$B$1,ROW(data!$A$3:$A$16128)-ROW($A$3)+1),ROWS(A$4:A39))),"")</f>
        <v>46050</v>
      </c>
      <c r="B39" s="19" t="str">
        <f t="array" ref="B39">IF(ROWS(B$4:B39)&lt;=$B$2,INDEX(data!A$3:A$16128,SMALL(IF(data!$D$3:$D$16128='Люлин'!$B$1,ROW(data!$A$3:$A$16128)-ROW($A$3)+1),ROWS(B$4:B39))),"")</f>
        <v>КАСОВА КНИГА</v>
      </c>
      <c r="C39" s="19">
        <f t="array" ref="C39">IF(ROWS(C$4:C39)&lt;=$B$2,INDEX(data!B$3:B$16128,SMALL(IF(data!$D$3:$D$16128='Люлин'!$B$1,ROW(data!$A$3:$A$16128)-ROW($A$3)+1),ROWS(C$4:C39))),"")</f>
        <v>-1000</v>
      </c>
      <c r="D39" s="7" t="str">
        <f t="array" ref="D39">IF(ROWS(D$4:D39)&lt;=$B$2,INDEX(data!E$3:E$16128,SMALL(IF(data!$D$3:$D$16128='Люлин'!$B$1,ROW(data!$A$3:$A$16128)-ROW($A$3)+1),ROWS(D$4:D39))),"")</f>
        <v/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IF(ROWS(A$4:A40)&lt;=$B$2,INDEX(data!C$3:C$16128,SMALL(IF(data!$D$3:$D$16128='Люлин'!$B$1,ROW(data!$A$3:$A$16128)-ROW($A$3)+1),ROWS(A$4:A40))),"")</f>
        <v>46050</v>
      </c>
      <c r="B40" s="19" t="str">
        <f t="array" ref="B40">IF(ROWS(B$4:B40)&lt;=$B$2,INDEX(data!A$3:A$16128,SMALL(IF(data!$D$3:$D$16128='Люлин'!$B$1,ROW(data!$A$3:$A$16128)-ROW($A$3)+1),ROWS(B$4:B40))),"")</f>
        <v>каса ФИКТИВНА</v>
      </c>
      <c r="C40" s="19">
        <f t="array" ref="C40">IF(ROWS(C$4:C40)&lt;=$B$2,INDEX(data!B$3:B$16128,SMALL(IF(data!$D$3:$D$16128='Люлин'!$B$1,ROW(data!$A$3:$A$16128)-ROW($A$3)+1),ROWS(C$4:C40))),"")</f>
        <v>-126</v>
      </c>
      <c r="D40" s="7" t="str">
        <f t="array" ref="D40">IF(ROWS(D$4:D40)&lt;=$B$2,INDEX(data!E$3:E$16128,SMALL(IF(data!$D$3:$D$16128='Люлин'!$B$1,ROW(data!$A$3:$A$16128)-ROW($A$3)+1),ROWS(D$4:D40))),"")</f>
        <v>пазар Тихомир</v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IF(ROWS(A$4:A41)&lt;=$B$2,INDEX(data!C$3:C$16128,SMALL(IF(data!$D$3:$D$16128='Люлин'!$B$1,ROW(data!$A$3:$A$16128)-ROW($A$3)+1),ROWS(A$4:A41))),"")</f>
        <v>46052</v>
      </c>
      <c r="B41" s="19" t="str">
        <f t="array" ref="B41">IF(ROWS(B$4:B41)&lt;=$B$2,INDEX(data!A$3:A$16128,SMALL(IF(data!$D$3:$D$16128='Люлин'!$B$1,ROW(data!$A$3:$A$16128)-ROW($A$3)+1),ROWS(B$4:B41))),"")</f>
        <v>каса ФИКТИВНА</v>
      </c>
      <c r="C41" s="19">
        <f t="array" ref="C41">IF(ROWS(C$4:C41)&lt;=$B$2,INDEX(data!B$3:B$16128,SMALL(IF(data!$D$3:$D$16128='Люлин'!$B$1,ROW(data!$A$3:$A$16128)-ROW($A$3)+1),ROWS(C$4:C41))),"")</f>
        <v>-3.7</v>
      </c>
      <c r="D41" s="7" t="str">
        <f t="array" ref="D41">IF(ROWS(D$4:D41)&lt;=$B$2,INDEX(data!E$3:E$16128,SMALL(IF(data!$D$3:$D$16128='Люлин'!$B$1,ROW(data!$A$3:$A$16128)-ROW($A$3)+1),ROWS(D$4:D41))),"")</f>
        <v>пазар Милена</v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IF(ROWS(A$4:A42)&lt;=$B$2,INDEX(data!C$3:C$16128,SMALL(IF(data!$D$3:$D$16128='Люлин'!$B$1,ROW(data!$A$3:$A$16128)-ROW($A$3)+1),ROWS(A$4:A42))),"")</f>
        <v>46052</v>
      </c>
      <c r="B42" s="19" t="str">
        <f t="array" ref="B42">IF(ROWS(B$4:B42)&lt;=$B$2,INDEX(data!A$3:A$16128,SMALL(IF(data!$D$3:$D$16128='Люлин'!$B$1,ROW(data!$A$3:$A$16128)-ROW($A$3)+1),ROWS(B$4:B42))),"")</f>
        <v>каса ФИКТИВНА</v>
      </c>
      <c r="C42" s="19">
        <f t="array" ref="C42">IF(ROWS(C$4:C42)&lt;=$B$2,INDEX(data!B$3:B$16128,SMALL(IF(data!$D$3:$D$16128='Люлин'!$B$1,ROW(data!$A$3:$A$16128)-ROW($A$3)+1),ROWS(C$4:C42))),"")</f>
        <v>-98</v>
      </c>
      <c r="D42" s="7" t="str">
        <f t="array" ref="D42">IF(ROWS(D$4:D42)&lt;=$B$2,INDEX(data!E$3:E$16128,SMALL(IF(data!$D$3:$D$16128='Люлин'!$B$1,ROW(data!$A$3:$A$16128)-ROW($A$3)+1),ROWS(D$4:D42))),"")</f>
        <v>пазар Тихомир</v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IF(ROWS(A$4:A43)&lt;=$B$2,INDEX(data!C$3:C$16128,SMALL(IF(data!$D$3:$D$16128='Люлин'!$B$1,ROW(data!$A$3:$A$16128)-ROW($A$3)+1),ROWS(A$4:A43))),"")</f>
        <v>46055</v>
      </c>
      <c r="B43" s="19" t="str">
        <f t="array" ref="B43">IF(ROWS(B$4:B43)&lt;=$B$2,INDEX(data!A$3:A$16128,SMALL(IF(data!$D$3:$D$16128='Люлин'!$B$1,ROW(data!$A$3:$A$16128)-ROW($A$3)+1),ROWS(B$4:B43))),"")</f>
        <v>КАСОВА КНИГА</v>
      </c>
      <c r="C43" s="19">
        <f t="array" ref="C43">IF(ROWS(C$4:C43)&lt;=$B$2,INDEX(data!B$3:B$16128,SMALL(IF(data!$D$3:$D$16128='Люлин'!$B$1,ROW(data!$A$3:$A$16128)-ROW($A$3)+1),ROWS(C$4:C43))),"")</f>
        <v>-1000</v>
      </c>
      <c r="D43" s="7" t="str">
        <f t="array" ref="D43">IF(ROWS(D$4:D43)&lt;=$B$2,INDEX(data!E$3:E$16128,SMALL(IF(data!$D$3:$D$16128='Люлин'!$B$1,ROW(data!$A$3:$A$16128)-ROW($A$3)+1),ROWS(D$4:D43))),"")</f>
        <v/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IF(ROWS(A$4:A44)&lt;=$B$2,INDEX(data!C$3:C$16128,SMALL(IF(data!$D$3:$D$16128='Люлин'!$B$1,ROW(data!$A$3:$A$16128)-ROW($A$3)+1),ROWS(A$4:A44))),"")</f>
        <v>46055</v>
      </c>
      <c r="B44" s="19" t="str">
        <f t="array" ref="B44">IF(ROWS(B$4:B44)&lt;=$B$2,INDEX(data!A$3:A$16128,SMALL(IF(data!$D$3:$D$16128='Люлин'!$B$1,ROW(data!$A$3:$A$16128)-ROW($A$3)+1),ROWS(B$4:B44))),"")</f>
        <v>КАСОВА КНИГА</v>
      </c>
      <c r="C44" s="19">
        <f t="array" ref="C44">IF(ROWS(C$4:C44)&lt;=$B$2,INDEX(data!B$3:B$16128,SMALL(IF(data!$D$3:$D$16128='Люлин'!$B$1,ROW(data!$A$3:$A$16128)-ROW($A$3)+1),ROWS(C$4:C44))),"")</f>
        <v>-1000</v>
      </c>
      <c r="D44" s="7" t="str">
        <f t="array" ref="D44">IF(ROWS(D$4:D44)&lt;=$B$2,INDEX(data!E$3:E$16128,SMALL(IF(data!$D$3:$D$16128='Люлин'!$B$1,ROW(data!$A$3:$A$16128)-ROW($A$3)+1),ROWS(D$4:D44))),"")</f>
        <v>1000 от 31.01</v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IF(ROWS(A$4:A45)&lt;=$B$2,INDEX(data!C$3:C$16128,SMALL(IF(data!$D$3:$D$16128='Люлин'!$B$1,ROW(data!$A$3:$A$16128)-ROW($A$3)+1),ROWS(A$4:A45))),"")</f>
        <v>46055</v>
      </c>
      <c r="B45" s="19" t="str">
        <f t="array" ref="B45">IF(ROWS(B$4:B45)&lt;=$B$2,INDEX(data!A$3:A$16128,SMALL(IF(data!$D$3:$D$16128='Люлин'!$B$1,ROW(data!$A$3:$A$16128)-ROW($A$3)+1),ROWS(B$4:B45))),"")</f>
        <v>каса ФИКТИВНА</v>
      </c>
      <c r="C45" s="19">
        <f t="array" ref="C45">IF(ROWS(C$4:C45)&lt;=$B$2,INDEX(data!B$3:B$16128,SMALL(IF(data!$D$3:$D$16128='Люлин'!$B$1,ROW(data!$A$3:$A$16128)-ROW($A$3)+1),ROWS(C$4:C45))),"")</f>
        <v>-52</v>
      </c>
      <c r="D45" s="7" t="str">
        <f t="array" ref="D45">IF(ROWS(D$4:D45)&lt;=$B$2,INDEX(data!E$3:E$16128,SMALL(IF(data!$D$3:$D$16128='Люлин'!$B$1,ROW(data!$A$3:$A$16128)-ROW($A$3)+1),ROWS(D$4:D45))),"")</f>
        <v>пазар Тихомир</v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IF(ROWS(A$4:A46)&lt;=$B$2,INDEX(data!C$3:C$16128,SMALL(IF(data!$D$3:$D$16128='Люлин'!$B$1,ROW(data!$A$3:$A$16128)-ROW($A$3)+1),ROWS(A$4:A46))),"")</f>
        <v>46057</v>
      </c>
      <c r="B46" s="19" t="str">
        <f t="array" ref="B46">IF(ROWS(B$4:B46)&lt;=$B$2,INDEX(data!A$3:A$16128,SMALL(IF(data!$D$3:$D$16128='Люлин'!$B$1,ROW(data!$A$3:$A$16128)-ROW($A$3)+1),ROWS(B$4:B46))),"")</f>
        <v>КАСОВА КНИГА</v>
      </c>
      <c r="C46" s="19">
        <f t="array" ref="C46">IF(ROWS(C$4:C46)&lt;=$B$2,INDEX(data!B$3:B$16128,SMALL(IF(data!$D$3:$D$16128='Люлин'!$B$1,ROW(data!$A$3:$A$16128)-ROW($A$3)+1),ROWS(C$4:C46))),"")</f>
        <v>-353.66</v>
      </c>
      <c r="D46" s="7" t="str">
        <f t="array" ref="D46">IF(ROWS(D$4:D46)&lt;=$B$2,INDEX(data!E$3:E$16128,SMALL(IF(data!$D$3:$D$16128='Люлин'!$B$1,ROW(data!$A$3:$A$16128)-ROW($A$3)+1),ROWS(D$4:D46))),"")</f>
        <v>691,7лв</v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IF(ROWS(A$4:A47)&lt;=$B$2,INDEX(data!C$3:C$16128,SMALL(IF(data!$D$3:$D$16128='Люлин'!$B$1,ROW(data!$A$3:$A$16128)-ROW($A$3)+1),ROWS(A$4:A47))),"")</f>
        <v>46057</v>
      </c>
      <c r="B47" s="19" t="str">
        <f t="array" ref="B47">IF(ROWS(B$4:B47)&lt;=$B$2,INDEX(data!A$3:A$16128,SMALL(IF(data!$D$3:$D$16128='Люлин'!$B$1,ROW(data!$A$3:$A$16128)-ROW($A$3)+1),ROWS(B$4:B47))),"")</f>
        <v>Каса ВАУЧЕРИ</v>
      </c>
      <c r="C47" s="19">
        <f t="array" ref="C47">IF(ROWS(C$4:C47)&lt;=$B$2,INDEX(data!B$3:B$16128,SMALL(IF(data!$D$3:$D$16128='Люлин'!$B$1,ROW(data!$A$3:$A$16128)-ROW($A$3)+1),ROWS(C$4:C47))),"")</f>
        <v>-55</v>
      </c>
      <c r="D47" s="7" t="str">
        <f t="array" ref="D47">IF(ROWS(D$4:D47)&lt;=$B$2,INDEX(data!E$3:E$16128,SMALL(IF(data!$D$3:$D$16128='Люлин'!$B$1,ROW(data!$A$3:$A$16128)-ROW($A$3)+1),ROWS(D$4:D47))),"")</f>
        <v/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IF(ROWS(A$4:A48)&lt;=$B$2,INDEX(data!C$3:C$16128,SMALL(IF(data!$D$3:$D$16128='Люлин'!$B$1,ROW(data!$A$3:$A$16128)-ROW($A$3)+1),ROWS(A$4:A48))),"")</f>
        <v>46057</v>
      </c>
      <c r="B48" s="19" t="str">
        <f t="array" ref="B48">IF(ROWS(B$4:B48)&lt;=$B$2,INDEX(data!A$3:A$16128,SMALL(IF(data!$D$3:$D$16128='Люлин'!$B$1,ROW(data!$A$3:$A$16128)-ROW($A$3)+1),ROWS(B$4:B48))),"")</f>
        <v>каса ФИКТИВНА</v>
      </c>
      <c r="C48" s="19">
        <f t="array" ref="C48">IF(ROWS(C$4:C48)&lt;=$B$2,INDEX(data!B$3:B$16128,SMALL(IF(data!$D$3:$D$16128='Люлин'!$B$1,ROW(data!$A$3:$A$16128)-ROW($A$3)+1),ROWS(C$4:C48))),"")</f>
        <v>-158</v>
      </c>
      <c r="D48" s="7" t="str">
        <f t="array" ref="D48">IF(ROWS(D$4:D48)&lt;=$B$2,INDEX(data!E$3:E$16128,SMALL(IF(data!$D$3:$D$16128='Люлин'!$B$1,ROW(data!$A$3:$A$16128)-ROW($A$3)+1),ROWS(D$4:D48))),"")</f>
        <v>пазар Тихомир</v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IF(ROWS(A$4:A49)&lt;=$B$2,INDEX(data!C$3:C$16128,SMALL(IF(data!$D$3:$D$16128='Люлин'!$B$1,ROW(data!$A$3:$A$16128)-ROW($A$3)+1),ROWS(A$4:A49))),"")</f>
        <v>46059</v>
      </c>
      <c r="B49" s="19" t="str">
        <f t="array" ref="B49">IF(ROWS(B$4:B49)&lt;=$B$2,INDEX(data!A$3:A$16128,SMALL(IF(data!$D$3:$D$16128='Люлин'!$B$1,ROW(data!$A$3:$A$16128)-ROW($A$3)+1),ROWS(B$4:B49))),"")</f>
        <v>ПОС ДСК Бакалия</v>
      </c>
      <c r="C49" s="19">
        <f t="array" ref="C49">IF(ROWS(C$4:C49)&lt;=$B$2,INDEX(data!B$3:B$16128,SMALL(IF(data!$D$3:$D$16128='Люлин'!$B$1,ROW(data!$A$3:$A$16128)-ROW($A$3)+1),ROWS(C$4:C49))),"")</f>
        <v>-3288.51</v>
      </c>
      <c r="D49" s="7" t="str">
        <f t="array" ref="D49">IF(ROWS(D$4:D49)&lt;=$B$2,INDEX(data!E$3:E$16128,SMALL(IF(data!$D$3:$D$16128='Люлин'!$B$1,ROW(data!$A$3:$A$16128)-ROW($A$3)+1),ROWS(D$4:D49))),"")</f>
        <v/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IF(ROWS(A$4:A50)&lt;=$B$2,INDEX(data!C$3:C$16128,SMALL(IF(data!$D$3:$D$16128='Люлин'!$B$1,ROW(data!$A$3:$A$16128)-ROW($A$3)+1),ROWS(A$4:A50))),"")</f>
        <v>46059</v>
      </c>
      <c r="B50" s="19" t="str">
        <f t="array" ref="B50">IF(ROWS(B$4:B50)&lt;=$B$2,INDEX(data!A$3:A$16128,SMALL(IF(data!$D$3:$D$16128='Люлин'!$B$1,ROW(data!$A$3:$A$16128)-ROW($A$3)+1),ROWS(B$4:B50))),"")</f>
        <v>каса ФИКТИВНА</v>
      </c>
      <c r="C50" s="19">
        <f t="array" ref="C50">IF(ROWS(C$4:C50)&lt;=$B$2,INDEX(data!B$3:B$16128,SMALL(IF(data!$D$3:$D$16128='Люлин'!$B$1,ROW(data!$A$3:$A$16128)-ROW($A$3)+1),ROWS(C$4:C50))),"")</f>
        <v>-13</v>
      </c>
      <c r="D50" s="7" t="str">
        <f t="array" ref="D50">IF(ROWS(D$4:D50)&lt;=$B$2,INDEX(data!E$3:E$16128,SMALL(IF(data!$D$3:$D$16128='Люлин'!$B$1,ROW(data!$A$3:$A$16128)-ROW($A$3)+1),ROWS(D$4:D50))),"")</f>
        <v>галони Милена</v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IF(ROWS(A$4:A51)&lt;=$B$2,INDEX(data!C$3:C$16128,SMALL(IF(data!$D$3:$D$16128='Люлин'!$B$1,ROW(data!$A$3:$A$16128)-ROW($A$3)+1),ROWS(A$4:A51))),"")</f>
        <v>46059</v>
      </c>
      <c r="B51" s="19" t="str">
        <f t="array" ref="B51">IF(ROWS(B$4:B51)&lt;=$B$2,INDEX(data!A$3:A$16128,SMALL(IF(data!$D$3:$D$16128='Люлин'!$B$1,ROW(data!$A$3:$A$16128)-ROW($A$3)+1),ROWS(B$4:B51))),"")</f>
        <v>каса ФИКТИВНА</v>
      </c>
      <c r="C51" s="19">
        <f t="array" ref="C51">IF(ROWS(C$4:C51)&lt;=$B$2,INDEX(data!B$3:B$16128,SMALL(IF(data!$D$3:$D$16128='Люлин'!$B$1,ROW(data!$A$3:$A$16128)-ROW($A$3)+1),ROWS(C$4:C51))),"")</f>
        <v>-66</v>
      </c>
      <c r="D51" s="7" t="str">
        <f t="array" ref="D51">IF(ROWS(D$4:D51)&lt;=$B$2,INDEX(data!E$3:E$16128,SMALL(IF(data!$D$3:$D$16128='Люлин'!$B$1,ROW(data!$A$3:$A$16128)-ROW($A$3)+1),ROWS(D$4:D51))),"")</f>
        <v>пазар Тихомир</v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IF(ROWS(A$4:A52)&lt;=$B$2,INDEX(data!C$3:C$16128,SMALL(IF(data!$D$3:$D$16128='Люлин'!$B$1,ROW(data!$A$3:$A$16128)-ROW($A$3)+1),ROWS(A$4:A52))),"")</f>
        <v>46059</v>
      </c>
      <c r="B52" s="19" t="str">
        <f t="array" ref="B52">IF(ROWS(B$4:B52)&lt;=$B$2,INDEX(data!A$3:A$16128,SMALL(IF(data!$D$3:$D$16128='Люлин'!$B$1,ROW(data!$A$3:$A$16128)-ROW($A$3)+1),ROWS(B$4:B52))),"")</f>
        <v>MYPOS Бакалия</v>
      </c>
      <c r="C52" s="19">
        <f t="array" ref="C52">IF(ROWS(C$4:C52)&lt;=$B$2,INDEX(data!B$3:B$16128,SMALL(IF(data!$D$3:$D$16128='Люлин'!$B$1,ROW(data!$A$3:$A$16128)-ROW($A$3)+1),ROWS(C$4:C52))),"")</f>
        <v>-5075.29</v>
      </c>
      <c r="D52" s="7" t="str">
        <f t="array" ref="D52">IF(ROWS(D$4:D52)&lt;=$B$2,INDEX(data!E$3:E$16128,SMALL(IF(data!$D$3:$D$16128='Люлин'!$B$1,ROW(data!$A$3:$A$16128)-ROW($A$3)+1),ROWS(D$4:D52))),"")</f>
        <v/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IF(ROWS(A$4:A53)&lt;=$B$2,INDEX(data!C$3:C$16128,SMALL(IF(data!$D$3:$D$16128='Люлин'!$B$1,ROW(data!$A$3:$A$16128)-ROW($A$3)+1),ROWS(A$4:A53))),"")</f>
        <v>46062</v>
      </c>
      <c r="B53" s="19" t="str">
        <f t="array" ref="B53">IF(ROWS(B$4:B53)&lt;=$B$2,INDEX(data!A$3:A$16128,SMALL(IF(data!$D$3:$D$16128='Люлин'!$B$1,ROW(data!$A$3:$A$16128)-ROW($A$3)+1),ROWS(B$4:B53))),"")</f>
        <v>MYPOS Бакалия</v>
      </c>
      <c r="C53" s="19">
        <f t="array" ref="C53">IF(ROWS(C$4:C53)&lt;=$B$2,INDEX(data!B$3:B$16128,SMALL(IF(data!$D$3:$D$16128='Люлин'!$B$1,ROW(data!$A$3:$A$16128)-ROW($A$3)+1),ROWS(C$4:C53))),"")</f>
        <v>-8339.96</v>
      </c>
      <c r="D53" s="7" t="str">
        <f t="array" ref="D53">IF(ROWS(D$4:D53)&lt;=$B$2,INDEX(data!E$3:E$16128,SMALL(IF(data!$D$3:$D$16128='Люлин'!$B$1,ROW(data!$A$3:$A$16128)-ROW($A$3)+1),ROWS(D$4:D53))),"")</f>
        <v/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IF(ROWS(A$4:A54)&lt;=$B$2,INDEX(data!C$3:C$16128,SMALL(IF(data!$D$3:$D$16128='Люлин'!$B$1,ROW(data!$A$3:$A$16128)-ROW($A$3)+1),ROWS(A$4:A54))),"")</f>
        <v>46062</v>
      </c>
      <c r="B54" s="19" t="str">
        <f t="array" ref="B54">IF(ROWS(B$4:B54)&lt;=$B$2,INDEX(data!A$3:A$16128,SMALL(IF(data!$D$3:$D$16128='Люлин'!$B$1,ROW(data!$A$3:$A$16128)-ROW($A$3)+1),ROWS(B$4:B54))),"")</f>
        <v>КАСОВА КНИГА</v>
      </c>
      <c r="C54" s="19">
        <f t="array" ref="C54">IF(ROWS(C$4:C54)&lt;=$B$2,INDEX(data!B$3:B$16128,SMALL(IF(data!$D$3:$D$16128='Люлин'!$B$1,ROW(data!$A$3:$A$16128)-ROW($A$3)+1),ROWS(C$4:C54))),"")</f>
        <v>-1000</v>
      </c>
      <c r="D54" s="7" t="str">
        <f t="array" ref="D54">IF(ROWS(D$4:D54)&lt;=$B$2,INDEX(data!E$3:E$16128,SMALL(IF(data!$D$3:$D$16128='Люлин'!$B$1,ROW(data!$A$3:$A$16128)-ROW($A$3)+1),ROWS(D$4:D54))),"")</f>
        <v/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IF(ROWS(A$4:A55)&lt;=$B$2,INDEX(data!C$3:C$16128,SMALL(IF(data!$D$3:$D$16128='Люлин'!$B$1,ROW(data!$A$3:$A$16128)-ROW($A$3)+1),ROWS(A$4:A55))),"")</f>
        <v>46062</v>
      </c>
      <c r="B55" s="19" t="str">
        <f t="array" ref="B55">IF(ROWS(B$4:B55)&lt;=$B$2,INDEX(data!A$3:A$16128,SMALL(IF(data!$D$3:$D$16128='Люлин'!$B$1,ROW(data!$A$3:$A$16128)-ROW($A$3)+1),ROWS(B$4:B55))),"")</f>
        <v>каса ФИКТИВНА</v>
      </c>
      <c r="C55" s="19">
        <f t="array" ref="C55">IF(ROWS(C$4:C55)&lt;=$B$2,INDEX(data!B$3:B$16128,SMALL(IF(data!$D$3:$D$16128='Люлин'!$B$1,ROW(data!$A$3:$A$16128)-ROW($A$3)+1),ROWS(C$4:C55))),"")</f>
        <v>-87</v>
      </c>
      <c r="D55" s="7" t="str">
        <f t="array" ref="D55">IF(ROWS(D$4:D55)&lt;=$B$2,INDEX(data!E$3:E$16128,SMALL(IF(data!$D$3:$D$16128='Люлин'!$B$1,ROW(data!$A$3:$A$16128)-ROW($A$3)+1),ROWS(D$4:D55))),"")</f>
        <v>пазар Тихомир</v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IF(ROWS(A$4:A56)&lt;=$B$2,INDEX(data!C$3:C$16128,SMALL(IF(data!$D$3:$D$16128='Люлин'!$B$1,ROW(data!$A$3:$A$16128)-ROW($A$3)+1),ROWS(A$4:A56))),"")</f>
        <v>46062</v>
      </c>
      <c r="B56" s="19" t="str">
        <f t="array" ref="B56">IF(ROWS(B$4:B56)&lt;=$B$2,INDEX(data!A$3:A$16128,SMALL(IF(data!$D$3:$D$16128='Люлин'!$B$1,ROW(data!$A$3:$A$16128)-ROW($A$3)+1),ROWS(B$4:B56))),"")</f>
        <v>ЗАЕМ</v>
      </c>
      <c r="C56" s="19">
        <f t="array" ref="C56">IF(ROWS(C$4:C56)&lt;=$B$2,INDEX(data!B$3:B$16128,SMALL(IF(data!$D$3:$D$16128='Люлин'!$B$1,ROW(data!$A$3:$A$16128)-ROW($A$3)+1),ROWS(C$4:C56))),"")</f>
        <v>52488.55</v>
      </c>
      <c r="D56" s="7" t="str">
        <f t="array" ref="D56">IF(ROWS(D$4:D56)&lt;=$B$2,INDEX(data!E$3:E$16128,SMALL(IF(data!$D$3:$D$16128='Люлин'!$B$1,ROW(data!$A$3:$A$16128)-ROW($A$3)+1),ROWS(D$4:D56))),"")</f>
        <v>С-до склад + вътр п-не</v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IF(ROWS(A$4:A57)&lt;=$B$2,INDEX(data!C$3:C$16128,SMALL(IF(data!$D$3:$D$16128='Люлин'!$B$1,ROW(data!$A$3:$A$16128)-ROW($A$3)+1),ROWS(A$4:A57))),"")</f>
        <v>46064</v>
      </c>
      <c r="B57" s="19" t="str">
        <f t="array" ref="B57">IF(ROWS(B$4:B57)&lt;=$B$2,INDEX(data!A$3:A$16128,SMALL(IF(data!$D$3:$D$16128='Люлин'!$B$1,ROW(data!$A$3:$A$16128)-ROW($A$3)+1),ROWS(B$4:B57))),"")</f>
        <v>каса ФИКТИВНА</v>
      </c>
      <c r="C57" s="19">
        <f t="array" ref="C57">IF(ROWS(C$4:C57)&lt;=$B$2,INDEX(data!B$3:B$16128,SMALL(IF(data!$D$3:$D$16128='Люлин'!$B$1,ROW(data!$A$3:$A$16128)-ROW($A$3)+1),ROWS(C$4:C57))),"")</f>
        <v>-197</v>
      </c>
      <c r="D57" s="7" t="str">
        <f t="array" ref="D57">IF(ROWS(D$4:D57)&lt;=$B$2,INDEX(data!E$3:E$16128,SMALL(IF(data!$D$3:$D$16128='Люлин'!$B$1,ROW(data!$A$3:$A$16128)-ROW($A$3)+1),ROWS(D$4:D57))),"")</f>
        <v>пазар Тихомир</v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IF(ROWS(A$4:A58)&lt;=$B$2,INDEX(data!C$3:C$16128,SMALL(IF(data!$D$3:$D$16128='Люлин'!$B$1,ROW(data!$A$3:$A$16128)-ROW($A$3)+1),ROWS(A$4:A58))),"")</f>
        <v>46066</v>
      </c>
      <c r="B58" s="19" t="str">
        <f t="array" ref="B58">IF(ROWS(B$4:B58)&lt;=$B$2,INDEX(data!A$3:A$16128,SMALL(IF(data!$D$3:$D$16128='Люлин'!$B$1,ROW(data!$A$3:$A$16128)-ROW($A$3)+1),ROWS(B$4:B58))),"")</f>
        <v>каса ФИКТИВНА</v>
      </c>
      <c r="C58" s="19">
        <f t="array" ref="C58">IF(ROWS(C$4:C58)&lt;=$B$2,INDEX(data!B$3:B$16128,SMALL(IF(data!$D$3:$D$16128='Люлин'!$B$1,ROW(data!$A$3:$A$16128)-ROW($A$3)+1),ROWS(C$4:C58))),"")</f>
        <v>-11.19</v>
      </c>
      <c r="D58" s="7" t="str">
        <f t="array" ref="D58">IF(ROWS(D$4:D58)&lt;=$B$2,INDEX(data!E$3:E$16128,SMALL(IF(data!$D$3:$D$16128='Люлин'!$B$1,ROW(data!$A$3:$A$16128)-ROW($A$3)+1),ROWS(D$4:D58))),"")</f>
        <v>пазар Ния</v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IF(ROWS(A$4:A59)&lt;=$B$2,INDEX(data!C$3:C$16128,SMALL(IF(data!$D$3:$D$16128='Люлин'!$B$1,ROW(data!$A$3:$A$16128)-ROW($A$3)+1),ROWS(A$4:A59))),"")</f>
        <v>46069</v>
      </c>
      <c r="B59" s="19" t="str">
        <f t="array" ref="B59">IF(ROWS(B$4:B59)&lt;=$B$2,INDEX(data!A$3:A$16128,SMALL(IF(data!$D$3:$D$16128='Люлин'!$B$1,ROW(data!$A$3:$A$16128)-ROW($A$3)+1),ROWS(B$4:B59))),"")</f>
        <v>MYPOS Бакалия</v>
      </c>
      <c r="C59" s="19">
        <f t="array" ref="C59">IF(ROWS(C$4:C59)&lt;=$B$2,INDEX(data!B$3:B$16128,SMALL(IF(data!$D$3:$D$16128='Люлин'!$B$1,ROW(data!$A$3:$A$16128)-ROW($A$3)+1),ROWS(C$4:C59))),"")</f>
        <v>-9115.19</v>
      </c>
      <c r="D59" s="7" t="str">
        <f t="array" ref="D59">IF(ROWS(D$4:D59)&lt;=$B$2,INDEX(data!E$3:E$16128,SMALL(IF(data!$D$3:$D$16128='Люлин'!$B$1,ROW(data!$A$3:$A$16128)-ROW($A$3)+1),ROWS(D$4:D59))),"")</f>
        <v/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IF(ROWS(A$4:A60)&lt;=$B$2,INDEX(data!C$3:C$16128,SMALL(IF(data!$D$3:$D$16128='Люлин'!$B$1,ROW(data!$A$3:$A$16128)-ROW($A$3)+1),ROWS(A$4:A60))),"")</f>
        <v>46069</v>
      </c>
      <c r="B60" s="19" t="str">
        <f t="array" ref="B60">IF(ROWS(B$4:B60)&lt;=$B$2,INDEX(data!A$3:A$16128,SMALL(IF(data!$D$3:$D$16128='Люлин'!$B$1,ROW(data!$A$3:$A$16128)-ROW($A$3)+1),ROWS(B$4:B60))),"")</f>
        <v>КАСОВА КНИГА</v>
      </c>
      <c r="C60" s="19">
        <f t="array" ref="C60">IF(ROWS(C$4:C60)&lt;=$B$2,INDEX(data!B$3:B$16128,SMALL(IF(data!$D$3:$D$16128='Люлин'!$B$1,ROW(data!$A$3:$A$16128)-ROW($A$3)+1),ROWS(C$4:C60))),"")</f>
        <v>-1000</v>
      </c>
      <c r="D60" s="7" t="str">
        <f t="array" ref="D60">IF(ROWS(D$4:D60)&lt;=$B$2,INDEX(data!E$3:E$16128,SMALL(IF(data!$D$3:$D$16128='Люлин'!$B$1,ROW(data!$A$3:$A$16128)-ROW($A$3)+1),ROWS(D$4:D60))),"")</f>
        <v/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IF(ROWS(A$4:A61)&lt;=$B$2,INDEX(data!C$3:C$16128,SMALL(IF(data!$D$3:$D$16128='Люлин'!$B$1,ROW(data!$A$3:$A$16128)-ROW($A$3)+1),ROWS(A$4:A61))),"")</f>
        <v>46069</v>
      </c>
      <c r="B61" s="19" t="str">
        <f t="array" ref="B61">IF(ROWS(B$4:B61)&lt;=$B$2,INDEX(data!A$3:A$16128,SMALL(IF(data!$D$3:$D$16128='Люлин'!$B$1,ROW(data!$A$3:$A$16128)-ROW($A$3)+1),ROWS(B$4:B61))),"")</f>
        <v>каса ФИКТИВНА</v>
      </c>
      <c r="C61" s="19">
        <f t="array" ref="C61">IF(ROWS(C$4:C61)&lt;=$B$2,INDEX(data!B$3:B$16128,SMALL(IF(data!$D$3:$D$16128='Люлин'!$B$1,ROW(data!$A$3:$A$16128)-ROW($A$3)+1),ROWS(C$4:C61))),"")</f>
        <v>-159.3</v>
      </c>
      <c r="D61" s="7" t="str">
        <f t="array" ref="D61">IF(ROWS(D$4:D61)&lt;=$B$2,INDEX(data!E$3:E$16128,SMALL(IF(data!$D$3:$D$16128='Люлин'!$B$1,ROW(data!$A$3:$A$16128)-ROW($A$3)+1),ROWS(D$4:D61))),"")</f>
        <v>пазар Тихомир 13.02</v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IF(ROWS(A$4:A62)&lt;=$B$2,INDEX(data!C$3:C$16128,SMALL(IF(data!$D$3:$D$16128='Люлин'!$B$1,ROW(data!$A$3:$A$16128)-ROW($A$3)+1),ROWS(A$4:A62))),"")</f>
        <v>46072</v>
      </c>
      <c r="B62" s="19" t="str">
        <f t="array" ref="B62">IF(ROWS(B$4:B62)&lt;=$B$2,INDEX(data!A$3:A$16128,SMALL(IF(data!$D$3:$D$16128='Люлин'!$B$1,ROW(data!$A$3:$A$16128)-ROW($A$3)+1),ROWS(B$4:B62))),"")</f>
        <v>Каса ВАУЧЕРИ</v>
      </c>
      <c r="C62" s="19">
        <f t="array" ref="C62">IF(ROWS(C$4:C62)&lt;=$B$2,INDEX(data!B$3:B$16128,SMALL(IF(data!$D$3:$D$16128='Люлин'!$B$1,ROW(data!$A$3:$A$16128)-ROW($A$3)+1),ROWS(C$4:C62))),"")</f>
        <v>-45.29</v>
      </c>
      <c r="D62" s="7" t="str">
        <f t="array" ref="D62">IF(ROWS(D$4:D62)&lt;=$B$2,INDEX(data!E$3:E$16128,SMALL(IF(data!$D$3:$D$16128='Люлин'!$B$1,ROW(data!$A$3:$A$16128)-ROW($A$3)+1),ROWS(D$4:D62))),"")</f>
        <v>за 02.02-08.02</v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IF(ROWS(A$4:A63)&lt;=$B$2,INDEX(data!C$3:C$16128,SMALL(IF(data!$D$3:$D$16128='Люлин'!$B$1,ROW(data!$A$3:$A$16128)-ROW($A$3)+1),ROWS(A$4:A63))),"")</f>
        <v>46072</v>
      </c>
      <c r="B63" s="19" t="str">
        <f t="array" ref="B63">IF(ROWS(B$4:B63)&lt;=$B$2,INDEX(data!A$3:A$16128,SMALL(IF(data!$D$3:$D$16128='Люлин'!$B$1,ROW(data!$A$3:$A$16128)-ROW($A$3)+1),ROWS(B$4:B63))),"")</f>
        <v>каса ФИКТИВНА</v>
      </c>
      <c r="C63" s="19">
        <f t="array" ref="C63">IF(ROWS(C$4:C63)&lt;=$B$2,INDEX(data!B$3:B$16128,SMALL(IF(data!$D$3:$D$16128='Люлин'!$B$1,ROW(data!$A$3:$A$16128)-ROW($A$3)+1),ROWS(C$4:C63))),"")</f>
        <v>-159.54</v>
      </c>
      <c r="D63" s="7" t="str">
        <f t="array" ref="D63">IF(ROWS(D$4:D63)&lt;=$B$2,INDEX(data!E$3:E$16128,SMALL(IF(data!$D$3:$D$16128='Люлин'!$B$1,ROW(data!$A$3:$A$16128)-ROW($A$3)+1),ROWS(D$4:D63))),"")</f>
        <v>Спартак от премиите</v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IF(ROWS(A$4:A64)&lt;=$B$2,INDEX(data!C$3:C$16128,SMALL(IF(data!$D$3:$D$16128='Люлин'!$B$1,ROW(data!$A$3:$A$16128)-ROW($A$3)+1),ROWS(A$4:A64))),"")</f>
        <v>46073</v>
      </c>
      <c r="B64" s="19" t="str">
        <f t="array" ref="B64">IF(ROWS(B$4:B64)&lt;=$B$2,INDEX(data!A$3:A$16128,SMALL(IF(data!$D$3:$D$16128='Люлин'!$B$1,ROW(data!$A$3:$A$16128)-ROW($A$3)+1),ROWS(B$4:B64))),"")</f>
        <v>Каса ВАУЧЕРИ</v>
      </c>
      <c r="C64" s="19">
        <f t="array" ref="C64">IF(ROWS(C$4:C64)&lt;=$B$2,INDEX(data!B$3:B$16128,SMALL(IF(data!$D$3:$D$16128='Люлин'!$B$1,ROW(data!$A$3:$A$16128)-ROW($A$3)+1),ROWS(C$4:C64))),"")</f>
        <v>900</v>
      </c>
      <c r="D64" s="7" t="str">
        <f t="array" ref="D64">IF(ROWS(D$4:D64)&lt;=$B$2,INDEX(data!E$3:E$16128,SMALL(IF(data!$D$3:$D$16128='Люлин'!$B$1,ROW(data!$A$3:$A$16128)-ROW($A$3)+1),ROWS(D$4:D64))),"")</f>
        <v>ваучери персонал</v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IF(ROWS(A$4:A65)&lt;=$B$2,INDEX(data!C$3:C$16128,SMALL(IF(data!$D$3:$D$16128='Люлин'!$B$1,ROW(data!$A$3:$A$16128)-ROW($A$3)+1),ROWS(A$4:A65))),"")</f>
        <v>46076</v>
      </c>
      <c r="B65" s="19" t="str">
        <f t="array" ref="B65">IF(ROWS(B$4:B65)&lt;=$B$2,INDEX(data!A$3:A$16128,SMALL(IF(data!$D$3:$D$16128='Люлин'!$B$1,ROW(data!$A$3:$A$16128)-ROW($A$3)+1),ROWS(B$4:B65))),"")</f>
        <v>MYPOS Бакалия</v>
      </c>
      <c r="C65" s="19">
        <f t="array" ref="C65">IF(ROWS(C$4:C65)&lt;=$B$2,INDEX(data!B$3:B$16128,SMALL(IF(data!$D$3:$D$16128='Люлин'!$B$1,ROW(data!$A$3:$A$16128)-ROW($A$3)+1),ROWS(C$4:C65))),"")</f>
        <v>-9184.79</v>
      </c>
      <c r="D65" s="7" t="str">
        <f t="array" ref="D65">IF(ROWS(D$4:D65)&lt;=$B$2,INDEX(data!E$3:E$16128,SMALL(IF(data!$D$3:$D$16128='Люлин'!$B$1,ROW(data!$A$3:$A$16128)-ROW($A$3)+1),ROWS(D$4:D65))),"")</f>
        <v/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IF(ROWS(A$4:A66)&lt;=$B$2,INDEX(data!C$3:C$16128,SMALL(IF(data!$D$3:$D$16128='Люлин'!$B$1,ROW(data!$A$3:$A$16128)-ROW($A$3)+1),ROWS(A$4:A66))),"")</f>
        <v>46076</v>
      </c>
      <c r="B66" s="19" t="str">
        <f t="array" ref="B66">IF(ROWS(B$4:B66)&lt;=$B$2,INDEX(data!A$3:A$16128,SMALL(IF(data!$D$3:$D$16128='Люлин'!$B$1,ROW(data!$A$3:$A$16128)-ROW($A$3)+1),ROWS(B$4:B66))),"")</f>
        <v>КАСОВА КНИГА</v>
      </c>
      <c r="C66" s="19">
        <f t="array" ref="C66">IF(ROWS(C$4:C66)&lt;=$B$2,INDEX(data!B$3:B$16128,SMALL(IF(data!$D$3:$D$16128='Люлин'!$B$1,ROW(data!$A$3:$A$16128)-ROW($A$3)+1),ROWS(C$4:C66))),"")</f>
        <v>-1000</v>
      </c>
      <c r="D66" s="7" t="str">
        <f t="array" ref="D66">IF(ROWS(D$4:D66)&lt;=$B$2,INDEX(data!E$3:E$16128,SMALL(IF(data!$D$3:$D$16128='Люлин'!$B$1,ROW(data!$A$3:$A$16128)-ROW($A$3)+1),ROWS(D$4:D66))),"")</f>
        <v/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IF(ROWS(A$4:A67)&lt;=$B$2,INDEX(data!C$3:C$16128,SMALL(IF(data!$D$3:$D$16128='Люлин'!$B$1,ROW(data!$A$3:$A$16128)-ROW($A$3)+1),ROWS(A$4:A67))),"")</f>
        <v>46076</v>
      </c>
      <c r="B67" s="19" t="str">
        <f t="array" ref="B67">IF(ROWS(B$4:B67)&lt;=$B$2,INDEX(data!A$3:A$16128,SMALL(IF(data!$D$3:$D$16128='Люлин'!$B$1,ROW(data!$A$3:$A$16128)-ROW($A$3)+1),ROWS(B$4:B67))),"")</f>
        <v>каса ФИКТИВНА</v>
      </c>
      <c r="C67" s="19">
        <f t="array" ref="C67">IF(ROWS(C$4:C67)&lt;=$B$2,INDEX(data!B$3:B$16128,SMALL(IF(data!$D$3:$D$16128='Люлин'!$B$1,ROW(data!$A$3:$A$16128)-ROW($A$3)+1),ROWS(C$4:C67))),"")</f>
        <v>-500</v>
      </c>
      <c r="D67" s="7" t="str">
        <f t="array" ref="D67">IF(ROWS(D$4:D67)&lt;=$B$2,INDEX(data!E$3:E$16128,SMALL(IF(data!$D$3:$D$16128='Люлин'!$B$1,ROW(data!$A$3:$A$16128)-ROW($A$3)+1),ROWS(D$4:D67))),"")</f>
        <v>500 от 21.02</v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IF(ROWS(A$4:A68)&lt;=$B$2,INDEX(data!C$3:C$16128,SMALL(IF(data!$D$3:$D$16128='Люлин'!$B$1,ROW(data!$A$3:$A$16128)-ROW($A$3)+1),ROWS(A$4:A68))),"")</f>
        <v>46076</v>
      </c>
      <c r="B68" s="19" t="str">
        <f t="array" ref="B68">IF(ROWS(B$4:B68)&lt;=$B$2,INDEX(data!A$3:A$16128,SMALL(IF(data!$D$3:$D$16128='Люлин'!$B$1,ROW(data!$A$3:$A$16128)-ROW($A$3)+1),ROWS(B$4:B68))),"")</f>
        <v>каса ФИКТИВНА</v>
      </c>
      <c r="C68" s="19">
        <f t="array" ref="C68">IF(ROWS(C$4:C68)&lt;=$B$2,INDEX(data!B$3:B$16128,SMALL(IF(data!$D$3:$D$16128='Люлин'!$B$1,ROW(data!$A$3:$A$16128)-ROW($A$3)+1),ROWS(C$4:C68))),"")</f>
        <v>-92</v>
      </c>
      <c r="D68" s="7" t="str">
        <f t="array" ref="D68">IF(ROWS(D$4:D68)&lt;=$B$2,INDEX(data!E$3:E$16128,SMALL(IF(data!$D$3:$D$16128='Люлин'!$B$1,ROW(data!$A$3:$A$16128)-ROW($A$3)+1),ROWS(D$4:D68))),"")</f>
        <v>пазар Тихомир</v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IF(ROWS(A$4:A69)&lt;=$B$2,INDEX(data!C$3:C$16128,SMALL(IF(data!$D$3:$D$16128='Люлин'!$B$1,ROW(data!$A$3:$A$16128)-ROW($A$3)+1),ROWS(A$4:A69))),"")</f>
        <v>46076</v>
      </c>
      <c r="B69" s="19" t="str">
        <f t="array" ref="B69">IF(ROWS(B$4:B69)&lt;=$B$2,INDEX(data!A$3:A$16128,SMALL(IF(data!$D$3:$D$16128='Люлин'!$B$1,ROW(data!$A$3:$A$16128)-ROW($A$3)+1),ROWS(B$4:B69))),"")</f>
        <v>каса ФИКТИВНА</v>
      </c>
      <c r="C69" s="19">
        <f t="array" ref="C69">IF(ROWS(C$4:C69)&lt;=$B$2,INDEX(data!B$3:B$16128,SMALL(IF(data!$D$3:$D$16128='Люлин'!$B$1,ROW(data!$A$3:$A$16128)-ROW($A$3)+1),ROWS(C$4:C69))),"")</f>
        <v>-24</v>
      </c>
      <c r="D69" s="7" t="str">
        <f t="array" ref="D69">IF(ROWS(D$4:D69)&lt;=$B$2,INDEX(data!E$3:E$16128,SMALL(IF(data!$D$3:$D$16128='Люлин'!$B$1,ROW(data!$A$3:$A$16128)-ROW($A$3)+1),ROWS(D$4:D69))),"")</f>
        <v>пазар Тихомир 20.02</v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IF(ROWS(A$4:A70)&lt;=$B$2,INDEX(data!C$3:C$16128,SMALL(IF(data!$D$3:$D$16128='Люлин'!$B$1,ROW(data!$A$3:$A$16128)-ROW($A$3)+1),ROWS(A$4:A70))),"")</f>
        <v>46078</v>
      </c>
      <c r="B70" s="19" t="str">
        <f t="array" ref="B70">IF(ROWS(B$4:B70)&lt;=$B$2,INDEX(data!A$3:A$16128,SMALL(IF(data!$D$3:$D$16128='Люлин'!$B$1,ROW(data!$A$3:$A$16128)-ROW($A$3)+1),ROWS(B$4:B70))),"")</f>
        <v>каса ФИКТИВНА</v>
      </c>
      <c r="C70" s="19">
        <f t="array" ref="C70">IF(ROWS(C$4:C70)&lt;=$B$2,INDEX(data!B$3:B$16128,SMALL(IF(data!$D$3:$D$16128='Люлин'!$B$1,ROW(data!$A$3:$A$16128)-ROW($A$3)+1),ROWS(C$4:C70))),"")</f>
        <v>-167</v>
      </c>
      <c r="D70" s="7" t="str">
        <f t="array" ref="D70">IF(ROWS(D$4:D70)&lt;=$B$2,INDEX(data!E$3:E$16128,SMALL(IF(data!$D$3:$D$16128='Люлин'!$B$1,ROW(data!$A$3:$A$16128)-ROW($A$3)+1),ROWS(D$4:D70))),"")</f>
        <v>пазар Тихомир</v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IF(ROWS(A$4:A71)&lt;=$B$2,INDEX(data!C$3:C$16128,SMALL(IF(data!$D$3:$D$16128='Люлин'!$B$1,ROW(data!$A$3:$A$16128)-ROW($A$3)+1),ROWS(A$4:A71))),"")</f>
        <v>46080</v>
      </c>
      <c r="B71" s="19" t="str">
        <f t="array" ref="B71">IF(ROWS(B$4:B71)&lt;=$B$2,INDEX(data!A$3:A$16128,SMALL(IF(data!$D$3:$D$16128='Люлин'!$B$1,ROW(data!$A$3:$A$16128)-ROW($A$3)+1),ROWS(B$4:B71))),"")</f>
        <v>каса ФИКТИВНА</v>
      </c>
      <c r="C71" s="19">
        <f t="array" ref="C71">IF(ROWS(C$4:C71)&lt;=$B$2,INDEX(data!B$3:B$16128,SMALL(IF(data!$D$3:$D$16128='Люлин'!$B$1,ROW(data!$A$3:$A$16128)-ROW($A$3)+1),ROWS(C$4:C71))),"")</f>
        <v>-44</v>
      </c>
      <c r="D71" s="7" t="str">
        <f t="array" ref="D71">IF(ROWS(D$4:D71)&lt;=$B$2,INDEX(data!E$3:E$16128,SMALL(IF(data!$D$3:$D$16128='Люлин'!$B$1,ROW(data!$A$3:$A$16128)-ROW($A$3)+1),ROWS(D$4:D71))),"")</f>
        <v>пазар Люлин</v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IF(ROWS(A$4:A72)&lt;=$B$2,INDEX(data!C$3:C$16128,SMALL(IF(data!$D$3:$D$16128='Люлин'!$B$1,ROW(data!$A$3:$A$16128)-ROW($A$3)+1),ROWS(A$4:A72))),"")</f>
        <v>46083</v>
      </c>
      <c r="B72" s="19" t="str">
        <f t="array" ref="B72">IF(ROWS(B$4:B72)&lt;=$B$2,INDEX(data!A$3:A$16128,SMALL(IF(data!$D$3:$D$16128='Люлин'!$B$1,ROW(data!$A$3:$A$16128)-ROW($A$3)+1),ROWS(B$4:B72))),"")</f>
        <v>MYPOS Бакалия</v>
      </c>
      <c r="C72" s="19">
        <f t="array" ref="C72">IF(ROWS(C$4:C72)&lt;=$B$2,INDEX(data!B$3:B$16128,SMALL(IF(data!$D$3:$D$16128='Люлин'!$B$1,ROW(data!$A$3:$A$16128)-ROW($A$3)+1),ROWS(C$4:C72))),"")</f>
        <v>-4102.06</v>
      </c>
      <c r="D72" s="7" t="str">
        <f t="array" ref="D72">IF(ROWS(D$4:D72)&lt;=$B$2,INDEX(data!E$3:E$16128,SMALL(IF(data!$D$3:$D$16128='Люлин'!$B$1,ROW(data!$A$3:$A$16128)-ROW($A$3)+1),ROWS(D$4:D72))),"")</f>
        <v/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IF(ROWS(A$4:A73)&lt;=$B$2,INDEX(data!C$3:C$16128,SMALL(IF(data!$D$3:$D$16128='Люлин'!$B$1,ROW(data!$A$3:$A$16128)-ROW($A$3)+1),ROWS(A$4:A73))),"")</f>
        <v>46083</v>
      </c>
      <c r="B73" s="19" t="str">
        <f t="array" ref="B73">IF(ROWS(B$4:B73)&lt;=$B$2,INDEX(data!A$3:A$16128,SMALL(IF(data!$D$3:$D$16128='Люлин'!$B$1,ROW(data!$A$3:$A$16128)-ROW($A$3)+1),ROWS(B$4:B73))),"")</f>
        <v>каса ФИКТИВНА</v>
      </c>
      <c r="C73" s="19">
        <f t="array" ref="C73">IF(ROWS(C$4:C73)&lt;=$B$2,INDEX(data!B$3:B$16128,SMALL(IF(data!$D$3:$D$16128='Люлин'!$B$1,ROW(data!$A$3:$A$16128)-ROW($A$3)+1),ROWS(C$4:C73))),"")</f>
        <v>-8</v>
      </c>
      <c r="D73" s="7" t="str">
        <f t="array" ref="D73">IF(ROWS(D$4:D73)&lt;=$B$2,INDEX(data!E$3:E$16128,SMALL(IF(data!$D$3:$D$16128='Люлин'!$B$1,ROW(data!$A$3:$A$16128)-ROW($A$3)+1),ROWS(D$4:D73))),"")</f>
        <v>пазар Милена</v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IF(ROWS(A$4:A74)&lt;=$B$2,INDEX(data!C$3:C$16128,SMALL(IF(data!$D$3:$D$16128='Люлин'!$B$1,ROW(data!$A$3:$A$16128)-ROW($A$3)+1),ROWS(A$4:A74))),"")</f>
        <v>46083</v>
      </c>
      <c r="B74" s="19" t="str">
        <f t="array" ref="B74">IF(ROWS(B$4:B74)&lt;=$B$2,INDEX(data!A$3:A$16128,SMALL(IF(data!$D$3:$D$16128='Люлин'!$B$1,ROW(data!$A$3:$A$16128)-ROW($A$3)+1),ROWS(B$4:B74))),"")</f>
        <v>каса ФИКТИВНА</v>
      </c>
      <c r="C74" s="19">
        <f t="array" ref="C74">IF(ROWS(C$4:C74)&lt;=$B$2,INDEX(data!B$3:B$16128,SMALL(IF(data!$D$3:$D$16128='Люлин'!$B$1,ROW(data!$A$3:$A$16128)-ROW($A$3)+1),ROWS(C$4:C74))),"")</f>
        <v>-188</v>
      </c>
      <c r="D74" s="7" t="str">
        <f t="array" ref="D74">IF(ROWS(D$4:D74)&lt;=$B$2,INDEX(data!E$3:E$16128,SMALL(IF(data!$D$3:$D$16128='Люлин'!$B$1,ROW(data!$A$3:$A$16128)-ROW($A$3)+1),ROWS(D$4:D74))),"")</f>
        <v>пазар Тихомир</v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IF(ROWS(A$4:A75)&lt;=$B$2,INDEX(data!C$3:C$16128,SMALL(IF(data!$D$3:$D$16128='Люлин'!$B$1,ROW(data!$A$3:$A$16128)-ROW($A$3)+1),ROWS(A$4:A75))),"")</f>
        <v>46085</v>
      </c>
      <c r="B75" s="19" t="str">
        <f t="array" ref="B75">IF(ROWS(B$4:B75)&lt;=$B$2,INDEX(data!A$3:A$16128,SMALL(IF(data!$D$3:$D$16128='Люлин'!$B$1,ROW(data!$A$3:$A$16128)-ROW($A$3)+1),ROWS(B$4:B75))),"")</f>
        <v>каса ФИКТИВНА</v>
      </c>
      <c r="C75" s="19">
        <f t="array" ref="C75">IF(ROWS(C$4:C75)&lt;=$B$2,INDEX(data!B$3:B$16128,SMALL(IF(data!$D$3:$D$16128='Люлин'!$B$1,ROW(data!$A$3:$A$16128)-ROW($A$3)+1),ROWS(C$4:C75))),"")</f>
        <v>-140</v>
      </c>
      <c r="D75" s="7" t="str">
        <f t="array" ref="D75">IF(ROWS(D$4:D75)&lt;=$B$2,INDEX(data!E$3:E$16128,SMALL(IF(data!$D$3:$D$16128='Люлин'!$B$1,ROW(data!$A$3:$A$16128)-ROW($A$3)+1),ROWS(D$4:D75))),"")</f>
        <v>пазар Тихомир</v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IF(ROWS(A$4:A76)&lt;=$B$2,INDEX(data!C$3:C$16128,SMALL(IF(data!$D$3:$D$16128='Люлин'!$B$1,ROW(data!$A$3:$A$16128)-ROW($A$3)+1),ROWS(A$4:A76))),"")</f>
        <v>46086</v>
      </c>
      <c r="B76" s="19" t="str">
        <f t="array" ref="B76">IF(ROWS(B$4:B76)&lt;=$B$2,INDEX(data!A$3:A$16128,SMALL(IF(data!$D$3:$D$16128='Люлин'!$B$1,ROW(data!$A$3:$A$16128)-ROW($A$3)+1),ROWS(B$4:B76))),"")</f>
        <v>ЗАЕМ</v>
      </c>
      <c r="C76" s="19">
        <f t="array" ref="C76">IF(ROWS(C$4:C76)&lt;=$B$2,INDEX(data!B$3:B$16128,SMALL(IF(data!$D$3:$D$16128='Люлин'!$B$1,ROW(data!$A$3:$A$16128)-ROW($A$3)+1),ROWS(C$4:C76))),"")</f>
        <v>35842.22</v>
      </c>
      <c r="D76" s="7" t="str">
        <f t="array" ref="D76">IF(ROWS(D$4:D76)&lt;=$B$2,INDEX(data!E$3:E$16128,SMALL(IF(data!$D$3:$D$16128='Люлин'!$B$1,ROW(data!$A$3:$A$16128)-ROW($A$3)+1),ROWS(D$4:D76))),"")</f>
        <v>Салдо склад + вътр. п-не</v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IF(ROWS(A$4:A77)&lt;=$B$2,INDEX(data!C$3:C$16128,SMALL(IF(data!$D$3:$D$16128='Люлин'!$B$1,ROW(data!$A$3:$A$16128)-ROW($A$3)+1),ROWS(A$4:A77))),"")</f>
        <v>46087</v>
      </c>
      <c r="B77" s="19" t="str">
        <f t="array" ref="B77">IF(ROWS(B$4:B77)&lt;=$B$2,INDEX(data!A$3:A$16128,SMALL(IF(data!$D$3:$D$16128='Люлин'!$B$1,ROW(data!$A$3:$A$16128)-ROW($A$3)+1),ROWS(B$4:B77))),"")</f>
        <v>Каса ВАУЧЕРИ</v>
      </c>
      <c r="C77" s="19">
        <f t="array" ref="C77">IF(ROWS(C$4:C77)&lt;=$B$2,INDEX(data!B$3:B$16128,SMALL(IF(data!$D$3:$D$16128='Люлин'!$B$1,ROW(data!$A$3:$A$16128)-ROW($A$3)+1),ROWS(C$4:C77))),"")</f>
        <v>-6.2</v>
      </c>
      <c r="D77" s="7" t="str">
        <f t="array" ref="D77">IF(ROWS(D$4:D77)&lt;=$B$2,INDEX(data!E$3:E$16128,SMALL(IF(data!$D$3:$D$16128='Люлин'!$B$1,ROW(data!$A$3:$A$16128)-ROW($A$3)+1),ROWS(D$4:D77))),"")</f>
        <v>за 09-15.02</v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IF(ROWS(A$4:A78)&lt;=$B$2,INDEX(data!C$3:C$16128,SMALL(IF(data!$D$3:$D$16128='Люлин'!$B$1,ROW(data!$A$3:$A$16128)-ROW($A$3)+1),ROWS(A$4:A78))),"")</f>
        <v>46087</v>
      </c>
      <c r="B78" s="19" t="str">
        <f t="array" ref="B78">IF(ROWS(B$4:B78)&lt;=$B$2,INDEX(data!A$3:A$16128,SMALL(IF(data!$D$3:$D$16128='Люлин'!$B$1,ROW(data!$A$3:$A$16128)-ROW($A$3)+1),ROWS(B$4:B78))),"")</f>
        <v>Каса ВАУЧЕРИ</v>
      </c>
      <c r="C78" s="19">
        <f t="array" ref="C78">IF(ROWS(C$4:C78)&lt;=$B$2,INDEX(data!B$3:B$16128,SMALL(IF(data!$D$3:$D$16128='Люлин'!$B$1,ROW(data!$A$3:$A$16128)-ROW($A$3)+1),ROWS(C$4:C78))),"")</f>
        <v>-122.04</v>
      </c>
      <c r="D78" s="7" t="str">
        <f t="array" ref="D78">IF(ROWS(D$4:D78)&lt;=$B$2,INDEX(data!E$3:E$16128,SMALL(IF(data!$D$3:$D$16128='Люлин'!$B$1,ROW(data!$A$3:$A$16128)-ROW($A$3)+1),ROWS(D$4:D78))),"")</f>
        <v>за 16-22.02</v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IF(ROWS(A$4:A79)&lt;=$B$2,INDEX(data!C$3:C$16128,SMALL(IF(data!$D$3:$D$16128='Люлин'!$B$1,ROW(data!$A$3:$A$16128)-ROW($A$3)+1),ROWS(A$4:A79))),"")</f>
        <v>46087</v>
      </c>
      <c r="B79" s="19" t="str">
        <f t="array" ref="B79">IF(ROWS(B$4:B79)&lt;=$B$2,INDEX(data!A$3:A$16128,SMALL(IF(data!$D$3:$D$16128='Люлин'!$B$1,ROW(data!$A$3:$A$16128)-ROW($A$3)+1),ROWS(B$4:B79))),"")</f>
        <v>каса ФИКТИВНА</v>
      </c>
      <c r="C79" s="19">
        <f t="array" ref="C79">IF(ROWS(C$4:C79)&lt;=$B$2,INDEX(data!B$3:B$16128,SMALL(IF(data!$D$3:$D$16128='Люлин'!$B$1,ROW(data!$A$3:$A$16128)-ROW($A$3)+1),ROWS(C$4:C79))),"")</f>
        <v>-37</v>
      </c>
      <c r="D79" s="7" t="str">
        <f t="array" ref="D79">IF(ROWS(D$4:D79)&lt;=$B$2,INDEX(data!E$3:E$16128,SMALL(IF(data!$D$3:$D$16128='Люлин'!$B$1,ROW(data!$A$3:$A$16128)-ROW($A$3)+1),ROWS(D$4:D79))),"")</f>
        <v>пазар Тихомир</v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IF(ROWS(A$4:A80)&lt;=$B$2,INDEX(data!C$3:C$16128,SMALL(IF(data!$D$3:$D$16128='Люлин'!$B$1,ROW(data!$A$3:$A$16128)-ROW($A$3)+1),ROWS(A$4:A80))),"")</f>
        <v>46090</v>
      </c>
      <c r="B80" s="19" t="str">
        <f t="array" ref="B80">IF(ROWS(B$4:B80)&lt;=$B$2,INDEX(data!A$3:A$16128,SMALL(IF(data!$D$3:$D$16128='Люлин'!$B$1,ROW(data!$A$3:$A$16128)-ROW($A$3)+1),ROWS(B$4:B80))),"")</f>
        <v>MYPOS Бакалия</v>
      </c>
      <c r="C80" s="19">
        <f t="array" ref="C80">IF(ROWS(C$4:C80)&lt;=$B$2,INDEX(data!B$3:B$16128,SMALL(IF(data!$D$3:$D$16128='Люлин'!$B$1,ROW(data!$A$3:$A$16128)-ROW($A$3)+1),ROWS(C$4:C80))),"")</f>
        <v>-6933.49</v>
      </c>
      <c r="D80" s="7" t="str">
        <f t="array" ref="D80">IF(ROWS(D$4:D80)&lt;=$B$2,INDEX(data!E$3:E$16128,SMALL(IF(data!$D$3:$D$16128='Люлин'!$B$1,ROW(data!$A$3:$A$16128)-ROW($A$3)+1),ROWS(D$4:D80))),"")</f>
        <v/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IF(ROWS(A$4:A81)&lt;=$B$2,INDEX(data!C$3:C$16128,SMALL(IF(data!$D$3:$D$16128='Люлин'!$B$1,ROW(data!$A$3:$A$16128)-ROW($A$3)+1),ROWS(A$4:A81))),"")</f>
        <v>46090</v>
      </c>
      <c r="B81" s="19" t="str">
        <f t="array" ref="B81">IF(ROWS(B$4:B81)&lt;=$B$2,INDEX(data!A$3:A$16128,SMALL(IF(data!$D$3:$D$16128='Люлин'!$B$1,ROW(data!$A$3:$A$16128)-ROW($A$3)+1),ROWS(B$4:B81))),"")</f>
        <v>КАСОВА КНИГА</v>
      </c>
      <c r="C81" s="19">
        <f t="array" ref="C81">IF(ROWS(C$4:C81)&lt;=$B$2,INDEX(data!B$3:B$16128,SMALL(IF(data!$D$3:$D$16128='Люлин'!$B$1,ROW(data!$A$3:$A$16128)-ROW($A$3)+1),ROWS(C$4:C81))),"")</f>
        <v>-500</v>
      </c>
      <c r="D81" s="7" t="str">
        <f t="array" ref="D81">IF(ROWS(D$4:D81)&lt;=$B$2,INDEX(data!E$3:E$16128,SMALL(IF(data!$D$3:$D$16128='Люлин'!$B$1,ROW(data!$A$3:$A$16128)-ROW($A$3)+1),ROWS(D$4:D81))),"")</f>
        <v/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IF(ROWS(A$4:A82)&lt;=$B$2,INDEX(data!C$3:C$16128,SMALL(IF(data!$D$3:$D$16128='Люлин'!$B$1,ROW(data!$A$3:$A$16128)-ROW($A$3)+1),ROWS(A$4:A82))),"")</f>
        <v>46090</v>
      </c>
      <c r="B82" s="19" t="str">
        <f t="array" ref="B82">IF(ROWS(B$4:B82)&lt;=$B$2,INDEX(data!A$3:A$16128,SMALL(IF(data!$D$3:$D$16128='Люлин'!$B$1,ROW(data!$A$3:$A$16128)-ROW($A$3)+1),ROWS(B$4:B82))),"")</f>
        <v>ПроКредит бакал</v>
      </c>
      <c r="C82" s="19">
        <f t="array" ref="C82">IF(ROWS(C$4:C82)&lt;=$B$2,INDEX(data!B$3:B$16128,SMALL(IF(data!$D$3:$D$16128='Люлин'!$B$1,ROW(data!$A$3:$A$16128)-ROW($A$3)+1),ROWS(C$4:C82))),"")</f>
        <v>-6744.92</v>
      </c>
      <c r="D82" s="7" t="str">
        <f t="array" ref="D82">IF(ROWS(D$4:D82)&lt;=$B$2,INDEX(data!E$3:E$16128,SMALL(IF(data!$D$3:$D$16128='Люлин'!$B$1,ROW(data!$A$3:$A$16128)-ROW($A$3)+1),ROWS(D$4:D82))),"")</f>
        <v/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IF(ROWS(A$4:A83)&lt;=$B$2,INDEX(data!C$3:C$16128,SMALL(IF(data!$D$3:$D$16128='Люлин'!$B$1,ROW(data!$A$3:$A$16128)-ROW($A$3)+1),ROWS(A$4:A83))),"")</f>
        <v>46090</v>
      </c>
      <c r="B83" s="19" t="str">
        <f t="array" ref="B83">IF(ROWS(B$4:B83)&lt;=$B$2,INDEX(data!A$3:A$16128,SMALL(IF(data!$D$3:$D$16128='Люлин'!$B$1,ROW(data!$A$3:$A$16128)-ROW($A$3)+1),ROWS(B$4:B83))),"")</f>
        <v>каса ФИКТИВНА</v>
      </c>
      <c r="C83" s="19">
        <f t="array" ref="C83">IF(ROWS(C$4:C83)&lt;=$B$2,INDEX(data!B$3:B$16128,SMALL(IF(data!$D$3:$D$16128='Люлин'!$B$1,ROW(data!$A$3:$A$16128)-ROW($A$3)+1),ROWS(C$4:C83))),"")</f>
        <v>-1000</v>
      </c>
      <c r="D83" s="7" t="str">
        <f t="array" ref="D83">IF(ROWS(D$4:D83)&lt;=$B$2,INDEX(data!E$3:E$16128,SMALL(IF(data!$D$3:$D$16128='Люлин'!$B$1,ROW(data!$A$3:$A$16128)-ROW($A$3)+1),ROWS(D$4:D83))),"")</f>
        <v>1000 от 07.03</v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IF(ROWS(A$4:A84)&lt;=$B$2,INDEX(data!C$3:C$16128,SMALL(IF(data!$D$3:$D$16128='Люлин'!$B$1,ROW(data!$A$3:$A$16128)-ROW($A$3)+1),ROWS(A$4:A84))),"")</f>
        <v>46090</v>
      </c>
      <c r="B84" s="19" t="str">
        <f t="array" ref="B84">IF(ROWS(B$4:B84)&lt;=$B$2,INDEX(data!A$3:A$16128,SMALL(IF(data!$D$3:$D$16128='Люлин'!$B$1,ROW(data!$A$3:$A$16128)-ROW($A$3)+1),ROWS(B$4:B84))),"")</f>
        <v>каса ФИКТИВНА</v>
      </c>
      <c r="C84" s="19">
        <f t="array" ref="C84">IF(ROWS(C$4:C84)&lt;=$B$2,INDEX(data!B$3:B$16128,SMALL(IF(data!$D$3:$D$16128='Люлин'!$B$1,ROW(data!$A$3:$A$16128)-ROW($A$3)+1),ROWS(C$4:C84))),"")</f>
        <v>-13</v>
      </c>
      <c r="D84" s="7" t="str">
        <f t="array" ref="D84">IF(ROWS(D$4:D84)&lt;=$B$2,INDEX(data!E$3:E$16128,SMALL(IF(data!$D$3:$D$16128='Люлин'!$B$1,ROW(data!$A$3:$A$16128)-ROW($A$3)+1),ROWS(D$4:D84))),"")</f>
        <v>галони Милена</v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IF(ROWS(A$4:A85)&lt;=$B$2,INDEX(data!C$3:C$16128,SMALL(IF(data!$D$3:$D$16128='Люлин'!$B$1,ROW(data!$A$3:$A$16128)-ROW($A$3)+1),ROWS(A$4:A85))),"")</f>
        <v>46090</v>
      </c>
      <c r="B85" s="19" t="str">
        <f t="array" ref="B85">IF(ROWS(B$4:B85)&lt;=$B$2,INDEX(data!A$3:A$16128,SMALL(IF(data!$D$3:$D$16128='Люлин'!$B$1,ROW(data!$A$3:$A$16128)-ROW($A$3)+1),ROWS(B$4:B85))),"")</f>
        <v>каса ФИКТИВНА</v>
      </c>
      <c r="C85" s="19">
        <f t="array" ref="C85">IF(ROWS(C$4:C85)&lt;=$B$2,INDEX(data!B$3:B$16128,SMALL(IF(data!$D$3:$D$16128='Люлин'!$B$1,ROW(data!$A$3:$A$16128)-ROW($A$3)+1),ROWS(C$4:C85))),"")</f>
        <v>-172</v>
      </c>
      <c r="D85" s="7" t="str">
        <f t="array" ref="D85">IF(ROWS(D$4:D85)&lt;=$B$2,INDEX(data!E$3:E$16128,SMALL(IF(data!$D$3:$D$16128='Люлин'!$B$1,ROW(data!$A$3:$A$16128)-ROW($A$3)+1),ROWS(D$4:D85))),"")</f>
        <v>пазар Тихомир</v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IF(ROWS(A$4:A86)&lt;=$B$2,INDEX(data!C$3:C$16128,SMALL(IF(data!$D$3:$D$16128='Люлин'!$B$1,ROW(data!$A$3:$A$16128)-ROW($A$3)+1),ROWS(A$4:A86))),"")</f>
        <v>46091</v>
      </c>
      <c r="B86" s="19" t="str">
        <f t="array" ref="B86">IF(ROWS(B$4:B86)&lt;=$B$2,INDEX(data!A$3:A$16128,SMALL(IF(data!$D$3:$D$16128='Люлин'!$B$1,ROW(data!$A$3:$A$16128)-ROW($A$3)+1),ROWS(B$4:B86))),"")</f>
        <v>каса ФИКТИВНА</v>
      </c>
      <c r="C86" s="19">
        <f t="array" ref="C86">IF(ROWS(C$4:C86)&lt;=$B$2,INDEX(data!B$3:B$16128,SMALL(IF(data!$D$3:$D$16128='Люлин'!$B$1,ROW(data!$A$3:$A$16128)-ROW($A$3)+1),ROWS(C$4:C86))),"")</f>
        <v>-4.5</v>
      </c>
      <c r="D86" s="7" t="str">
        <f t="array" ref="D86">IF(ROWS(D$4:D86)&lt;=$B$2,INDEX(data!E$3:E$16128,SMALL(IF(data!$D$3:$D$16128='Люлин'!$B$1,ROW(data!$A$3:$A$16128)-ROW($A$3)+1),ROWS(D$4:D86))),"")</f>
        <v>пазар Ния</v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IF(ROWS(A$4:A87)&lt;=$B$2,INDEX(data!C$3:C$16128,SMALL(IF(data!$D$3:$D$16128='Люлин'!$B$1,ROW(data!$A$3:$A$16128)-ROW($A$3)+1),ROWS(A$4:A87))),"")</f>
        <v>46091</v>
      </c>
      <c r="B87" s="19" t="str">
        <f t="array" ref="B87">IF(ROWS(B$4:B87)&lt;=$B$2,INDEX(data!A$3:A$16128,SMALL(IF(data!$D$3:$D$16128='Люлин'!$B$1,ROW(data!$A$3:$A$16128)-ROW($A$3)+1),ROWS(B$4:B87))),"")</f>
        <v>каса ФИКТИВНА</v>
      </c>
      <c r="C87" s="19">
        <f t="array" ref="C87">IF(ROWS(C$4:C87)&lt;=$B$2,INDEX(data!B$3:B$16128,SMALL(IF(data!$D$3:$D$16128='Люлин'!$B$1,ROW(data!$A$3:$A$16128)-ROW($A$3)+1),ROWS(C$4:C87))),"")</f>
        <v>-13.5</v>
      </c>
      <c r="D87" s="7" t="str">
        <f t="array" ref="D87">IF(ROWS(D$4:D87)&lt;=$B$2,INDEX(data!E$3:E$16128,SMALL(IF(data!$D$3:$D$16128='Люлин'!$B$1,ROW(data!$A$3:$A$16128)-ROW($A$3)+1),ROWS(D$4:D87))),"")</f>
        <v>пазар Тихомир</v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IF(ROWS(A$4:A88)&lt;=$B$2,INDEX(data!C$3:C$16128,SMALL(IF(data!$D$3:$D$16128='Люлин'!$B$1,ROW(data!$A$3:$A$16128)-ROW($A$3)+1),ROWS(A$4:A88))),"")</f>
        <v>46092</v>
      </c>
      <c r="B88" s="19" t="str">
        <f t="array" ref="B88">IF(ROWS(B$4:B88)&lt;=$B$2,INDEX(data!A$3:A$16128,SMALL(IF(data!$D$3:$D$16128='Люлин'!$B$1,ROW(data!$A$3:$A$16128)-ROW($A$3)+1),ROWS(B$4:B88))),"")</f>
        <v>каса ФИКТИВНА</v>
      </c>
      <c r="C88" s="19">
        <f t="array" ref="C88">IF(ROWS(C$4:C88)&lt;=$B$2,INDEX(data!B$3:B$16128,SMALL(IF(data!$D$3:$D$16128='Люлин'!$B$1,ROW(data!$A$3:$A$16128)-ROW($A$3)+1),ROWS(C$4:C88))),"")</f>
        <v>-138</v>
      </c>
      <c r="D88" s="7" t="str">
        <f t="array" ref="D88">IF(ROWS(D$4:D88)&lt;=$B$2,INDEX(data!E$3:E$16128,SMALL(IF(data!$D$3:$D$16128='Люлин'!$B$1,ROW(data!$A$3:$A$16128)-ROW($A$3)+1),ROWS(D$4:D88))),"")</f>
        <v>пазар Тихомир</v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IF(ROWS(A$4:A89)&lt;=$B$2,INDEX(data!C$3:C$16128,SMALL(IF(data!$D$3:$D$16128='Люлин'!$B$1,ROW(data!$A$3:$A$16128)-ROW($A$3)+1),ROWS(A$4:A89))),"")</f>
        <v>46094</v>
      </c>
      <c r="B89" s="19" t="str">
        <f t="array" ref="B89">IF(ROWS(B$4:B89)&lt;=$B$2,INDEX(data!A$3:A$16128,SMALL(IF(data!$D$3:$D$16128='Люлин'!$B$1,ROW(data!$A$3:$A$16128)-ROW($A$3)+1),ROWS(B$4:B89))),"")</f>
        <v>каса ФИКТИВНА</v>
      </c>
      <c r="C89" s="19">
        <f t="array" ref="C89">IF(ROWS(C$4:C89)&lt;=$B$2,INDEX(data!B$3:B$16128,SMALL(IF(data!$D$3:$D$16128='Люлин'!$B$1,ROW(data!$A$3:$A$16128)-ROW($A$3)+1),ROWS(C$4:C89))),"")</f>
        <v>-41</v>
      </c>
      <c r="D89" s="7" t="str">
        <f t="array" ref="D89">IF(ROWS(D$4:D89)&lt;=$B$2,INDEX(data!E$3:E$16128,SMALL(IF(data!$D$3:$D$16128='Люлин'!$B$1,ROW(data!$A$3:$A$16128)-ROW($A$3)+1),ROWS(D$4:D89))),"")</f>
        <v>пазар Тихомир</v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IF(ROWS(A$4:A90)&lt;=$B$2,INDEX(data!C$3:C$16128,SMALL(IF(data!$D$3:$D$16128='Люлин'!$B$1,ROW(data!$A$3:$A$16128)-ROW($A$3)+1),ROWS(A$4:A90))),"")</f>
        <v>46097</v>
      </c>
      <c r="B90" s="19" t="str">
        <f t="array" ref="B90">IF(ROWS(B$4:B90)&lt;=$B$2,INDEX(data!A$3:A$16128,SMALL(IF(data!$D$3:$D$16128='Люлин'!$B$1,ROW(data!$A$3:$A$16128)-ROW($A$3)+1),ROWS(B$4:B90))),"")</f>
        <v>MYPOS Бакалия</v>
      </c>
      <c r="C90" s="19">
        <f t="array" ref="C90">IF(ROWS(C$4:C90)&lt;=$B$2,INDEX(data!B$3:B$16128,SMALL(IF(data!$D$3:$D$16128='Люлин'!$B$1,ROW(data!$A$3:$A$16128)-ROW($A$3)+1),ROWS(C$4:C90))),"")</f>
        <v>-8443.57</v>
      </c>
      <c r="D90" s="7" t="str">
        <f t="array" ref="D90">IF(ROWS(D$4:D90)&lt;=$B$2,INDEX(data!E$3:E$16128,SMALL(IF(data!$D$3:$D$16128='Люлин'!$B$1,ROW(data!$A$3:$A$16128)-ROW($A$3)+1),ROWS(D$4:D90))),"")</f>
        <v/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IF(ROWS(A$4:A91)&lt;=$B$2,INDEX(data!C$3:C$16128,SMALL(IF(data!$D$3:$D$16128='Люлин'!$B$1,ROW(data!$A$3:$A$16128)-ROW($A$3)+1),ROWS(A$4:A91))),"")</f>
        <v>46097</v>
      </c>
      <c r="B91" s="19" t="str">
        <f t="array" ref="B91">IF(ROWS(B$4:B91)&lt;=$B$2,INDEX(data!A$3:A$16128,SMALL(IF(data!$D$3:$D$16128='Люлин'!$B$1,ROW(data!$A$3:$A$16128)-ROW($A$3)+1),ROWS(B$4:B91))),"")</f>
        <v>КАСОВА КНИГА</v>
      </c>
      <c r="C91" s="19">
        <f t="array" ref="C91">IF(ROWS(C$4:C91)&lt;=$B$2,INDEX(data!B$3:B$16128,SMALL(IF(data!$D$3:$D$16128='Люлин'!$B$1,ROW(data!$A$3:$A$16128)-ROW($A$3)+1),ROWS(C$4:C91))),"")</f>
        <v>-1000</v>
      </c>
      <c r="D91" s="7" t="str">
        <f t="array" ref="D91">IF(ROWS(D$4:D91)&lt;=$B$2,INDEX(data!E$3:E$16128,SMALL(IF(data!$D$3:$D$16128='Люлин'!$B$1,ROW(data!$A$3:$A$16128)-ROW($A$3)+1),ROWS(D$4:D91))),"")</f>
        <v/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IF(ROWS(A$4:A92)&lt;=$B$2,INDEX(data!C$3:C$16128,SMALL(IF(data!$D$3:$D$16128='Люлин'!$B$1,ROW(data!$A$3:$A$16128)-ROW($A$3)+1),ROWS(A$4:A92))),"")</f>
        <v>46097</v>
      </c>
      <c r="B92" s="19" t="str">
        <f t="array" ref="B92">IF(ROWS(B$4:B92)&lt;=$B$2,INDEX(data!A$3:A$16128,SMALL(IF(data!$D$3:$D$16128='Люлин'!$B$1,ROW(data!$A$3:$A$16128)-ROW($A$3)+1),ROWS(B$4:B92))),"")</f>
        <v>КАСОВА КНИГА</v>
      </c>
      <c r="C92" s="19">
        <f t="array" ref="C92">IF(ROWS(C$4:C92)&lt;=$B$2,INDEX(data!B$3:B$16128,SMALL(IF(data!$D$3:$D$16128='Люлин'!$B$1,ROW(data!$A$3:$A$16128)-ROW($A$3)+1),ROWS(C$4:C92))),"")</f>
        <v>-1000</v>
      </c>
      <c r="D92" s="7" t="str">
        <f t="array" ref="D92">IF(ROWS(D$4:D92)&lt;=$B$2,INDEX(data!E$3:E$16128,SMALL(IF(data!$D$3:$D$16128='Люлин'!$B$1,ROW(data!$A$3:$A$16128)-ROW($A$3)+1),ROWS(D$4:D92))),"")</f>
        <v>1000 от 14.03</v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IF(ROWS(A$4:A93)&lt;=$B$2,INDEX(data!C$3:C$16128,SMALL(IF(data!$D$3:$D$16128='Люлин'!$B$1,ROW(data!$A$3:$A$16128)-ROW($A$3)+1),ROWS(A$4:A93))),"")</f>
        <v>46097</v>
      </c>
      <c r="B93" s="19" t="str">
        <f t="array" ref="B93">IF(ROWS(B$4:B93)&lt;=$B$2,INDEX(data!A$3:A$16128,SMALL(IF(data!$D$3:$D$16128='Люлин'!$B$1,ROW(data!$A$3:$A$16128)-ROW($A$3)+1),ROWS(B$4:B93))),"")</f>
        <v>каса ФИКТИВНА</v>
      </c>
      <c r="C93" s="19">
        <f t="array" ref="C93">IF(ROWS(C$4:C93)&lt;=$B$2,INDEX(data!B$3:B$16128,SMALL(IF(data!$D$3:$D$16128='Люлин'!$B$1,ROW(data!$A$3:$A$16128)-ROW($A$3)+1),ROWS(C$4:C93))),"")</f>
        <v>-89.4</v>
      </c>
      <c r="D93" s="7" t="str">
        <f t="array" ref="D93">IF(ROWS(D$4:D93)&lt;=$B$2,INDEX(data!E$3:E$16128,SMALL(IF(data!$D$3:$D$16128='Люлин'!$B$1,ROW(data!$A$3:$A$16128)-ROW($A$3)+1),ROWS(D$4:D93))),"")</f>
        <v>пазар Тихомир</v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IF(ROWS(A$4:A94)&lt;=$B$2,INDEX(data!C$3:C$16128,SMALL(IF(data!$D$3:$D$16128='Люлин'!$B$1,ROW(data!$A$3:$A$16128)-ROW($A$3)+1),ROWS(A$4:A94))),"")</f>
        <v>46098</v>
      </c>
      <c r="B94" s="19" t="str">
        <f t="array" ref="B94">IF(ROWS(B$4:B94)&lt;=$B$2,INDEX(data!A$3:A$16128,SMALL(IF(data!$D$3:$D$16128='Люлин'!$B$1,ROW(data!$A$3:$A$16128)-ROW($A$3)+1),ROWS(B$4:B94))),"")</f>
        <v>каса ФИКТИВНА</v>
      </c>
      <c r="C94" s="19">
        <f t="array" ref="C94">IF(ROWS(C$4:C94)&lt;=$B$2,INDEX(data!B$3:B$16128,SMALL(IF(data!$D$3:$D$16128='Люлин'!$B$1,ROW(data!$A$3:$A$16128)-ROW($A$3)+1),ROWS(C$4:C94))),"")</f>
        <v>-90.75</v>
      </c>
      <c r="D94" s="7" t="str">
        <f t="array" ref="D94">IF(ROWS(D$4:D94)&lt;=$B$2,INDEX(data!E$3:E$16128,SMALL(IF(data!$D$3:$D$16128='Люлин'!$B$1,ROW(data!$A$3:$A$16128)-ROW($A$3)+1),ROWS(D$4:D94))),"")</f>
        <v>пазар Тихомир</v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>
        <f t="array" ref="A95">IF(ROWS(A$4:A95)&lt;=$B$2,INDEX(data!C$3:C$16128,SMALL(IF(data!$D$3:$D$16128='Люлин'!$B$1,ROW(data!$A$3:$A$16128)-ROW($A$3)+1),ROWS(A$4:A95))),"")</f>
        <v>46099</v>
      </c>
      <c r="B95" s="19" t="str">
        <f t="array" ref="B95">IF(ROWS(B$4:B95)&lt;=$B$2,INDEX(data!A$3:A$16128,SMALL(IF(data!$D$3:$D$16128='Люлин'!$B$1,ROW(data!$A$3:$A$16128)-ROW($A$3)+1),ROWS(B$4:B95))),"")</f>
        <v>каса ФИКТИВНА</v>
      </c>
      <c r="C95" s="19">
        <f t="array" ref="C95">IF(ROWS(C$4:C95)&lt;=$B$2,INDEX(data!B$3:B$16128,SMALL(IF(data!$D$3:$D$16128='Люлин'!$B$1,ROW(data!$A$3:$A$16128)-ROW($A$3)+1),ROWS(C$4:C95))),"")</f>
        <v>-85</v>
      </c>
      <c r="D95" s="7" t="str">
        <f t="array" ref="D95">IF(ROWS(D$4:D95)&lt;=$B$2,INDEX(data!E$3:E$16128,SMALL(IF(data!$D$3:$D$16128='Люлин'!$B$1,ROW(data!$A$3:$A$16128)-ROW($A$3)+1),ROWS(D$4:D95))),"")</f>
        <v>пазар Тихомир</v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>
        <f t="array" ref="A96">IF(ROWS(A$4:A96)&lt;=$B$2,INDEX(data!C$3:C$16128,SMALL(IF(data!$D$3:$D$16128='Люлин'!$B$1,ROW(data!$A$3:$A$16128)-ROW($A$3)+1),ROWS(A$4:A96))),"")</f>
        <v>46101</v>
      </c>
      <c r="B96" s="19" t="str">
        <f t="array" ref="B96">IF(ROWS(B$4:B96)&lt;=$B$2,INDEX(data!A$3:A$16128,SMALL(IF(data!$D$3:$D$16128='Люлин'!$B$1,ROW(data!$A$3:$A$16128)-ROW($A$3)+1),ROWS(B$4:B96))),"")</f>
        <v>Каса ВАУЧЕРИ</v>
      </c>
      <c r="C96" s="19">
        <f t="array" ref="C96">IF(ROWS(C$4:C96)&lt;=$B$2,INDEX(data!B$3:B$16128,SMALL(IF(data!$D$3:$D$16128='Люлин'!$B$1,ROW(data!$A$3:$A$16128)-ROW($A$3)+1),ROWS(C$4:C96))),"")</f>
        <v>-25.36</v>
      </c>
      <c r="D96" s="7" t="str">
        <f t="array" ref="D96">IF(ROWS(D$4:D96)&lt;=$B$2,INDEX(data!E$3:E$16128,SMALL(IF(data!$D$3:$D$16128='Люлин'!$B$1,ROW(data!$A$3:$A$16128)-ROW($A$3)+1),ROWS(D$4:D96))),"")</f>
        <v>от 02-08.03</v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>
        <f t="array" ref="A97">IF(ROWS(A$4:A97)&lt;=$B$2,INDEX(data!C$3:C$16128,SMALL(IF(data!$D$3:$D$16128='Люлин'!$B$1,ROW(data!$A$3:$A$16128)-ROW($A$3)+1),ROWS(A$4:A97))),"")</f>
        <v>46101</v>
      </c>
      <c r="B97" s="19" t="str">
        <f t="array" ref="B97">IF(ROWS(B$4:B97)&lt;=$B$2,INDEX(data!A$3:A$16128,SMALL(IF(data!$D$3:$D$16128='Люлин'!$B$1,ROW(data!$A$3:$A$16128)-ROW($A$3)+1),ROWS(B$4:B97))),"")</f>
        <v>каса ФИКТИВНА</v>
      </c>
      <c r="C97" s="19">
        <f t="array" ref="C97">IF(ROWS(C$4:C97)&lt;=$B$2,INDEX(data!B$3:B$16128,SMALL(IF(data!$D$3:$D$16128='Люлин'!$B$1,ROW(data!$A$3:$A$16128)-ROW($A$3)+1),ROWS(C$4:C97))),"")</f>
        <v>-6.49</v>
      </c>
      <c r="D97" s="7" t="str">
        <f t="array" ref="D97">IF(ROWS(D$4:D97)&lt;=$B$2,INDEX(data!E$3:E$16128,SMALL(IF(data!$D$3:$D$16128='Люлин'!$B$1,ROW(data!$A$3:$A$16128)-ROW($A$3)+1),ROWS(D$4:D97))),"")</f>
        <v>пазар Милена</v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>
        <f t="array" ref="A98">IF(ROWS(A$4:A98)&lt;=$B$2,INDEX(data!C$3:C$16128,SMALL(IF(data!$D$3:$D$16128='Люлин'!$B$1,ROW(data!$A$3:$A$16128)-ROW($A$3)+1),ROWS(A$4:A98))),"")</f>
        <v>46101</v>
      </c>
      <c r="B98" s="19" t="str">
        <f t="array" ref="B98">IF(ROWS(B$4:B98)&lt;=$B$2,INDEX(data!A$3:A$16128,SMALL(IF(data!$D$3:$D$16128='Люлин'!$B$1,ROW(data!$A$3:$A$16128)-ROW($A$3)+1),ROWS(B$4:B98))),"")</f>
        <v>каса ФИКТИВНА</v>
      </c>
      <c r="C98" s="19">
        <f t="array" ref="C98">IF(ROWS(C$4:C98)&lt;=$B$2,INDEX(data!B$3:B$16128,SMALL(IF(data!$D$3:$D$16128='Люлин'!$B$1,ROW(data!$A$3:$A$16128)-ROW($A$3)+1),ROWS(C$4:C98))),"")</f>
        <v>-31.62</v>
      </c>
      <c r="D98" s="7" t="str">
        <f t="array" ref="D98">IF(ROWS(D$4:D98)&lt;=$B$2,INDEX(data!E$3:E$16128,SMALL(IF(data!$D$3:$D$16128='Люлин'!$B$1,ROW(data!$A$3:$A$16128)-ROW($A$3)+1),ROWS(D$4:D98))),"")</f>
        <v>пазар Тихомир</v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>
        <f t="array" ref="A99">IF(ROWS(A$4:A99)&lt;=$B$2,INDEX(data!C$3:C$16128,SMALL(IF(data!$D$3:$D$16128='Люлин'!$B$1,ROW(data!$A$3:$A$16128)-ROW($A$3)+1),ROWS(A$4:A99))),"")</f>
        <v>46104</v>
      </c>
      <c r="B99" s="19" t="str">
        <f t="array" ref="B99">IF(ROWS(B$4:B99)&lt;=$B$2,INDEX(data!A$3:A$16128,SMALL(IF(data!$D$3:$D$16128='Люлин'!$B$1,ROW(data!$A$3:$A$16128)-ROW($A$3)+1),ROWS(B$4:B99))),"")</f>
        <v>MYPOS Бакалия</v>
      </c>
      <c r="C99" s="19">
        <f t="array" ref="C99">IF(ROWS(C$4:C99)&lt;=$B$2,INDEX(data!B$3:B$16128,SMALL(IF(data!$D$3:$D$16128='Люлин'!$B$1,ROW(data!$A$3:$A$16128)-ROW($A$3)+1),ROWS(C$4:C99))),"")</f>
        <v>-9125.504</v>
      </c>
      <c r="D99" s="7" t="str">
        <f t="array" ref="D99">IF(ROWS(D$4:D99)&lt;=$B$2,INDEX(data!E$3:E$16128,SMALL(IF(data!$D$3:$D$16128='Люлин'!$B$1,ROW(data!$A$3:$A$16128)-ROW($A$3)+1),ROWS(D$4:D99))),"")</f>
        <v/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>
        <f t="array" ref="A100">IF(ROWS(A$4:A100)&lt;=$B$2,INDEX(data!C$3:C$16128,SMALL(IF(data!$D$3:$D$16128='Люлин'!$B$1,ROW(data!$A$3:$A$16128)-ROW($A$3)+1),ROWS(A$4:A100))),"")</f>
        <v>46104</v>
      </c>
      <c r="B100" s="19" t="str">
        <f t="array" ref="B100">IF(ROWS(B$4:B100)&lt;=$B$2,INDEX(data!A$3:A$16128,SMALL(IF(data!$D$3:$D$16128='Люлин'!$B$1,ROW(data!$A$3:$A$16128)-ROW($A$3)+1),ROWS(B$4:B100))),"")</f>
        <v>КАСОВА КНИГА</v>
      </c>
      <c r="C100" s="19">
        <f t="array" ref="C100">IF(ROWS(C$4:C100)&lt;=$B$2,INDEX(data!B$3:B$16128,SMALL(IF(data!$D$3:$D$16128='Люлин'!$B$1,ROW(data!$A$3:$A$16128)-ROW($A$3)+1),ROWS(C$4:C100))),"")</f>
        <v>-2000</v>
      </c>
      <c r="D100" s="7" t="str">
        <f t="array" ref="D100">IF(ROWS(D$4:D100)&lt;=$B$2,INDEX(data!E$3:E$16128,SMALL(IF(data!$D$3:$D$16128='Люлин'!$B$1,ROW(data!$A$3:$A$16128)-ROW($A$3)+1),ROWS(D$4:D100))),"")</f>
        <v/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>
        <f t="array" ref="A101">IF(ROWS(A$4:A101)&lt;=$B$2,INDEX(data!C$3:C$16128,SMALL(IF(data!$D$3:$D$16128='Люлин'!$B$1,ROW(data!$A$3:$A$16128)-ROW($A$3)+1),ROWS(A$4:A101))),"")</f>
        <v>46104</v>
      </c>
      <c r="B101" s="19" t="str">
        <f t="array" ref="B101">IF(ROWS(B$4:B101)&lt;=$B$2,INDEX(data!A$3:A$16128,SMALL(IF(data!$D$3:$D$16128='Люлин'!$B$1,ROW(data!$A$3:$A$16128)-ROW($A$3)+1),ROWS(B$4:B101))),"")</f>
        <v>Каса ВАУЧЕРИ</v>
      </c>
      <c r="C101" s="19">
        <f t="array" ref="C101">IF(ROWS(C$4:C101)&lt;=$B$2,INDEX(data!B$3:B$16128,SMALL(IF(data!$D$3:$D$16128='Люлин'!$B$1,ROW(data!$A$3:$A$16128)-ROW($A$3)+1),ROWS(C$4:C101))),"")</f>
        <v>800</v>
      </c>
      <c r="D101" s="7" t="str">
        <f t="array" ref="D101">IF(ROWS(D$4:D101)&lt;=$B$2,INDEX(data!E$3:E$16128,SMALL(IF(data!$D$3:$D$16128='Люлин'!$B$1,ROW(data!$A$3:$A$16128)-ROW($A$3)+1),ROWS(D$4:D101))),"")</f>
        <v>ваучери персонал</v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>
        <f t="array" ref="A102">IF(ROWS(A$4:A102)&lt;=$B$2,INDEX(data!C$3:C$16128,SMALL(IF(data!$D$3:$D$16128='Люлин'!$B$1,ROW(data!$A$3:$A$16128)-ROW($A$3)+1),ROWS(A$4:A102))),"")</f>
        <v>46104</v>
      </c>
      <c r="B102" s="19" t="str">
        <f t="array" ref="B102">IF(ROWS(B$4:B102)&lt;=$B$2,INDEX(data!A$3:A$16128,SMALL(IF(data!$D$3:$D$16128='Люлин'!$B$1,ROW(data!$A$3:$A$16128)-ROW($A$3)+1),ROWS(B$4:B102))),"")</f>
        <v>каса ФИКТИВНА</v>
      </c>
      <c r="C102" s="19">
        <f t="array" ref="C102">IF(ROWS(C$4:C102)&lt;=$B$2,INDEX(data!B$3:B$16128,SMALL(IF(data!$D$3:$D$16128='Люлин'!$B$1,ROW(data!$A$3:$A$16128)-ROW($A$3)+1),ROWS(C$4:C102))),"")</f>
        <v>-1000</v>
      </c>
      <c r="D102" s="7" t="str">
        <f t="array" ref="D102">IF(ROWS(D$4:D102)&lt;=$B$2,INDEX(data!E$3:E$16128,SMALL(IF(data!$D$3:$D$16128='Люлин'!$B$1,ROW(data!$A$3:$A$16128)-ROW($A$3)+1),ROWS(D$4:D102))),"")</f>
        <v>1000 от 21.03</v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>
        <f t="array" ref="A103">IF(ROWS(A$4:A103)&lt;=$B$2,INDEX(data!C$3:C$16128,SMALL(IF(data!$D$3:$D$16128='Люлин'!$B$1,ROW(data!$A$3:$A$16128)-ROW($A$3)+1),ROWS(A$4:A103))),"")</f>
        <v>46104</v>
      </c>
      <c r="B103" s="19" t="str">
        <f t="array" ref="B103">IF(ROWS(B$4:B103)&lt;=$B$2,INDEX(data!A$3:A$16128,SMALL(IF(data!$D$3:$D$16128='Люлин'!$B$1,ROW(data!$A$3:$A$16128)-ROW($A$3)+1),ROWS(B$4:B103))),"")</f>
        <v>каса ФИКТИВНА</v>
      </c>
      <c r="C103" s="19">
        <f t="array" ref="C103">IF(ROWS(C$4:C103)&lt;=$B$2,INDEX(data!B$3:B$16128,SMALL(IF(data!$D$3:$D$16128='Люлин'!$B$1,ROW(data!$A$3:$A$16128)-ROW($A$3)+1),ROWS(C$4:C103))),"")</f>
        <v>-71.32</v>
      </c>
      <c r="D103" s="7" t="str">
        <f t="array" ref="D103">IF(ROWS(D$4:D103)&lt;=$B$2,INDEX(data!E$3:E$16128,SMALL(IF(data!$D$3:$D$16128='Люлин'!$B$1,ROW(data!$A$3:$A$16128)-ROW($A$3)+1),ROWS(D$4:D103))),"")</f>
        <v>пазар Тихомир</v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>
        <f t="array" ref="A104">IF(ROWS(A$4:A104)&lt;=$B$2,INDEX(data!C$3:C$16128,SMALL(IF(data!$D$3:$D$16128='Люлин'!$B$1,ROW(data!$A$3:$A$16128)-ROW($A$3)+1),ROWS(A$4:A104))),"")</f>
        <v>46105</v>
      </c>
      <c r="B104" s="19" t="str">
        <f t="array" ref="B104">IF(ROWS(B$4:B104)&lt;=$B$2,INDEX(data!A$3:A$16128,SMALL(IF(data!$D$3:$D$16128='Люлин'!$B$1,ROW(data!$A$3:$A$16128)-ROW($A$3)+1),ROWS(B$4:B104))),"")</f>
        <v>каса ФИКТИВНА</v>
      </c>
      <c r="C104" s="19">
        <f t="array" ref="C104">IF(ROWS(C$4:C104)&lt;=$B$2,INDEX(data!B$3:B$16128,SMALL(IF(data!$D$3:$D$16128='Люлин'!$B$1,ROW(data!$A$3:$A$16128)-ROW($A$3)+1),ROWS(C$4:C104))),"")</f>
        <v>-98</v>
      </c>
      <c r="D104" s="7" t="str">
        <f t="array" ref="D104">IF(ROWS(D$4:D104)&lt;=$B$2,INDEX(data!E$3:E$16128,SMALL(IF(data!$D$3:$D$16128='Люлин'!$B$1,ROW(data!$A$3:$A$16128)-ROW($A$3)+1),ROWS(D$4:D104))),"")</f>
        <v>пазар Тихомир</v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>
        <f t="array" ref="A105">IF(ROWS(A$4:A105)&lt;=$B$2,INDEX(data!C$3:C$16128,SMALL(IF(data!$D$3:$D$16128='Люлин'!$B$1,ROW(data!$A$3:$A$16128)-ROW($A$3)+1),ROWS(A$4:A105))),"")</f>
        <v>46106</v>
      </c>
      <c r="B105" s="19" t="str">
        <f t="array" ref="B105">IF(ROWS(B$4:B105)&lt;=$B$2,INDEX(data!A$3:A$16128,SMALL(IF(data!$D$3:$D$16128='Люлин'!$B$1,ROW(data!$A$3:$A$16128)-ROW($A$3)+1),ROWS(B$4:B105))),"")</f>
        <v>каса ФИКТИВНА</v>
      </c>
      <c r="C105" s="19">
        <f t="array" ref="C105">IF(ROWS(C$4:C105)&lt;=$B$2,INDEX(data!B$3:B$16128,SMALL(IF(data!$D$3:$D$16128='Люлин'!$B$1,ROW(data!$A$3:$A$16128)-ROW($A$3)+1),ROWS(C$4:C105))),"")</f>
        <v>-117</v>
      </c>
      <c r="D105" s="7" t="str">
        <f t="array" ref="D105">IF(ROWS(D$4:D105)&lt;=$B$2,INDEX(data!E$3:E$16128,SMALL(IF(data!$D$3:$D$16128='Люлин'!$B$1,ROW(data!$A$3:$A$16128)-ROW($A$3)+1),ROWS(D$4:D105))),"")</f>
        <v>пазар Тихомир</v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>
        <f t="array" ref="A106">IF(ROWS(A$4:A106)&lt;=$B$2,INDEX(data!C$3:C$16128,SMALL(IF(data!$D$3:$D$16128='Люлин'!$B$1,ROW(data!$A$3:$A$16128)-ROW($A$3)+1),ROWS(A$4:A106))),"")</f>
        <v>46108</v>
      </c>
      <c r="B106" s="19" t="str">
        <f t="array" ref="B106">IF(ROWS(B$4:B106)&lt;=$B$2,INDEX(data!A$3:A$16128,SMALL(IF(data!$D$3:$D$16128='Люлин'!$B$1,ROW(data!$A$3:$A$16128)-ROW($A$3)+1),ROWS(B$4:B106))),"")</f>
        <v>каса ФИКТИВНА</v>
      </c>
      <c r="C106" s="19">
        <f t="array" ref="C106">IF(ROWS(C$4:C106)&lt;=$B$2,INDEX(data!B$3:B$16128,SMALL(IF(data!$D$3:$D$16128='Люлин'!$B$1,ROW(data!$A$3:$A$16128)-ROW($A$3)+1),ROWS(C$4:C106))),"")</f>
        <v>-39</v>
      </c>
      <c r="D106" s="7" t="str">
        <f t="array" ref="D106">IF(ROWS(D$4:D106)&lt;=$B$2,INDEX(data!E$3:E$16128,SMALL(IF(data!$D$3:$D$16128='Люлин'!$B$1,ROW(data!$A$3:$A$16128)-ROW($A$3)+1),ROWS(D$4:D106))),"")</f>
        <v>пазар Ния</v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>
        <f t="array" ref="A107">IF(ROWS(A$4:A107)&lt;=$B$2,INDEX(data!C$3:C$16128,SMALL(IF(data!$D$3:$D$16128='Люлин'!$B$1,ROW(data!$A$3:$A$16128)-ROW($A$3)+1),ROWS(A$4:A107))),"")</f>
        <v>46108</v>
      </c>
      <c r="B107" s="19" t="str">
        <f t="array" ref="B107">IF(ROWS(B$4:B107)&lt;=$B$2,INDEX(data!A$3:A$16128,SMALL(IF(data!$D$3:$D$16128='Люлин'!$B$1,ROW(data!$A$3:$A$16128)-ROW($A$3)+1),ROWS(B$4:B107))),"")</f>
        <v>каса ФИКТИВНА</v>
      </c>
      <c r="C107" s="19">
        <f t="array" ref="C107">IF(ROWS(C$4:C107)&lt;=$B$2,INDEX(data!B$3:B$16128,SMALL(IF(data!$D$3:$D$16128='Люлин'!$B$1,ROW(data!$A$3:$A$16128)-ROW($A$3)+1),ROWS(C$4:C107))),"")</f>
        <v>-77.5</v>
      </c>
      <c r="D107" s="7" t="str">
        <f t="array" ref="D107">IF(ROWS(D$4:D107)&lt;=$B$2,INDEX(data!E$3:E$16128,SMALL(IF(data!$D$3:$D$16128='Люлин'!$B$1,ROW(data!$A$3:$A$16128)-ROW($A$3)+1),ROWS(D$4:D107))),"")</f>
        <v>платено работно облекло</v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>
        <f t="array" ref="A108">IF(ROWS(A$4:A108)&lt;=$B$2,INDEX(data!C$3:C$16128,SMALL(IF(data!$D$3:$D$16128='Люлин'!$B$1,ROW(data!$A$3:$A$16128)-ROW($A$3)+1),ROWS(A$4:A108))),"")</f>
        <v>46111</v>
      </c>
      <c r="B108" s="19" t="str">
        <f t="array" ref="B108">IF(ROWS(B$4:B108)&lt;=$B$2,INDEX(data!A$3:A$16128,SMALL(IF(data!$D$3:$D$16128='Люлин'!$B$1,ROW(data!$A$3:$A$16128)-ROW($A$3)+1),ROWS(B$4:B108))),"")</f>
        <v>MYPOS Бакалия</v>
      </c>
      <c r="C108" s="19">
        <f t="array" ref="C108">IF(ROWS(C$4:C108)&lt;=$B$2,INDEX(data!B$3:B$16128,SMALL(IF(data!$D$3:$D$16128='Люлин'!$B$1,ROW(data!$A$3:$A$16128)-ROW($A$3)+1),ROWS(C$4:C108))),"")</f>
        <v>-9183.78</v>
      </c>
      <c r="D108" s="7" t="str">
        <f t="array" ref="D108">IF(ROWS(D$4:D108)&lt;=$B$2,INDEX(data!E$3:E$16128,SMALL(IF(data!$D$3:$D$16128='Люлин'!$B$1,ROW(data!$A$3:$A$16128)-ROW($A$3)+1),ROWS(D$4:D108))),"")</f>
        <v/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>
        <f t="array" ref="A109">IF(ROWS(A$4:A109)&lt;=$B$2,INDEX(data!C$3:C$16128,SMALL(IF(data!$D$3:$D$16128='Люлин'!$B$1,ROW(data!$A$3:$A$16128)-ROW($A$3)+1),ROWS(A$4:A109))),"")</f>
        <v>46111</v>
      </c>
      <c r="B109" s="19" t="str">
        <f t="array" ref="B109">IF(ROWS(B$4:B109)&lt;=$B$2,INDEX(data!A$3:A$16128,SMALL(IF(data!$D$3:$D$16128='Люлин'!$B$1,ROW(data!$A$3:$A$16128)-ROW($A$3)+1),ROWS(B$4:B109))),"")</f>
        <v>КАСОВА КНИГА</v>
      </c>
      <c r="C109" s="19">
        <f t="array" ref="C109">IF(ROWS(C$4:C109)&lt;=$B$2,INDEX(data!B$3:B$16128,SMALL(IF(data!$D$3:$D$16128='Люлин'!$B$1,ROW(data!$A$3:$A$16128)-ROW($A$3)+1),ROWS(C$4:C109))),"")</f>
        <v>-500</v>
      </c>
      <c r="D109" s="7" t="str">
        <f t="array" ref="D109">IF(ROWS(D$4:D109)&lt;=$B$2,INDEX(data!E$3:E$16128,SMALL(IF(data!$D$3:$D$16128='Люлин'!$B$1,ROW(data!$A$3:$A$16128)-ROW($A$3)+1),ROWS(D$4:D109))),"")</f>
        <v/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>
        <f t="array" ref="A110">IF(ROWS(A$4:A110)&lt;=$B$2,INDEX(data!C$3:C$16128,SMALL(IF(data!$D$3:$D$16128='Люлин'!$B$1,ROW(data!$A$3:$A$16128)-ROW($A$3)+1),ROWS(A$4:A110))),"")</f>
        <v>46111</v>
      </c>
      <c r="B110" s="19" t="str">
        <f t="array" ref="B110">IF(ROWS(B$4:B110)&lt;=$B$2,INDEX(data!A$3:A$16128,SMALL(IF(data!$D$3:$D$16128='Люлин'!$B$1,ROW(data!$A$3:$A$16128)-ROW($A$3)+1),ROWS(B$4:B110))),"")</f>
        <v>КАСОВА КНИГА</v>
      </c>
      <c r="C110" s="19">
        <f t="array" ref="C110">IF(ROWS(C$4:C110)&lt;=$B$2,INDEX(data!B$3:B$16128,SMALL(IF(data!$D$3:$D$16128='Люлин'!$B$1,ROW(data!$A$3:$A$16128)-ROW($A$3)+1),ROWS(C$4:C110))),"")</f>
        <v>-500</v>
      </c>
      <c r="D110" s="7" t="str">
        <f t="array" ref="D110">IF(ROWS(D$4:D110)&lt;=$B$2,INDEX(data!E$3:E$16128,SMALL(IF(data!$D$3:$D$16128='Люлин'!$B$1,ROW(data!$A$3:$A$16128)-ROW($A$3)+1),ROWS(D$4:D110))),"")</f>
        <v>500 от 28.03</v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>
        <f t="array" ref="A111">IF(ROWS(A$4:A111)&lt;=$B$2,INDEX(data!C$3:C$16128,SMALL(IF(data!$D$3:$D$16128='Люлин'!$B$1,ROW(data!$A$3:$A$16128)-ROW($A$3)+1),ROWS(A$4:A111))),"")</f>
        <v>46111</v>
      </c>
      <c r="B111" s="19" t="str">
        <f t="array" ref="B111">IF(ROWS(B$4:B111)&lt;=$B$2,INDEX(data!A$3:A$16128,SMALL(IF(data!$D$3:$D$16128='Люлин'!$B$1,ROW(data!$A$3:$A$16128)-ROW($A$3)+1),ROWS(B$4:B111))),"")</f>
        <v>каса ФИКТИВНА</v>
      </c>
      <c r="C111" s="19">
        <f t="array" ref="C111">IF(ROWS(C$4:C111)&lt;=$B$2,INDEX(data!B$3:B$16128,SMALL(IF(data!$D$3:$D$16128='Люлин'!$B$1,ROW(data!$A$3:$A$16128)-ROW($A$3)+1),ROWS(C$4:C111))),"")</f>
        <v>-13</v>
      </c>
      <c r="D111" s="7" t="str">
        <f t="array" ref="D111">IF(ROWS(D$4:D111)&lt;=$B$2,INDEX(data!E$3:E$16128,SMALL(IF(data!$D$3:$D$16128='Люлин'!$B$1,ROW(data!$A$3:$A$16128)-ROW($A$3)+1),ROWS(D$4:D111))),"")</f>
        <v>галони Милена</v>
      </c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>
        <f t="array" ref="A112">IF(ROWS(A$4:A112)&lt;=$B$2,INDEX(data!C$3:C$16128,SMALL(IF(data!$D$3:$D$16128='Люлин'!$B$1,ROW(data!$A$3:$A$16128)-ROW($A$3)+1),ROWS(A$4:A112))),"")</f>
        <v>46111</v>
      </c>
      <c r="B112" s="19" t="str">
        <f t="array" ref="B112">IF(ROWS(B$4:B112)&lt;=$B$2,INDEX(data!A$3:A$16128,SMALL(IF(data!$D$3:$D$16128='Люлин'!$B$1,ROW(data!$A$3:$A$16128)-ROW($A$3)+1),ROWS(B$4:B112))),"")</f>
        <v>каса ФИКТИВНА</v>
      </c>
      <c r="C112" s="19">
        <f t="array" ref="C112">IF(ROWS(C$4:C112)&lt;=$B$2,INDEX(data!B$3:B$16128,SMALL(IF(data!$D$3:$D$16128='Люлин'!$B$1,ROW(data!$A$3:$A$16128)-ROW($A$3)+1),ROWS(C$4:C112))),"")</f>
        <v>-214</v>
      </c>
      <c r="D112" s="7" t="str">
        <f t="array" ref="D112">IF(ROWS(D$4:D112)&lt;=$B$2,INDEX(data!E$3:E$16128,SMALL(IF(data!$D$3:$D$16128='Люлин'!$B$1,ROW(data!$A$3:$A$16128)-ROW($A$3)+1),ROWS(D$4:D112))),"")</f>
        <v>пазар Тихомир</v>
      </c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3">
        <f t="array" ref="A113">IF(ROWS(A$4:A113)&lt;=$B$2,INDEX(data!C$3:C$16128,SMALL(IF(data!$D$3:$D$16128='Люлин'!$B$1,ROW(data!$A$3:$A$16128)-ROW($A$3)+1),ROWS(A$4:A113))),"")</f>
        <v>46112</v>
      </c>
      <c r="B113" s="19" t="str">
        <f t="array" ref="B113">IF(ROWS(B$4:B113)&lt;=$B$2,INDEX(data!A$3:A$16128,SMALL(IF(data!$D$3:$D$16128='Люлин'!$B$1,ROW(data!$A$3:$A$16128)-ROW($A$3)+1),ROWS(B$4:B113))),"")</f>
        <v>ЗАЕМ</v>
      </c>
      <c r="C113" s="19">
        <f t="array" ref="C113">IF(ROWS(C$4:C113)&lt;=$B$2,INDEX(data!B$3:B$16128,SMALL(IF(data!$D$3:$D$16128='Люлин'!$B$1,ROW(data!$A$3:$A$16128)-ROW($A$3)+1),ROWS(C$4:C113))),"")</f>
        <v>41784.74</v>
      </c>
      <c r="D113" s="7" t="str">
        <f t="array" ref="D113">IF(ROWS(D$4:D113)&lt;=$B$2,INDEX(data!E$3:E$16128,SMALL(IF(data!$D$3:$D$16128='Люлин'!$B$1,ROW(data!$A$3:$A$16128)-ROW($A$3)+1),ROWS(D$4:D113))),"")</f>
        <v>Салдо склад + вътр</v>
      </c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3">
        <f t="array" ref="A114">IF(ROWS(A$4:A114)&lt;=$B$2,INDEX(data!C$3:C$16128,SMALL(IF(data!$D$3:$D$16128='Люлин'!$B$1,ROW(data!$A$3:$A$16128)-ROW($A$3)+1),ROWS(A$4:A114))),"")</f>
        <v>46113</v>
      </c>
      <c r="B114" s="19" t="str">
        <f t="array" ref="B114">IF(ROWS(B$4:B114)&lt;=$B$2,INDEX(data!A$3:A$16128,SMALL(IF(data!$D$3:$D$16128='Люлин'!$B$1,ROW(data!$A$3:$A$16128)-ROW($A$3)+1),ROWS(B$4:B114))),"")</f>
        <v>КАСОВА КНИГА</v>
      </c>
      <c r="C114" s="19">
        <f t="array" ref="C114">IF(ROWS(C$4:C114)&lt;=$B$2,INDEX(data!B$3:B$16128,SMALL(IF(data!$D$3:$D$16128='Люлин'!$B$1,ROW(data!$A$3:$A$16128)-ROW($A$3)+1),ROWS(C$4:C114))),"")</f>
        <v>-200</v>
      </c>
      <c r="D114" s="7" t="str">
        <f t="array" ref="D114">IF(ROWS(D$4:D114)&lt;=$B$2,INDEX(data!E$3:E$16128,SMALL(IF(data!$D$3:$D$16128='Люлин'!$B$1,ROW(data!$A$3:$A$16128)-ROW($A$3)+1),ROWS(D$4:D114))),"")</f>
        <v>пазар Тихомир</v>
      </c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>
        <f t="array" ref="A115">IF(ROWS(A$4:A115)&lt;=$B$2,INDEX(data!C$3:C$16128,SMALL(IF(data!$D$3:$D$16128='Люлин'!$B$1,ROW(data!$A$3:$A$16128)-ROW($A$3)+1),ROWS(A$4:A115))),"")</f>
        <v>46115</v>
      </c>
      <c r="B115" s="19" t="str">
        <f t="array" ref="B115">IF(ROWS(B$4:B115)&lt;=$B$2,INDEX(data!A$3:A$16128,SMALL(IF(data!$D$3:$D$16128='Люлин'!$B$1,ROW(data!$A$3:$A$16128)-ROW($A$3)+1),ROWS(B$4:B115))),"")</f>
        <v>Каса ВАУЧЕРИ</v>
      </c>
      <c r="C115" s="19">
        <f t="array" ref="C115">IF(ROWS(C$4:C115)&lt;=$B$2,INDEX(data!B$3:B$16128,SMALL(IF(data!$D$3:$D$16128='Люлин'!$B$1,ROW(data!$A$3:$A$16128)-ROW($A$3)+1),ROWS(C$4:C115))),"")</f>
        <v>-18.1</v>
      </c>
      <c r="D115" s="7" t="str">
        <f t="array" ref="D115">IF(ROWS(D$4:D115)&lt;=$B$2,INDEX(data!E$3:E$16128,SMALL(IF(data!$D$3:$D$16128='Люлин'!$B$1,ROW(data!$A$3:$A$16128)-ROW($A$3)+1),ROWS(D$4:D115))),"")</f>
        <v>16-22.03</v>
      </c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>
        <f t="array" ref="A116">IF(ROWS(A$4:A116)&lt;=$B$2,INDEX(data!C$3:C$16128,SMALL(IF(data!$D$3:$D$16128='Люлин'!$B$1,ROW(data!$A$3:$A$16128)-ROW($A$3)+1),ROWS(A$4:A116))),"")</f>
        <v>46115</v>
      </c>
      <c r="B116" s="19" t="str">
        <f t="array" ref="B116">IF(ROWS(B$4:B116)&lt;=$B$2,INDEX(data!A$3:A$16128,SMALL(IF(data!$D$3:$D$16128='Люлин'!$B$1,ROW(data!$A$3:$A$16128)-ROW($A$3)+1),ROWS(B$4:B116))),"")</f>
        <v>каса ФИКТИВНА</v>
      </c>
      <c r="C116" s="19">
        <f t="array" ref="C116">IF(ROWS(C$4:C116)&lt;=$B$2,INDEX(data!B$3:B$16128,SMALL(IF(data!$D$3:$D$16128='Люлин'!$B$1,ROW(data!$A$3:$A$16128)-ROW($A$3)+1),ROWS(C$4:C116))),"")</f>
        <v>-3.5</v>
      </c>
      <c r="D116" s="7" t="str">
        <f t="array" ref="D116">IF(ROWS(D$4:D116)&lt;=$B$2,INDEX(data!E$3:E$16128,SMALL(IF(data!$D$3:$D$16128='Люлин'!$B$1,ROW(data!$A$3:$A$16128)-ROW($A$3)+1),ROWS(D$4:D116))),"")</f>
        <v>пазар Милена</v>
      </c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>
        <f t="array" ref="A117">IF(ROWS(A$4:A117)&lt;=$B$2,INDEX(data!C$3:C$16128,SMALL(IF(data!$D$3:$D$16128='Люлин'!$B$1,ROW(data!$A$3:$A$16128)-ROW($A$3)+1),ROWS(A$4:A117))),"")</f>
        <v>46115</v>
      </c>
      <c r="B117" s="19" t="str">
        <f t="array" ref="B117">IF(ROWS(B$4:B117)&lt;=$B$2,INDEX(data!A$3:A$16128,SMALL(IF(data!$D$3:$D$16128='Люлин'!$B$1,ROW(data!$A$3:$A$16128)-ROW($A$3)+1),ROWS(B$4:B117))),"")</f>
        <v>каса ФИКТИВНА</v>
      </c>
      <c r="C117" s="19">
        <f t="array" ref="C117">IF(ROWS(C$4:C117)&lt;=$B$2,INDEX(data!B$3:B$16128,SMALL(IF(data!$D$3:$D$16128='Люлин'!$B$1,ROW(data!$A$3:$A$16128)-ROW($A$3)+1),ROWS(C$4:C117))),"")</f>
        <v>-22</v>
      </c>
      <c r="D117" s="7" t="str">
        <f t="array" ref="D117">IF(ROWS(D$4:D117)&lt;=$B$2,INDEX(data!E$3:E$16128,SMALL(IF(data!$D$3:$D$16128='Люлин'!$B$1,ROW(data!$A$3:$A$16128)-ROW($A$3)+1),ROWS(D$4:D117))),"")</f>
        <v>пазар Тихомир</v>
      </c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>
        <f t="array" ref="A118">IF(ROWS(A$4:A118)&lt;=$B$2,INDEX(data!C$3:C$16128,SMALL(IF(data!$D$3:$D$16128='Люлин'!$B$1,ROW(data!$A$3:$A$16128)-ROW($A$3)+1),ROWS(A$4:A118))),"")</f>
        <v>46118</v>
      </c>
      <c r="B118" s="19" t="str">
        <f t="array" ref="B118">IF(ROWS(B$4:B118)&lt;=$B$2,INDEX(data!A$3:A$16128,SMALL(IF(data!$D$3:$D$16128='Люлин'!$B$1,ROW(data!$A$3:$A$16128)-ROW($A$3)+1),ROWS(B$4:B118))),"")</f>
        <v>MYPOS Бакалия</v>
      </c>
      <c r="C118" s="19">
        <f t="array" ref="C118">IF(ROWS(C$4:C118)&lt;=$B$2,INDEX(data!B$3:B$16128,SMALL(IF(data!$D$3:$D$16128='Люлин'!$B$1,ROW(data!$A$3:$A$16128)-ROW($A$3)+1),ROWS(C$4:C118))),"")</f>
        <v>-8832.53</v>
      </c>
      <c r="D118" s="7" t="str">
        <f t="array" ref="D118">IF(ROWS(D$4:D118)&lt;=$B$2,INDEX(data!E$3:E$16128,SMALL(IF(data!$D$3:$D$16128='Люлин'!$B$1,ROW(data!$A$3:$A$16128)-ROW($A$3)+1),ROWS(D$4:D118))),"")</f>
        <v/>
      </c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>
        <f t="array" ref="A119">IF(ROWS(A$4:A119)&lt;=$B$2,INDEX(data!C$3:C$16128,SMALL(IF(data!$D$3:$D$16128='Люлин'!$B$1,ROW(data!$A$3:$A$16128)-ROW($A$3)+1),ROWS(A$4:A119))),"")</f>
        <v>46118</v>
      </c>
      <c r="B119" s="19" t="str">
        <f t="array" ref="B119">IF(ROWS(B$4:B119)&lt;=$B$2,INDEX(data!A$3:A$16128,SMALL(IF(data!$D$3:$D$16128='Люлин'!$B$1,ROW(data!$A$3:$A$16128)-ROW($A$3)+1),ROWS(B$4:B119))),"")</f>
        <v>КАСОВА КНИГА</v>
      </c>
      <c r="C119" s="19">
        <f t="array" ref="C119">IF(ROWS(C$4:C119)&lt;=$B$2,INDEX(data!B$3:B$16128,SMALL(IF(data!$D$3:$D$16128='Люлин'!$B$1,ROW(data!$A$3:$A$16128)-ROW($A$3)+1),ROWS(C$4:C119))),"")</f>
        <v>-500</v>
      </c>
      <c r="D119" s="7" t="str">
        <f t="array" ref="D119">IF(ROWS(D$4:D119)&lt;=$B$2,INDEX(data!E$3:E$16128,SMALL(IF(data!$D$3:$D$16128='Люлин'!$B$1,ROW(data!$A$3:$A$16128)-ROW($A$3)+1),ROWS(D$4:D119))),"")</f>
        <v>500 от 04.04</v>
      </c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>
        <f t="array" ref="A120">IF(ROWS(A$4:A120)&lt;=$B$2,INDEX(data!C$3:C$16128,SMALL(IF(data!$D$3:$D$16128='Люлин'!$B$1,ROW(data!$A$3:$A$16128)-ROW($A$3)+1),ROWS(A$4:A120))),"")</f>
        <v>46118</v>
      </c>
      <c r="B120" s="19" t="str">
        <f t="array" ref="B120">IF(ROWS(B$4:B120)&lt;=$B$2,INDEX(data!A$3:A$16128,SMALL(IF(data!$D$3:$D$16128='Люлин'!$B$1,ROW(data!$A$3:$A$16128)-ROW($A$3)+1),ROWS(B$4:B120))),"")</f>
        <v>каса ФИКТИВНА</v>
      </c>
      <c r="C120" s="19">
        <f t="array" ref="C120">IF(ROWS(C$4:C120)&lt;=$B$2,INDEX(data!B$3:B$16128,SMALL(IF(data!$D$3:$D$16128='Люлин'!$B$1,ROW(data!$A$3:$A$16128)-ROW($A$3)+1),ROWS(C$4:C120))),"")</f>
        <v>-200</v>
      </c>
      <c r="D120" s="7" t="str">
        <f t="array" ref="D120">IF(ROWS(D$4:D120)&lt;=$B$2,INDEX(data!E$3:E$16128,SMALL(IF(data!$D$3:$D$16128='Люлин'!$B$1,ROW(data!$A$3:$A$16128)-ROW($A$3)+1),ROWS(D$4:D120))),"")</f>
        <v>Спартак от премиите</v>
      </c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3">
        <f t="array" ref="A121">IF(ROWS(A$4:A121)&lt;=$B$2,INDEX(data!C$3:C$16128,SMALL(IF(data!$D$3:$D$16128='Люлин'!$B$1,ROW(data!$A$3:$A$16128)-ROW($A$3)+1),ROWS(A$4:A121))),"")</f>
        <v>46118</v>
      </c>
      <c r="B121" s="19" t="str">
        <f t="array" ref="B121">IF(ROWS(B$4:B121)&lt;=$B$2,INDEX(data!A$3:A$16128,SMALL(IF(data!$D$3:$D$16128='Люлин'!$B$1,ROW(data!$A$3:$A$16128)-ROW($A$3)+1),ROWS(B$4:B121))),"")</f>
        <v>каса ФИКТИВНА</v>
      </c>
      <c r="C121" s="19">
        <f t="array" ref="C121">IF(ROWS(C$4:C121)&lt;=$B$2,INDEX(data!B$3:B$16128,SMALL(IF(data!$D$3:$D$16128='Люлин'!$B$1,ROW(data!$A$3:$A$16128)-ROW($A$3)+1),ROWS(C$4:C121))),"")</f>
        <v>-119</v>
      </c>
      <c r="D121" s="7" t="str">
        <f t="array" ref="D121">IF(ROWS(D$4:D121)&lt;=$B$2,INDEX(data!E$3:E$16128,SMALL(IF(data!$D$3:$D$16128='Люлин'!$B$1,ROW(data!$A$3:$A$16128)-ROW($A$3)+1),ROWS(D$4:D121))),"")</f>
        <v>пазар Тихомир</v>
      </c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3">
        <f t="array" ref="A122">IF(ROWS(A$4:A122)&lt;=$B$2,INDEX(data!C$3:C$16128,SMALL(IF(data!$D$3:$D$16128='Люлин'!$B$1,ROW(data!$A$3:$A$16128)-ROW($A$3)+1),ROWS(A$4:A122))),"")</f>
        <v>46119</v>
      </c>
      <c r="B122" s="19" t="str">
        <f t="array" ref="B122">IF(ROWS(B$4:B122)&lt;=$B$2,INDEX(data!A$3:A$16128,SMALL(IF(data!$D$3:$D$16128='Люлин'!$B$1,ROW(data!$A$3:$A$16128)-ROW($A$3)+1),ROWS(B$4:B122))),"")</f>
        <v>каса ФИКТИВНА</v>
      </c>
      <c r="C122" s="19">
        <f t="array" ref="C122">IF(ROWS(C$4:C122)&lt;=$B$2,INDEX(data!B$3:B$16128,SMALL(IF(data!$D$3:$D$16128='Люлин'!$B$1,ROW(data!$A$3:$A$16128)-ROW($A$3)+1),ROWS(C$4:C122))),"")</f>
        <v>-2</v>
      </c>
      <c r="D122" s="7" t="str">
        <f t="array" ref="D122">IF(ROWS(D$4:D122)&lt;=$B$2,INDEX(data!E$3:E$16128,SMALL(IF(data!$D$3:$D$16128='Люлин'!$B$1,ROW(data!$A$3:$A$16128)-ROW($A$3)+1),ROWS(D$4:D122))),"")</f>
        <v>пазар Милена</v>
      </c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>
        <f t="array" ref="A123">IF(ROWS(A$4:A123)&lt;=$B$2,INDEX(data!C$3:C$16128,SMALL(IF(data!$D$3:$D$16128='Люлин'!$B$1,ROW(data!$A$3:$A$16128)-ROW($A$3)+1),ROWS(A$4:A123))),"")</f>
        <v>46119</v>
      </c>
      <c r="B123" s="19" t="str">
        <f t="array" ref="B123">IF(ROWS(B$4:B123)&lt;=$B$2,INDEX(data!A$3:A$16128,SMALL(IF(data!$D$3:$D$16128='Люлин'!$B$1,ROW(data!$A$3:$A$16128)-ROW($A$3)+1),ROWS(B$4:B123))),"")</f>
        <v>каса ФИКТИВНА</v>
      </c>
      <c r="C123" s="19">
        <f t="array" ref="C123">IF(ROWS(C$4:C123)&lt;=$B$2,INDEX(data!B$3:B$16128,SMALL(IF(data!$D$3:$D$16128='Люлин'!$B$1,ROW(data!$A$3:$A$16128)-ROW($A$3)+1),ROWS(C$4:C123))),"")</f>
        <v>-92</v>
      </c>
      <c r="D123" s="7" t="str">
        <f t="array" ref="D123">IF(ROWS(D$4:D123)&lt;=$B$2,INDEX(data!E$3:E$16128,SMALL(IF(data!$D$3:$D$16128='Люлин'!$B$1,ROW(data!$A$3:$A$16128)-ROW($A$3)+1),ROWS(D$4:D123))),"")</f>
        <v>пазар Тихомир</v>
      </c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>
        <f t="array" ref="A124">IF(ROWS(A$4:A124)&lt;=$B$2,INDEX(data!C$3:C$16128,SMALL(IF(data!$D$3:$D$16128='Люлин'!$B$1,ROW(data!$A$3:$A$16128)-ROW($A$3)+1),ROWS(A$4:A124))),"")</f>
        <v>46119</v>
      </c>
      <c r="B124" s="19" t="str">
        <f t="array" ref="B124">IF(ROWS(B$4:B124)&lt;=$B$2,INDEX(data!A$3:A$16128,SMALL(IF(data!$D$3:$D$16128='Люлин'!$B$1,ROW(data!$A$3:$A$16128)-ROW($A$3)+1),ROWS(B$4:B124))),"")</f>
        <v>каса ФИКТИВНА</v>
      </c>
      <c r="C124" s="19">
        <f t="array" ref="C124">IF(ROWS(C$4:C124)&lt;=$B$2,INDEX(data!B$3:B$16128,SMALL(IF(data!$D$3:$D$16128='Люлин'!$B$1,ROW(data!$A$3:$A$16128)-ROW($A$3)+1),ROWS(C$4:C124))),"")</f>
        <v>-91.53</v>
      </c>
      <c r="D124" s="7" t="str">
        <f t="array" ref="D124">IF(ROWS(D$4:D124)&lt;=$B$2,INDEX(data!E$3:E$16128,SMALL(IF(data!$D$3:$D$16128='Люлин'!$B$1,ROW(data!$A$3:$A$16128)-ROW($A$3)+1),ROWS(D$4:D124))),"")</f>
        <v>пазар кошници</v>
      </c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>
        <f t="array" ref="A125">IF(ROWS(A$4:A125)&lt;=$B$2,INDEX(data!C$3:C$16128,SMALL(IF(data!$D$3:$D$16128='Люлин'!$B$1,ROW(data!$A$3:$A$16128)-ROW($A$3)+1),ROWS(A$4:A125))),"")</f>
        <v>46120</v>
      </c>
      <c r="B125" s="19" t="str">
        <f t="array" ref="B125">IF(ROWS(B$4:B125)&lt;=$B$2,INDEX(data!A$3:A$16128,SMALL(IF(data!$D$3:$D$16128='Люлин'!$B$1,ROW(data!$A$3:$A$16128)-ROW($A$3)+1),ROWS(B$4:B125))),"")</f>
        <v>каса ФИКТИВНА</v>
      </c>
      <c r="C125" s="19">
        <f t="array" ref="C125">IF(ROWS(C$4:C125)&lt;=$B$2,INDEX(data!B$3:B$16128,SMALL(IF(data!$D$3:$D$16128='Люлин'!$B$1,ROW(data!$A$3:$A$16128)-ROW($A$3)+1),ROWS(C$4:C125))),"")</f>
        <v>-46</v>
      </c>
      <c r="D125" s="7" t="str">
        <f t="array" ref="D125">IF(ROWS(D$4:D125)&lt;=$B$2,INDEX(data!E$3:E$16128,SMALL(IF(data!$D$3:$D$16128='Люлин'!$B$1,ROW(data!$A$3:$A$16128)-ROW($A$3)+1),ROWS(D$4:D125))),"")</f>
        <v>пазар Тихомир</v>
      </c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3">
        <f t="array" ref="A126">IF(ROWS(A$4:A126)&lt;=$B$2,INDEX(data!C$3:C$16128,SMALL(IF(data!$D$3:$D$16128='Люлин'!$B$1,ROW(data!$A$3:$A$16128)-ROW($A$3)+1),ROWS(A$4:A126))),"")</f>
        <v>46121</v>
      </c>
      <c r="B126" s="19" t="str">
        <f t="array" ref="B126">IF(ROWS(B$4:B126)&lt;=$B$2,INDEX(data!A$3:A$16128,SMALL(IF(data!$D$3:$D$16128='Люлин'!$B$1,ROW(data!$A$3:$A$16128)-ROW($A$3)+1),ROWS(B$4:B126))),"")</f>
        <v>каса ФИКТИВНА</v>
      </c>
      <c r="C126" s="19">
        <f t="array" ref="C126">IF(ROWS(C$4:C126)&lt;=$B$2,INDEX(data!B$3:B$16128,SMALL(IF(data!$D$3:$D$16128='Люлин'!$B$1,ROW(data!$A$3:$A$16128)-ROW($A$3)+1),ROWS(C$4:C126))),"")</f>
        <v>-36</v>
      </c>
      <c r="D126" s="7" t="str">
        <f t="array" ref="D126">IF(ROWS(D$4:D126)&lt;=$B$2,INDEX(data!E$3:E$16128,SMALL(IF(data!$D$3:$D$16128='Люлин'!$B$1,ROW(data!$A$3:$A$16128)-ROW($A$3)+1),ROWS(D$4:D126))),"")</f>
        <v>пазар Ния</v>
      </c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3">
        <f t="array" ref="A127">IF(ROWS(A$4:A127)&lt;=$B$2,INDEX(data!C$3:C$16128,SMALL(IF(data!$D$3:$D$16128='Люлин'!$B$1,ROW(data!$A$3:$A$16128)-ROW($A$3)+1),ROWS(A$4:A127))),"")</f>
        <v>46121</v>
      </c>
      <c r="B127" s="19" t="str">
        <f t="array" ref="B127">IF(ROWS(B$4:B127)&lt;=$B$2,INDEX(data!A$3:A$16128,SMALL(IF(data!$D$3:$D$16128='Люлин'!$B$1,ROW(data!$A$3:$A$16128)-ROW($A$3)+1),ROWS(B$4:B127))),"")</f>
        <v>каса ФИКТИВНА</v>
      </c>
      <c r="C127" s="19">
        <f t="array" ref="C127">IF(ROWS(C$4:C127)&lt;=$B$2,INDEX(data!B$3:B$16128,SMALL(IF(data!$D$3:$D$16128='Люлин'!$B$1,ROW(data!$A$3:$A$16128)-ROW($A$3)+1),ROWS(C$4:C127))),"")</f>
        <v>-36.67</v>
      </c>
      <c r="D127" s="7" t="str">
        <f t="array" ref="D127">IF(ROWS(D$4:D127)&lt;=$B$2,INDEX(data!E$3:E$16128,SMALL(IF(data!$D$3:$D$16128='Люлин'!$B$1,ROW(data!$A$3:$A$16128)-ROW($A$3)+1),ROWS(D$4:D127))),"")</f>
        <v>пазар кошница</v>
      </c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3">
        <f t="array" ref="A128">IF(ROWS(A$4:A128)&lt;=$B$2,INDEX(data!C$3:C$16128,SMALL(IF(data!$D$3:$D$16128='Люлин'!$B$1,ROW(data!$A$3:$A$16128)-ROW($A$3)+1),ROWS(A$4:A128))),"")</f>
        <v>46122</v>
      </c>
      <c r="B128" s="19" t="str">
        <f t="array" ref="B128">IF(ROWS(B$4:B128)&lt;=$B$2,INDEX(data!A$3:A$16128,SMALL(IF(data!$D$3:$D$16128='Люлин'!$B$1,ROW(data!$A$3:$A$16128)-ROW($A$3)+1),ROWS(B$4:B128))),"")</f>
        <v>каса ФИКТИВНА</v>
      </c>
      <c r="C128" s="19">
        <f t="array" ref="C128">IF(ROWS(C$4:C128)&lt;=$B$2,INDEX(data!B$3:B$16128,SMALL(IF(data!$D$3:$D$16128='Люлин'!$B$1,ROW(data!$A$3:$A$16128)-ROW($A$3)+1),ROWS(C$4:C128))),"")</f>
        <v>-133</v>
      </c>
      <c r="D128" s="7" t="str">
        <f t="array" ref="D128">IF(ROWS(D$4:D128)&lt;=$B$2,INDEX(data!E$3:E$16128,SMALL(IF(data!$D$3:$D$16128='Люлин'!$B$1,ROW(data!$A$3:$A$16128)-ROW($A$3)+1),ROWS(D$4:D128))),"")</f>
        <v>пазар Люлин</v>
      </c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3">
        <f t="array" ref="A129">IF(ROWS(A$4:A129)&lt;=$B$2,INDEX(data!C$3:C$16128,SMALL(IF(data!$D$3:$D$16128='Люлин'!$B$1,ROW(data!$A$3:$A$16128)-ROW($A$3)+1),ROWS(A$4:A129))),"")</f>
        <v>46126</v>
      </c>
      <c r="B129" s="19" t="str">
        <f t="array" ref="B129">IF(ROWS(B$4:B129)&lt;=$B$2,INDEX(data!A$3:A$16128,SMALL(IF(data!$D$3:$D$16128='Люлин'!$B$1,ROW(data!$A$3:$A$16128)-ROW($A$3)+1),ROWS(B$4:B129))),"")</f>
        <v>MYPOS Бакалия</v>
      </c>
      <c r="C129" s="19">
        <f t="array" ref="C129">IF(ROWS(C$4:C129)&lt;=$B$2,INDEX(data!B$3:B$16128,SMALL(IF(data!$D$3:$D$16128='Люлин'!$B$1,ROW(data!$A$3:$A$16128)-ROW($A$3)+1),ROWS(C$4:C129))),"")</f>
        <v>-9837</v>
      </c>
      <c r="D129" s="7" t="str">
        <f t="array" ref="D129">IF(ROWS(D$4:D129)&lt;=$B$2,INDEX(data!E$3:E$16128,SMALL(IF(data!$D$3:$D$16128='Люлин'!$B$1,ROW(data!$A$3:$A$16128)-ROW($A$3)+1),ROWS(D$4:D129))),"")</f>
        <v/>
      </c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3">
        <f t="array" ref="A130">IF(ROWS(A$4:A130)&lt;=$B$2,INDEX(data!C$3:C$16128,SMALL(IF(data!$D$3:$D$16128='Люлин'!$B$1,ROW(data!$A$3:$A$16128)-ROW($A$3)+1),ROWS(A$4:A130))),"")</f>
        <v>46126</v>
      </c>
      <c r="B130" s="19" t="str">
        <f t="array" ref="B130">IF(ROWS(B$4:B130)&lt;=$B$2,INDEX(data!A$3:A$16128,SMALL(IF(data!$D$3:$D$16128='Люлин'!$B$1,ROW(data!$A$3:$A$16128)-ROW($A$3)+1),ROWS(B$4:B130))),"")</f>
        <v>КАСОВА КНИГА</v>
      </c>
      <c r="C130" s="19">
        <f t="array" ref="C130">IF(ROWS(C$4:C130)&lt;=$B$2,INDEX(data!B$3:B$16128,SMALL(IF(data!$D$3:$D$16128='Люлин'!$B$1,ROW(data!$A$3:$A$16128)-ROW($A$3)+1),ROWS(C$4:C130))),"")</f>
        <v>-1000</v>
      </c>
      <c r="D130" s="7" t="str">
        <f t="array" ref="D130">IF(ROWS(D$4:D130)&lt;=$B$2,INDEX(data!E$3:E$16128,SMALL(IF(data!$D$3:$D$16128='Люлин'!$B$1,ROW(data!$A$3:$A$16128)-ROW($A$3)+1),ROWS(D$4:D130))),"")</f>
        <v/>
      </c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3">
        <f t="array" ref="A131">IF(ROWS(A$4:A131)&lt;=$B$2,INDEX(data!C$3:C$16128,SMALL(IF(data!$D$3:$D$16128='Люлин'!$B$1,ROW(data!$A$3:$A$16128)-ROW($A$3)+1),ROWS(A$4:A131))),"")</f>
        <v>46126</v>
      </c>
      <c r="B131" s="19" t="str">
        <f t="array" ref="B131">IF(ROWS(B$4:B131)&lt;=$B$2,INDEX(data!A$3:A$16128,SMALL(IF(data!$D$3:$D$16128='Люлин'!$B$1,ROW(data!$A$3:$A$16128)-ROW($A$3)+1),ROWS(B$4:B131))),"")</f>
        <v>КАСОВА КНИГА</v>
      </c>
      <c r="C131" s="19">
        <f t="array" ref="C131">IF(ROWS(C$4:C131)&lt;=$B$2,INDEX(data!B$3:B$16128,SMALL(IF(data!$D$3:$D$16128='Люлин'!$B$1,ROW(data!$A$3:$A$16128)-ROW($A$3)+1),ROWS(C$4:C131))),"")</f>
        <v>-1000</v>
      </c>
      <c r="D131" s="7" t="str">
        <f t="array" ref="D131">IF(ROWS(D$4:D131)&lt;=$B$2,INDEX(data!E$3:E$16128,SMALL(IF(data!$D$3:$D$16128='Люлин'!$B$1,ROW(data!$A$3:$A$16128)-ROW($A$3)+1),ROWS(D$4:D131))),"")</f>
        <v>1000 от 11.04</v>
      </c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3">
        <f t="array" ref="A132">IF(ROWS(A$4:A132)&lt;=$B$2,INDEX(data!C$3:C$16128,SMALL(IF(data!$D$3:$D$16128='Люлин'!$B$1,ROW(data!$A$3:$A$16128)-ROW($A$3)+1),ROWS(A$4:A132))),"")</f>
        <v>46126</v>
      </c>
      <c r="B132" s="19" t="str">
        <f t="array" ref="B132">IF(ROWS(B$4:B132)&lt;=$B$2,INDEX(data!A$3:A$16128,SMALL(IF(data!$D$3:$D$16128='Люлин'!$B$1,ROW(data!$A$3:$A$16128)-ROW($A$3)+1),ROWS(B$4:B132))),"")</f>
        <v>каса ФИКТИВНА</v>
      </c>
      <c r="C132" s="19">
        <f t="array" ref="C132">IF(ROWS(C$4:C132)&lt;=$B$2,INDEX(data!B$3:B$16128,SMALL(IF(data!$D$3:$D$16128='Люлин'!$B$1,ROW(data!$A$3:$A$16128)-ROW($A$3)+1),ROWS(C$4:C132))),"")</f>
        <v>-120</v>
      </c>
      <c r="D132" s="7" t="str">
        <f t="array" ref="D132">IF(ROWS(D$4:D132)&lt;=$B$2,INDEX(data!E$3:E$16128,SMALL(IF(data!$D$3:$D$16128='Люлин'!$B$1,ROW(data!$A$3:$A$16128)-ROW($A$3)+1),ROWS(D$4:D132))),"")</f>
        <v>Спартак от премиите</v>
      </c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3">
        <f t="array" ref="A133">IF(ROWS(A$4:A133)&lt;=$B$2,INDEX(data!C$3:C$16128,SMALL(IF(data!$D$3:$D$16128='Люлин'!$B$1,ROW(data!$A$3:$A$16128)-ROW($A$3)+1),ROWS(A$4:A133))),"")</f>
        <v>46126</v>
      </c>
      <c r="B133" s="19" t="str">
        <f t="array" ref="B133">IF(ROWS(B$4:B133)&lt;=$B$2,INDEX(data!A$3:A$16128,SMALL(IF(data!$D$3:$D$16128='Люлин'!$B$1,ROW(data!$A$3:$A$16128)-ROW($A$3)+1),ROWS(B$4:B133))),"")</f>
        <v>каса ФИКТИВНА</v>
      </c>
      <c r="C133" s="19">
        <f t="array" ref="C133">IF(ROWS(C$4:C133)&lt;=$B$2,INDEX(data!B$3:B$16128,SMALL(IF(data!$D$3:$D$16128='Люлин'!$B$1,ROW(data!$A$3:$A$16128)-ROW($A$3)+1),ROWS(C$4:C133))),"")</f>
        <v>-178</v>
      </c>
      <c r="D133" s="7" t="str">
        <f t="array" ref="D133">IF(ROWS(D$4:D133)&lt;=$B$2,INDEX(data!E$3:E$16128,SMALL(IF(data!$D$3:$D$16128='Люлин'!$B$1,ROW(data!$A$3:$A$16128)-ROW($A$3)+1),ROWS(D$4:D133))),"")</f>
        <v>пазар Тихомир</v>
      </c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3">
        <f t="array" ref="A134">IF(ROWS(A$4:A134)&lt;=$B$2,INDEX(data!C$3:C$16128,SMALL(IF(data!$D$3:$D$16128='Люлин'!$B$1,ROW(data!$A$3:$A$16128)-ROW($A$3)+1),ROWS(A$4:A134))),"")</f>
        <v>46127</v>
      </c>
      <c r="B134" s="19" t="str">
        <f t="array" ref="B134">IF(ROWS(B$4:B134)&lt;=$B$2,INDEX(data!A$3:A$16128,SMALL(IF(data!$D$3:$D$16128='Люлин'!$B$1,ROW(data!$A$3:$A$16128)-ROW($A$3)+1),ROWS(B$4:B134))),"")</f>
        <v>каса ФИКТИВНА</v>
      </c>
      <c r="C134" s="19">
        <f t="array" ref="C134">IF(ROWS(C$4:C134)&lt;=$B$2,INDEX(data!B$3:B$16128,SMALL(IF(data!$D$3:$D$16128='Люлин'!$B$1,ROW(data!$A$3:$A$16128)-ROW($A$3)+1),ROWS(C$4:C134))),"")</f>
        <v>-74</v>
      </c>
      <c r="D134" s="7" t="str">
        <f t="array" ref="D134">IF(ROWS(D$4:D134)&lt;=$B$2,INDEX(data!E$3:E$16128,SMALL(IF(data!$D$3:$D$16128='Люлин'!$B$1,ROW(data!$A$3:$A$16128)-ROW($A$3)+1),ROWS(D$4:D134))),"")</f>
        <v>пазар Тихомир</v>
      </c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3">
        <f t="array" ref="A135">IF(ROWS(A$4:A135)&lt;=$B$2,INDEX(data!C$3:C$16128,SMALL(IF(data!$D$3:$D$16128='Люлин'!$B$1,ROW(data!$A$3:$A$16128)-ROW($A$3)+1),ROWS(A$4:A135))),"")</f>
        <v>46129</v>
      </c>
      <c r="B135" s="19" t="str">
        <f t="array" ref="B135">IF(ROWS(B$4:B135)&lt;=$B$2,INDEX(data!A$3:A$16128,SMALL(IF(data!$D$3:$D$16128='Люлин'!$B$1,ROW(data!$A$3:$A$16128)-ROW($A$3)+1),ROWS(B$4:B135))),"")</f>
        <v>каса ФИКТИВНА</v>
      </c>
      <c r="C135" s="19">
        <f t="array" ref="C135">IF(ROWS(C$4:C135)&lt;=$B$2,INDEX(data!B$3:B$16128,SMALL(IF(data!$D$3:$D$16128='Люлин'!$B$1,ROW(data!$A$3:$A$16128)-ROW($A$3)+1),ROWS(C$4:C135))),"")</f>
        <v>-107.5</v>
      </c>
      <c r="D135" s="7" t="str">
        <f t="array" ref="D135">IF(ROWS(D$4:D135)&lt;=$B$2,INDEX(data!E$3:E$16128,SMALL(IF(data!$D$3:$D$16128='Люлин'!$B$1,ROW(data!$A$3:$A$16128)-ROW($A$3)+1),ROWS(D$4:D135))),"")</f>
        <v>пазар Тихомир</v>
      </c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3">
        <f t="array" ref="A136">IF(ROWS(A$4:A136)&lt;=$B$2,INDEX(data!C$3:C$16128,SMALL(IF(data!$D$3:$D$16128='Люлин'!$B$1,ROW(data!$A$3:$A$16128)-ROW($A$3)+1),ROWS(A$4:A136))),"")</f>
        <v>46132</v>
      </c>
      <c r="B136" s="19" t="str">
        <f t="array" ref="B136">IF(ROWS(B$4:B136)&lt;=$B$2,INDEX(data!A$3:A$16128,SMALL(IF(data!$D$3:$D$16128='Люлин'!$B$1,ROW(data!$A$3:$A$16128)-ROW($A$3)+1),ROWS(B$4:B136))),"")</f>
        <v>КАСОВА КНИГА</v>
      </c>
      <c r="C136" s="19">
        <f t="array" ref="C136">IF(ROWS(C$4:C136)&lt;=$B$2,INDEX(data!B$3:B$16128,SMALL(IF(data!$D$3:$D$16128='Люлин'!$B$1,ROW(data!$A$3:$A$16128)-ROW($A$3)+1),ROWS(C$4:C136))),"")</f>
        <v>-1000</v>
      </c>
      <c r="D136" s="7" t="str">
        <f t="array" ref="D136">IF(ROWS(D$4:D136)&lt;=$B$2,INDEX(data!E$3:E$16128,SMALL(IF(data!$D$3:$D$16128='Люлин'!$B$1,ROW(data!$A$3:$A$16128)-ROW($A$3)+1),ROWS(D$4:D136))),"")</f>
        <v/>
      </c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3">
        <f t="array" ref="A137">IF(ROWS(A$4:A137)&lt;=$B$2,INDEX(data!C$3:C$16128,SMALL(IF(data!$D$3:$D$16128='Люлин'!$B$1,ROW(data!$A$3:$A$16128)-ROW($A$3)+1),ROWS(A$4:A137))),"")</f>
        <v>46132</v>
      </c>
      <c r="B137" s="19" t="str">
        <f t="array" ref="B137">IF(ROWS(B$4:B137)&lt;=$B$2,INDEX(data!A$3:A$16128,SMALL(IF(data!$D$3:$D$16128='Люлин'!$B$1,ROW(data!$A$3:$A$16128)-ROW($A$3)+1),ROWS(B$4:B137))),"")</f>
        <v>КАСОВА КНИГА</v>
      </c>
      <c r="C137" s="19">
        <f t="array" ref="C137">IF(ROWS(C$4:C137)&lt;=$B$2,INDEX(data!B$3:B$16128,SMALL(IF(data!$D$3:$D$16128='Люлин'!$B$1,ROW(data!$A$3:$A$16128)-ROW($A$3)+1),ROWS(C$4:C137))),"")</f>
        <v>-1000</v>
      </c>
      <c r="D137" s="7" t="str">
        <f t="array" ref="D137">IF(ROWS(D$4:D137)&lt;=$B$2,INDEX(data!E$3:E$16128,SMALL(IF(data!$D$3:$D$16128='Люлин'!$B$1,ROW(data!$A$3:$A$16128)-ROW($A$3)+1),ROWS(D$4:D137))),"")</f>
        <v>1000 от 18.04</v>
      </c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3">
        <f t="array" ref="A138">IF(ROWS(A$4:A138)&lt;=$B$2,INDEX(data!C$3:C$16128,SMALL(IF(data!$D$3:$D$16128='Люлин'!$B$1,ROW(data!$A$3:$A$16128)-ROW($A$3)+1),ROWS(A$4:A138))),"")</f>
        <v>46132</v>
      </c>
      <c r="B138" s="19" t="str">
        <f t="array" ref="B138">IF(ROWS(B$4:B138)&lt;=$B$2,INDEX(data!A$3:A$16128,SMALL(IF(data!$D$3:$D$16128='Люлин'!$B$1,ROW(data!$A$3:$A$16128)-ROW($A$3)+1),ROWS(B$4:B138))),"")</f>
        <v>каса ФИКТИВНА</v>
      </c>
      <c r="C138" s="19">
        <f t="array" ref="C138">IF(ROWS(C$4:C138)&lt;=$B$2,INDEX(data!B$3:B$16128,SMALL(IF(data!$D$3:$D$16128='Люлин'!$B$1,ROW(data!$A$3:$A$16128)-ROW($A$3)+1),ROWS(C$4:C138))),"")</f>
        <v>-5</v>
      </c>
      <c r="D138" s="7" t="str">
        <f t="array" ref="D138">IF(ROWS(D$4:D138)&lt;=$B$2,INDEX(data!E$3:E$16128,SMALL(IF(data!$D$3:$D$16128='Люлин'!$B$1,ROW(data!$A$3:$A$16128)-ROW($A$3)+1),ROWS(D$4:D138))),"")</f>
        <v>пазар Милена</v>
      </c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3">
        <f t="array" ref="A139">IF(ROWS(A$4:A139)&lt;=$B$2,INDEX(data!C$3:C$16128,SMALL(IF(data!$D$3:$D$16128='Люлин'!$B$1,ROW(data!$A$3:$A$16128)-ROW($A$3)+1),ROWS(A$4:A139))),"")</f>
        <v>46132</v>
      </c>
      <c r="B139" s="19" t="str">
        <f t="array" ref="B139">IF(ROWS(B$4:B139)&lt;=$B$2,INDEX(data!A$3:A$16128,SMALL(IF(data!$D$3:$D$16128='Люлин'!$B$1,ROW(data!$A$3:$A$16128)-ROW($A$3)+1),ROWS(B$4:B139))),"")</f>
        <v>каса ФИКТИВНА</v>
      </c>
      <c r="C139" s="19">
        <f t="array" ref="C139">IF(ROWS(C$4:C139)&lt;=$B$2,INDEX(data!B$3:B$16128,SMALL(IF(data!$D$3:$D$16128='Люлин'!$B$1,ROW(data!$A$3:$A$16128)-ROW($A$3)+1),ROWS(C$4:C139))),"")</f>
        <v>-59.5</v>
      </c>
      <c r="D139" s="7" t="str">
        <f t="array" ref="D139">IF(ROWS(D$4:D139)&lt;=$B$2,INDEX(data!E$3:E$16128,SMALL(IF(data!$D$3:$D$16128='Люлин'!$B$1,ROW(data!$A$3:$A$16128)-ROW($A$3)+1),ROWS(D$4:D139))),"")</f>
        <v>пазар Тихомир</v>
      </c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3">
        <f t="array" ref="A140">IF(ROWS(A$4:A140)&lt;=$B$2,INDEX(data!C$3:C$16128,SMALL(IF(data!$D$3:$D$16128='Люлин'!$B$1,ROW(data!$A$3:$A$16128)-ROW($A$3)+1),ROWS(A$4:A140))),"")</f>
        <v>46132</v>
      </c>
      <c r="B140" s="19" t="str">
        <f t="array" ref="B140">IF(ROWS(B$4:B140)&lt;=$B$2,INDEX(data!A$3:A$16128,SMALL(IF(data!$D$3:$D$16128='Люлин'!$B$1,ROW(data!$A$3:$A$16128)-ROW($A$3)+1),ROWS(B$4:B140))),"")</f>
        <v>каса ФИКТИВНА</v>
      </c>
      <c r="C140" s="19">
        <f t="array" ref="C140">IF(ROWS(C$4:C140)&lt;=$B$2,INDEX(data!B$3:B$16128,SMALL(IF(data!$D$3:$D$16128='Люлин'!$B$1,ROW(data!$A$3:$A$16128)-ROW($A$3)+1),ROWS(C$4:C140))),"")</f>
        <v>-108</v>
      </c>
      <c r="D140" s="7" t="str">
        <f t="array" ref="D140">IF(ROWS(D$4:D140)&lt;=$B$2,INDEX(data!E$3:E$16128,SMALL(IF(data!$D$3:$D$16128='Люлин'!$B$1,ROW(data!$A$3:$A$16128)-ROW($A$3)+1),ROWS(D$4:D140))),"")</f>
        <v>пазар Тихомир 17.04</v>
      </c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3">
        <f t="array" ref="A141">IF(ROWS(A$4:A141)&lt;=$B$2,INDEX(data!C$3:C$16128,SMALL(IF(data!$D$3:$D$16128='Люлин'!$B$1,ROW(data!$A$3:$A$16128)-ROW($A$3)+1),ROWS(A$4:A141))),"")</f>
        <v>46132</v>
      </c>
      <c r="B141" s="19" t="str">
        <f t="array" ref="B141">IF(ROWS(B$4:B141)&lt;=$B$2,INDEX(data!A$3:A$16128,SMALL(IF(data!$D$3:$D$16128='Люлин'!$B$1,ROW(data!$A$3:$A$16128)-ROW($A$3)+1),ROWS(B$4:B141))),"")</f>
        <v>MYPOS Бакалия</v>
      </c>
      <c r="C141" s="19">
        <f t="array" ref="C141">IF(ROWS(C$4:C141)&lt;=$B$2,INDEX(data!B$3:B$16128,SMALL(IF(data!$D$3:$D$16128='Люлин'!$B$1,ROW(data!$A$3:$A$16128)-ROW($A$3)+1),ROWS(C$4:C141))),"")</f>
        <v>-8533.38</v>
      </c>
      <c r="D141" s="7" t="str">
        <f t="array" ref="D141">IF(ROWS(D$4:D141)&lt;=$B$2,INDEX(data!E$3:E$16128,SMALL(IF(data!$D$3:$D$16128='Люлин'!$B$1,ROW(data!$A$3:$A$16128)-ROW($A$3)+1),ROWS(D$4:D141))),"")</f>
        <v/>
      </c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3">
        <f t="array" ref="A142">IF(ROWS(A$4:A142)&lt;=$B$2,INDEX(data!C$3:C$16128,SMALL(IF(data!$D$3:$D$16128='Люлин'!$B$1,ROW(data!$A$3:$A$16128)-ROW($A$3)+1),ROWS(A$4:A142))),"")</f>
        <v>46133</v>
      </c>
      <c r="B142" s="19" t="str">
        <f t="array" ref="B142">IF(ROWS(B$4:B142)&lt;=$B$2,INDEX(data!A$3:A$16128,SMALL(IF(data!$D$3:$D$16128='Люлин'!$B$1,ROW(data!$A$3:$A$16128)-ROW($A$3)+1),ROWS(B$4:B142))),"")</f>
        <v>каса ФИКТИВНА</v>
      </c>
      <c r="C142" s="19">
        <f t="array" ref="C142">IF(ROWS(C$4:C142)&lt;=$B$2,INDEX(data!B$3:B$16128,SMALL(IF(data!$D$3:$D$16128='Люлин'!$B$1,ROW(data!$A$3:$A$16128)-ROW($A$3)+1),ROWS(C$4:C142))),"")</f>
        <v>-62.5</v>
      </c>
      <c r="D142" s="7" t="str">
        <f t="array" ref="D142">IF(ROWS(D$4:D142)&lt;=$B$2,INDEX(data!E$3:E$16128,SMALL(IF(data!$D$3:$D$16128='Люлин'!$B$1,ROW(data!$A$3:$A$16128)-ROW($A$3)+1),ROWS(D$4:D142))),"")</f>
        <v>пазар Тихомир</v>
      </c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3">
        <f t="array" ref="A143">IF(ROWS(A$4:A143)&lt;=$B$2,INDEX(data!C$3:C$16128,SMALL(IF(data!$D$3:$D$16128='Люлин'!$B$1,ROW(data!$A$3:$A$16128)-ROW($A$3)+1),ROWS(A$4:A143))),"")</f>
        <v>46134</v>
      </c>
      <c r="B143" s="19" t="str">
        <f t="array" ref="B143">IF(ROWS(B$4:B143)&lt;=$B$2,INDEX(data!A$3:A$16128,SMALL(IF(data!$D$3:$D$16128='Люлин'!$B$1,ROW(data!$A$3:$A$16128)-ROW($A$3)+1),ROWS(B$4:B143))),"")</f>
        <v>Каса ВАУЧЕРИ</v>
      </c>
      <c r="C143" s="19">
        <f t="array" ref="C143">IF(ROWS(C$4:C143)&lt;=$B$2,INDEX(data!B$3:B$16128,SMALL(IF(data!$D$3:$D$16128='Люлин'!$B$1,ROW(data!$A$3:$A$16128)-ROW($A$3)+1),ROWS(C$4:C143))),"")</f>
        <v>700</v>
      </c>
      <c r="D143" s="7" t="str">
        <f t="array" ref="D143">IF(ROWS(D$4:D143)&lt;=$B$2,INDEX(data!E$3:E$16128,SMALL(IF(data!$D$3:$D$16128='Люлин'!$B$1,ROW(data!$A$3:$A$16128)-ROW($A$3)+1),ROWS(D$4:D143))),"")</f>
        <v>ваучери персонал</v>
      </c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3">
        <f t="array" ref="A144">IF(ROWS(A$4:A144)&lt;=$B$2,INDEX(data!C$3:C$16128,SMALL(IF(data!$D$3:$D$16128='Люлин'!$B$1,ROW(data!$A$3:$A$16128)-ROW($A$3)+1),ROWS(A$4:A144))),"")</f>
        <v>46134</v>
      </c>
      <c r="B144" s="19" t="str">
        <f t="array" ref="B144">IF(ROWS(B$4:B144)&lt;=$B$2,INDEX(data!A$3:A$16128,SMALL(IF(data!$D$3:$D$16128='Люлин'!$B$1,ROW(data!$A$3:$A$16128)-ROW($A$3)+1),ROWS(B$4:B144))),"")</f>
        <v>каса ФИКТИВНА</v>
      </c>
      <c r="C144" s="19">
        <f t="array" ref="C144">IF(ROWS(C$4:C144)&lt;=$B$2,INDEX(data!B$3:B$16128,SMALL(IF(data!$D$3:$D$16128='Люлин'!$B$1,ROW(data!$A$3:$A$16128)-ROW($A$3)+1),ROWS(C$4:C144))),"")</f>
        <v>-19</v>
      </c>
      <c r="D144" s="7" t="str">
        <f t="array" ref="D144">IF(ROWS(D$4:D144)&lt;=$B$2,INDEX(data!E$3:E$16128,SMALL(IF(data!$D$3:$D$16128='Люлин'!$B$1,ROW(data!$A$3:$A$16128)-ROW($A$3)+1),ROWS(D$4:D144))),"")</f>
        <v>пазар Тихомир</v>
      </c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3">
        <f t="array" ref="A145">IF(ROWS(A$4:A145)&lt;=$B$2,INDEX(data!C$3:C$16128,SMALL(IF(data!$D$3:$D$16128='Люлин'!$B$1,ROW(data!$A$3:$A$16128)-ROW($A$3)+1),ROWS(A$4:A145))),"")</f>
        <v>46135</v>
      </c>
      <c r="B145" s="19" t="str">
        <f t="array" ref="B145">IF(ROWS(B$4:B145)&lt;=$B$2,INDEX(data!A$3:A$16128,SMALL(IF(data!$D$3:$D$16128='Люлин'!$B$1,ROW(data!$A$3:$A$16128)-ROW($A$3)+1),ROWS(B$4:B145))),"")</f>
        <v>Каса ВАУЧЕРИ</v>
      </c>
      <c r="C145" s="19">
        <f t="array" ref="C145">IF(ROWS(C$4:C145)&lt;=$B$2,INDEX(data!B$3:B$16128,SMALL(IF(data!$D$3:$D$16128='Люлин'!$B$1,ROW(data!$A$3:$A$16128)-ROW($A$3)+1),ROWS(C$4:C145))),"")</f>
        <v>-15</v>
      </c>
      <c r="D145" s="36">
        <f t="array" ref="D145">IF(ROWS(D$4:D145)&lt;=$B$2,INDEX(data!E$3:E$16128,SMALL(IF(data!$D$3:$D$16128='Люлин'!$B$1,ROW(data!$A$3:$A$16128)-ROW($A$3)+1),ROWS(D$4:D145))),"")</f>
        <v>38327</v>
      </c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3">
        <f t="array" ref="A146">IF(ROWS(A$4:A146)&lt;=$B$2,INDEX(data!C$3:C$16128,SMALL(IF(data!$D$3:$D$16128='Люлин'!$B$1,ROW(data!$A$3:$A$16128)-ROW($A$3)+1),ROWS(A$4:A146))),"")</f>
        <v>46135</v>
      </c>
      <c r="B146" s="19" t="str">
        <f t="array" ref="B146">IF(ROWS(B$4:B146)&lt;=$B$2,INDEX(data!A$3:A$16128,SMALL(IF(data!$D$3:$D$16128='Люлин'!$B$1,ROW(data!$A$3:$A$16128)-ROW($A$3)+1),ROWS(B$4:B146))),"")</f>
        <v>Каса ВАУЧЕРИ</v>
      </c>
      <c r="C146" s="19">
        <f t="array" ref="C146">IF(ROWS(C$4:C146)&lt;=$B$2,INDEX(data!B$3:B$16128,SMALL(IF(data!$D$3:$D$16128='Люлин'!$B$1,ROW(data!$A$3:$A$16128)-ROW($A$3)+1),ROWS(C$4:C146))),"")</f>
        <v>-65</v>
      </c>
      <c r="D146" s="7" t="str">
        <f t="array" ref="D146">IF(ROWS(D$4:D146)&lt;=$B$2,INDEX(data!E$3:E$16128,SMALL(IF(data!$D$3:$D$16128='Люлин'!$B$1,ROW(data!$A$3:$A$16128)-ROW($A$3)+1),ROWS(D$4:D146))),"")</f>
        <v>23-29.03</v>
      </c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3">
        <f t="array" ref="A147">IF(ROWS(A$4:A147)&lt;=$B$2,INDEX(data!C$3:C$16128,SMALL(IF(data!$D$3:$D$16128='Люлин'!$B$1,ROW(data!$A$3:$A$16128)-ROW($A$3)+1),ROWS(A$4:A147))),"")</f>
        <v>46135</v>
      </c>
      <c r="B147" s="19" t="str">
        <f t="array" ref="B147">IF(ROWS(B$4:B147)&lt;=$B$2,INDEX(data!A$3:A$16128,SMALL(IF(data!$D$3:$D$16128='Люлин'!$B$1,ROW(data!$A$3:$A$16128)-ROW($A$3)+1),ROWS(B$4:B147))),"")</f>
        <v>Каса ВАУЧЕРИ</v>
      </c>
      <c r="C147" s="19">
        <f t="array" ref="C147">IF(ROWS(C$4:C147)&lt;=$B$2,INDEX(data!B$3:B$16128,SMALL(IF(data!$D$3:$D$16128='Люлин'!$B$1,ROW(data!$A$3:$A$16128)-ROW($A$3)+1),ROWS(C$4:C147))),"")</f>
        <v>-34</v>
      </c>
      <c r="D147" s="7" t="str">
        <f t="array" ref="D147">IF(ROWS(D$4:D147)&lt;=$B$2,INDEX(data!E$3:E$16128,SMALL(IF(data!$D$3:$D$16128='Люлин'!$B$1,ROW(data!$A$3:$A$16128)-ROW($A$3)+1),ROWS(D$4:D147))),"")</f>
        <v>30.03-05.04</v>
      </c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3">
        <f t="array" ref="A148">IF(ROWS(A$4:A148)&lt;=$B$2,INDEX(data!C$3:C$16128,SMALL(IF(data!$D$3:$D$16128='Люлин'!$B$1,ROW(data!$A$3:$A$16128)-ROW($A$3)+1),ROWS(A$4:A148))),"")</f>
        <v>46135</v>
      </c>
      <c r="B148" s="19" t="str">
        <f t="array" ref="B148">IF(ROWS(B$4:B148)&lt;=$B$2,INDEX(data!A$3:A$16128,SMALL(IF(data!$D$3:$D$16128='Люлин'!$B$1,ROW(data!$A$3:$A$16128)-ROW($A$3)+1),ROWS(B$4:B148))),"")</f>
        <v>каса ФИКТИВНА</v>
      </c>
      <c r="C148" s="19">
        <f t="array" ref="C148">IF(ROWS(C$4:C148)&lt;=$B$2,INDEX(data!B$3:B$16128,SMALL(IF(data!$D$3:$D$16128='Люлин'!$B$1,ROW(data!$A$3:$A$16128)-ROW($A$3)+1),ROWS(C$4:C148))),"")</f>
        <v>-51.5</v>
      </c>
      <c r="D148" s="7" t="str">
        <f t="array" ref="D148">IF(ROWS(D$4:D148)&lt;=$B$2,INDEX(data!E$3:E$16128,SMALL(IF(data!$D$3:$D$16128='Люлин'!$B$1,ROW(data!$A$3:$A$16128)-ROW($A$3)+1),ROWS(D$4:D148))),"")</f>
        <v>пазар Тихомир</v>
      </c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3">
        <f t="array" ref="A149">IF(ROWS(A$4:A149)&lt;=$B$2,INDEX(data!C$3:C$16128,SMALL(IF(data!$D$3:$D$16128='Люлин'!$B$1,ROW(data!$A$3:$A$16128)-ROW($A$3)+1),ROWS(A$4:A149))),"")</f>
        <v>46136</v>
      </c>
      <c r="B149" s="19" t="str">
        <f t="array" ref="B149">IF(ROWS(B$4:B149)&lt;=$B$2,INDEX(data!A$3:A$16128,SMALL(IF(data!$D$3:$D$16128='Люлин'!$B$1,ROW(data!$A$3:$A$16128)-ROW($A$3)+1),ROWS(B$4:B149))),"")</f>
        <v>КАСОВА КНИГА</v>
      </c>
      <c r="C149" s="19">
        <f t="array" ref="C149">IF(ROWS(C$4:C149)&lt;=$B$2,INDEX(data!B$3:B$16128,SMALL(IF(data!$D$3:$D$16128='Люлин'!$B$1,ROW(data!$A$3:$A$16128)-ROW($A$3)+1),ROWS(C$4:C149))),"")</f>
        <v>-500</v>
      </c>
      <c r="D149" s="7" t="str">
        <f t="array" ref="D149">IF(ROWS(D$4:D149)&lt;=$B$2,INDEX(data!E$3:E$16128,SMALL(IF(data!$D$3:$D$16128='Люлин'!$B$1,ROW(data!$A$3:$A$16128)-ROW($A$3)+1),ROWS(D$4:D149))),"")</f>
        <v/>
      </c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3">
        <f t="array" ref="A150">IF(ROWS(A$4:A150)&lt;=$B$2,INDEX(data!C$3:C$16128,SMALL(IF(data!$D$3:$D$16128='Люлин'!$B$1,ROW(data!$A$3:$A$16128)-ROW($A$3)+1),ROWS(A$4:A150))),"")</f>
        <v>46136</v>
      </c>
      <c r="B150" s="19" t="str">
        <f t="array" ref="B150">IF(ROWS(B$4:B150)&lt;=$B$2,INDEX(data!A$3:A$16128,SMALL(IF(data!$D$3:$D$16128='Люлин'!$B$1,ROW(data!$A$3:$A$16128)-ROW($A$3)+1),ROWS(B$4:B150))),"")</f>
        <v>каса ФИКТИВНА</v>
      </c>
      <c r="C150" s="19">
        <f t="array" ref="C150">IF(ROWS(C$4:C150)&lt;=$B$2,INDEX(data!B$3:B$16128,SMALL(IF(data!$D$3:$D$16128='Люлин'!$B$1,ROW(data!$A$3:$A$16128)-ROW($A$3)+1),ROWS(C$4:C150))),"")</f>
        <v>-110</v>
      </c>
      <c r="D150" s="7" t="str">
        <f t="array" ref="D150">IF(ROWS(D$4:D150)&lt;=$B$2,INDEX(data!E$3:E$16128,SMALL(IF(data!$D$3:$D$16128='Люлин'!$B$1,ROW(data!$A$3:$A$16128)-ROW($A$3)+1),ROWS(D$4:D150))),"")</f>
        <v>пазар Тихомир</v>
      </c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3">
        <f t="array" ref="A151">IF(ROWS(A$4:A151)&lt;=$B$2,INDEX(data!C$3:C$16128,SMALL(IF(data!$D$3:$D$16128='Люлин'!$B$1,ROW(data!$A$3:$A$16128)-ROW($A$3)+1),ROWS(A$4:A151))),"")</f>
        <v>46139</v>
      </c>
      <c r="B151" s="19" t="str">
        <f t="array" ref="B151">IF(ROWS(B$4:B151)&lt;=$B$2,INDEX(data!A$3:A$16128,SMALL(IF(data!$D$3:$D$16128='Люлин'!$B$1,ROW(data!$A$3:$A$16128)-ROW($A$3)+1),ROWS(B$4:B151))),"")</f>
        <v>MYPOS Бакалия</v>
      </c>
      <c r="C151" s="19">
        <f t="array" ref="C151">IF(ROWS(C$4:C151)&lt;=$B$2,INDEX(data!B$3:B$16128,SMALL(IF(data!$D$3:$D$16128='Люлин'!$B$1,ROW(data!$A$3:$A$16128)-ROW($A$3)+1),ROWS(C$4:C151))),"")</f>
        <v>-9632.82</v>
      </c>
      <c r="D151" s="7" t="str">
        <f t="array" ref="D151">IF(ROWS(D$4:D151)&lt;=$B$2,INDEX(data!E$3:E$16128,SMALL(IF(data!$D$3:$D$16128='Люлин'!$B$1,ROW(data!$A$3:$A$16128)-ROW($A$3)+1),ROWS(D$4:D151))),"")</f>
        <v/>
      </c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3">
        <f t="array" ref="A152">IF(ROWS(A$4:A152)&lt;=$B$2,INDEX(data!C$3:C$16128,SMALL(IF(data!$D$3:$D$16128='Люлин'!$B$1,ROW(data!$A$3:$A$16128)-ROW($A$3)+1),ROWS(A$4:A152))),"")</f>
        <v>46139</v>
      </c>
      <c r="B152" s="19" t="str">
        <f t="array" ref="B152">IF(ROWS(B$4:B152)&lt;=$B$2,INDEX(data!A$3:A$16128,SMALL(IF(data!$D$3:$D$16128='Люлин'!$B$1,ROW(data!$A$3:$A$16128)-ROW($A$3)+1),ROWS(B$4:B152))),"")</f>
        <v>КАСОВА КНИГА</v>
      </c>
      <c r="C152" s="19">
        <f t="array" ref="C152">IF(ROWS(C$4:C152)&lt;=$B$2,INDEX(data!B$3:B$16128,SMALL(IF(data!$D$3:$D$16128='Люлин'!$B$1,ROW(data!$A$3:$A$16128)-ROW($A$3)+1),ROWS(C$4:C152))),"")</f>
        <v>-1000</v>
      </c>
      <c r="D152" s="7" t="str">
        <f t="array" ref="D152">IF(ROWS(D$4:D152)&lt;=$B$2,INDEX(data!E$3:E$16128,SMALL(IF(data!$D$3:$D$16128='Люлин'!$B$1,ROW(data!$A$3:$A$16128)-ROW($A$3)+1),ROWS(D$4:D152))),"")</f>
        <v>1000 от 25.04</v>
      </c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3">
        <f t="array" ref="A153">IF(ROWS(A$4:A153)&lt;=$B$2,INDEX(data!C$3:C$16128,SMALL(IF(data!$D$3:$D$16128='Люлин'!$B$1,ROW(data!$A$3:$A$16128)-ROW($A$3)+1),ROWS(A$4:A153))),"")</f>
        <v>46139</v>
      </c>
      <c r="B153" s="19" t="str">
        <f t="array" ref="B153">IF(ROWS(B$4:B153)&lt;=$B$2,INDEX(data!A$3:A$16128,SMALL(IF(data!$D$3:$D$16128='Люлин'!$B$1,ROW(data!$A$3:$A$16128)-ROW($A$3)+1),ROWS(B$4:B153))),"")</f>
        <v>каса ФИКТИВНА</v>
      </c>
      <c r="C153" s="19">
        <f t="array" ref="C153">IF(ROWS(C$4:C153)&lt;=$B$2,INDEX(data!B$3:B$16128,SMALL(IF(data!$D$3:$D$16128='Люлин'!$B$1,ROW(data!$A$3:$A$16128)-ROW($A$3)+1),ROWS(C$4:C153))),"")</f>
        <v>-140</v>
      </c>
      <c r="D153" s="7" t="str">
        <f t="array" ref="D153">IF(ROWS(D$4:D153)&lt;=$B$2,INDEX(data!E$3:E$16128,SMALL(IF(data!$D$3:$D$16128='Люлин'!$B$1,ROW(data!$A$3:$A$16128)-ROW($A$3)+1),ROWS(D$4:D153))),"")</f>
        <v>пазар Тихомир</v>
      </c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3">
        <f t="array" ref="A154">IF(ROWS(A$4:A154)&lt;=$B$2,INDEX(data!C$3:C$16128,SMALL(IF(data!$D$3:$D$16128='Люлин'!$B$1,ROW(data!$A$3:$A$16128)-ROW($A$3)+1),ROWS(A$4:A154))),"")</f>
        <v>46140</v>
      </c>
      <c r="B154" s="19" t="str">
        <f t="array" ref="B154">IF(ROWS(B$4:B154)&lt;=$B$2,INDEX(data!A$3:A$16128,SMALL(IF(data!$D$3:$D$16128='Люлин'!$B$1,ROW(data!$A$3:$A$16128)-ROW($A$3)+1),ROWS(B$4:B154))),"")</f>
        <v>каса ФИКТИВНА</v>
      </c>
      <c r="C154" s="19">
        <f t="array" ref="C154">IF(ROWS(C$4:C154)&lt;=$B$2,INDEX(data!B$3:B$16128,SMALL(IF(data!$D$3:$D$16128='Люлин'!$B$1,ROW(data!$A$3:$A$16128)-ROW($A$3)+1),ROWS(C$4:C154))),"")</f>
        <v>-65</v>
      </c>
      <c r="D154" s="7" t="str">
        <f t="array" ref="D154">IF(ROWS(D$4:D154)&lt;=$B$2,INDEX(data!E$3:E$16128,SMALL(IF(data!$D$3:$D$16128='Люлин'!$B$1,ROW(data!$A$3:$A$16128)-ROW($A$3)+1),ROWS(D$4:D154))),"")</f>
        <v>пазар Тихомир</v>
      </c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3">
        <f t="array" ref="A155">IF(ROWS(A$4:A155)&lt;=$B$2,INDEX(data!C$3:C$16128,SMALL(IF(data!$D$3:$D$16128='Люлин'!$B$1,ROW(data!$A$3:$A$16128)-ROW($A$3)+1),ROWS(A$4:A155))),"")</f>
        <v>46141</v>
      </c>
      <c r="B155" s="19" t="str">
        <f t="array" ref="B155">IF(ROWS(B$4:B155)&lt;=$B$2,INDEX(data!A$3:A$16128,SMALL(IF(data!$D$3:$D$16128='Люлин'!$B$1,ROW(data!$A$3:$A$16128)-ROW($A$3)+1),ROWS(B$4:B155))),"")</f>
        <v>каса ФИКТИВНА</v>
      </c>
      <c r="C155" s="19">
        <f t="array" ref="C155">IF(ROWS(C$4:C155)&lt;=$B$2,INDEX(data!B$3:B$16128,SMALL(IF(data!$D$3:$D$16128='Люлин'!$B$1,ROW(data!$A$3:$A$16128)-ROW($A$3)+1),ROWS(C$4:C155))),"")</f>
        <v>-13</v>
      </c>
      <c r="D155" s="7" t="str">
        <f t="array" ref="D155">IF(ROWS(D$4:D155)&lt;=$B$2,INDEX(data!E$3:E$16128,SMALL(IF(data!$D$3:$D$16128='Люлин'!$B$1,ROW(data!$A$3:$A$16128)-ROW($A$3)+1),ROWS(D$4:D155))),"")</f>
        <v>галони Милена</v>
      </c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3">
        <f t="array" ref="A156">IF(ROWS(A$4:A156)&lt;=$B$2,INDEX(data!C$3:C$16128,SMALL(IF(data!$D$3:$D$16128='Люлин'!$B$1,ROW(data!$A$3:$A$16128)-ROW($A$3)+1),ROWS(A$4:A156))),"")</f>
        <v>46142</v>
      </c>
      <c r="B156" s="19" t="str">
        <f t="array" ref="B156">IF(ROWS(B$4:B156)&lt;=$B$2,INDEX(data!A$3:A$16128,SMALL(IF(data!$D$3:$D$16128='Люлин'!$B$1,ROW(data!$A$3:$A$16128)-ROW($A$3)+1),ROWS(B$4:B156))),"")</f>
        <v>каса ФИКТИВНА</v>
      </c>
      <c r="C156" s="19">
        <f t="array" ref="C156">IF(ROWS(C$4:C156)&lt;=$B$2,INDEX(data!B$3:B$16128,SMALL(IF(data!$D$3:$D$16128='Люлин'!$B$1,ROW(data!$A$3:$A$16128)-ROW($A$3)+1),ROWS(C$4:C156))),"")</f>
        <v>-67</v>
      </c>
      <c r="D156" s="7" t="str">
        <f t="array" ref="D156">IF(ROWS(D$4:D156)&lt;=$B$2,INDEX(data!E$3:E$16128,SMALL(IF(data!$D$3:$D$16128='Люлин'!$B$1,ROW(data!$A$3:$A$16128)-ROW($A$3)+1),ROWS(D$4:D156))),"")</f>
        <v>пазар Тихомир</v>
      </c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3">
        <f t="array" ref="A157">IF(ROWS(A$4:A157)&lt;=$B$2,INDEX(data!C$3:C$16128,SMALL(IF(data!$D$3:$D$16128='Люлин'!$B$1,ROW(data!$A$3:$A$16128)-ROW($A$3)+1),ROWS(A$4:A157))),"")</f>
        <v>46143</v>
      </c>
      <c r="B157" s="19" t="str">
        <f t="array" ref="B157">IF(ROWS(B$4:B157)&lt;=$B$2,INDEX(data!A$3:A$16128,SMALL(IF(data!$D$3:$D$16128='Люлин'!$B$1,ROW(data!$A$3:$A$16128)-ROW($A$3)+1),ROWS(B$4:B157))),"")</f>
        <v>каса ФИКТИВНА</v>
      </c>
      <c r="C157" s="19">
        <f t="array" ref="C157">IF(ROWS(C$4:C157)&lt;=$B$2,INDEX(data!B$3:B$16128,SMALL(IF(data!$D$3:$D$16128='Люлин'!$B$1,ROW(data!$A$3:$A$16128)-ROW($A$3)+1),ROWS(C$4:C157))),"")</f>
        <v>-159</v>
      </c>
      <c r="D157" s="7" t="str">
        <f t="array" ref="D157">IF(ROWS(D$4:D157)&lt;=$B$2,INDEX(data!E$3:E$16128,SMALL(IF(data!$D$3:$D$16128='Люлин'!$B$1,ROW(data!$A$3:$A$16128)-ROW($A$3)+1),ROWS(D$4:D157))),"")</f>
        <v>пазар Тихомир</v>
      </c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3">
        <f t="array" ref="A158">IF(ROWS(A$4:A158)&lt;=$B$2,INDEX(data!C$3:C$16128,SMALL(IF(data!$D$3:$D$16128='Люлин'!$B$1,ROW(data!$A$3:$A$16128)-ROW($A$3)+1),ROWS(A$4:A158))),"")</f>
        <v>46146</v>
      </c>
      <c r="B158" s="19" t="str">
        <f t="array" ref="B158">IF(ROWS(B$4:B158)&lt;=$B$2,INDEX(data!A$3:A$16128,SMALL(IF(data!$D$3:$D$16128='Люлин'!$B$1,ROW(data!$A$3:$A$16128)-ROW($A$3)+1),ROWS(B$4:B158))),"")</f>
        <v>MYPOS Бакалия</v>
      </c>
      <c r="C158" s="19">
        <f t="array" ref="C158">IF(ROWS(C$4:C158)&lt;=$B$2,INDEX(data!B$3:B$16128,SMALL(IF(data!$D$3:$D$16128='Люлин'!$B$1,ROW(data!$A$3:$A$16128)-ROW($A$3)+1),ROWS(C$4:C158))),"")</f>
        <v>-9185.64</v>
      </c>
      <c r="D158" s="7" t="str">
        <f t="array" ref="D158">IF(ROWS(D$4:D158)&lt;=$B$2,INDEX(data!E$3:E$16128,SMALL(IF(data!$D$3:$D$16128='Люлин'!$B$1,ROW(data!$A$3:$A$16128)-ROW($A$3)+1),ROWS(D$4:D158))),"")</f>
        <v/>
      </c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3">
        <f t="array" ref="A159">IF(ROWS(A$4:A159)&lt;=$B$2,INDEX(data!C$3:C$16128,SMALL(IF(data!$D$3:$D$16128='Люлин'!$B$1,ROW(data!$A$3:$A$16128)-ROW($A$3)+1),ROWS(A$4:A159))),"")</f>
        <v>46146</v>
      </c>
      <c r="B159" s="19" t="str">
        <f t="array" ref="B159">IF(ROWS(B$4:B159)&lt;=$B$2,INDEX(data!A$3:A$16128,SMALL(IF(data!$D$3:$D$16128='Люлин'!$B$1,ROW(data!$A$3:$A$16128)-ROW($A$3)+1),ROWS(B$4:B159))),"")</f>
        <v>КАСОВА КНИГА</v>
      </c>
      <c r="C159" s="19">
        <f t="array" ref="C159">IF(ROWS(C$4:C159)&lt;=$B$2,INDEX(data!B$3:B$16128,SMALL(IF(data!$D$3:$D$16128='Люлин'!$B$1,ROW(data!$A$3:$A$16128)-ROW($A$3)+1),ROWS(C$4:C159))),"")</f>
        <v>-1000</v>
      </c>
      <c r="D159" s="7" t="str">
        <f t="array" ref="D159">IF(ROWS(D$4:D159)&lt;=$B$2,INDEX(data!E$3:E$16128,SMALL(IF(data!$D$3:$D$16128='Люлин'!$B$1,ROW(data!$A$3:$A$16128)-ROW($A$3)+1),ROWS(D$4:D159))),"")</f>
        <v/>
      </c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3">
        <f t="array" ref="A160">IF(ROWS(A$4:A160)&lt;=$B$2,INDEX(data!C$3:C$16128,SMALL(IF(data!$D$3:$D$16128='Люлин'!$B$1,ROW(data!$A$3:$A$16128)-ROW($A$3)+1),ROWS(A$4:A160))),"")</f>
        <v>46146</v>
      </c>
      <c r="B160" s="19" t="str">
        <f t="array" ref="B160">IF(ROWS(B$4:B160)&lt;=$B$2,INDEX(data!A$3:A$16128,SMALL(IF(data!$D$3:$D$16128='Люлин'!$B$1,ROW(data!$A$3:$A$16128)-ROW($A$3)+1),ROWS(B$4:B160))),"")</f>
        <v>каса ФИКТИВНА</v>
      </c>
      <c r="C160" s="19">
        <f t="array" ref="C160">IF(ROWS(C$4:C160)&lt;=$B$2,INDEX(data!B$3:B$16128,SMALL(IF(data!$D$3:$D$16128='Люлин'!$B$1,ROW(data!$A$3:$A$16128)-ROW($A$3)+1),ROWS(C$4:C160))),"")</f>
        <v>-1000</v>
      </c>
      <c r="D160" s="7" t="str">
        <f t="array" ref="D160">IF(ROWS(D$4:D160)&lt;=$B$2,INDEX(data!E$3:E$16128,SMALL(IF(data!$D$3:$D$16128='Люлин'!$B$1,ROW(data!$A$3:$A$16128)-ROW($A$3)+1),ROWS(D$4:D160))),"")</f>
        <v>1000 от 02.05</v>
      </c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3">
        <f t="array" ref="A161">IF(ROWS(A$4:A161)&lt;=$B$2,INDEX(data!C$3:C$16128,SMALL(IF(data!$D$3:$D$16128='Люлин'!$B$1,ROW(data!$A$3:$A$16128)-ROW($A$3)+1),ROWS(A$4:A161))),"")</f>
        <v>46146</v>
      </c>
      <c r="B161" s="19" t="str">
        <f t="array" ref="B161">IF(ROWS(B$4:B161)&lt;=$B$2,INDEX(data!A$3:A$16128,SMALL(IF(data!$D$3:$D$16128='Люлин'!$B$1,ROW(data!$A$3:$A$16128)-ROW($A$3)+1),ROWS(B$4:B161))),"")</f>
        <v>каса ФИКТИВНА</v>
      </c>
      <c r="C161" s="19">
        <f t="array" ref="C161">IF(ROWS(C$4:C161)&lt;=$B$2,INDEX(data!B$3:B$16128,SMALL(IF(data!$D$3:$D$16128='Люлин'!$B$1,ROW(data!$A$3:$A$16128)-ROW($A$3)+1),ROWS(C$4:C161))),"")</f>
        <v>-53</v>
      </c>
      <c r="D161" s="7" t="str">
        <f t="array" ref="D161">IF(ROWS(D$4:D161)&lt;=$B$2,INDEX(data!E$3:E$16128,SMALL(IF(data!$D$3:$D$16128='Люлин'!$B$1,ROW(data!$A$3:$A$16128)-ROW($A$3)+1),ROWS(D$4:D161))),"")</f>
        <v>пазар Тихомир</v>
      </c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3">
        <f t="array" ref="A162">IF(ROWS(A$4:A162)&lt;=$B$2,INDEX(data!C$3:C$16128,SMALL(IF(data!$D$3:$D$16128='Люлин'!$B$1,ROW(data!$A$3:$A$16128)-ROW($A$3)+1),ROWS(A$4:A162))),"")</f>
        <v>46147</v>
      </c>
      <c r="B162" s="19" t="str">
        <f t="array" ref="B162">IF(ROWS(B$4:B162)&lt;=$B$2,INDEX(data!A$3:A$16128,SMALL(IF(data!$D$3:$D$16128='Люлин'!$B$1,ROW(data!$A$3:$A$16128)-ROW($A$3)+1),ROWS(B$4:B162))),"")</f>
        <v>каса ФИКТИВНА</v>
      </c>
      <c r="C162" s="19">
        <f t="array" ref="C162">IF(ROWS(C$4:C162)&lt;=$B$2,INDEX(data!B$3:B$16128,SMALL(IF(data!$D$3:$D$16128='Люлин'!$B$1,ROW(data!$A$3:$A$16128)-ROW($A$3)+1),ROWS(C$4:C162))),"")</f>
        <v>-100</v>
      </c>
      <c r="D162" s="7" t="str">
        <f t="array" ref="D162">IF(ROWS(D$4:D162)&lt;=$B$2,INDEX(data!E$3:E$16128,SMALL(IF(data!$D$3:$D$16128='Люлин'!$B$1,ROW(data!$A$3:$A$16128)-ROW($A$3)+1),ROWS(D$4:D162))),"")</f>
        <v>Спартак от премиите</v>
      </c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3">
        <f t="array" ref="A163">IF(ROWS(A$4:A163)&lt;=$B$2,INDEX(data!C$3:C$16128,SMALL(IF(data!$D$3:$D$16128='Люлин'!$B$1,ROW(data!$A$3:$A$16128)-ROW($A$3)+1),ROWS(A$4:A163))),"")</f>
        <v>46147</v>
      </c>
      <c r="B163" s="19" t="str">
        <f t="array" ref="B163">IF(ROWS(B$4:B163)&lt;=$B$2,INDEX(data!A$3:A$16128,SMALL(IF(data!$D$3:$D$16128='Люлин'!$B$1,ROW(data!$A$3:$A$16128)-ROW($A$3)+1),ROWS(B$4:B163))),"")</f>
        <v>каса ФИКТИВНА</v>
      </c>
      <c r="C163" s="19">
        <f t="array" ref="C163">IF(ROWS(C$4:C163)&lt;=$B$2,INDEX(data!B$3:B$16128,SMALL(IF(data!$D$3:$D$16128='Люлин'!$B$1,ROW(data!$A$3:$A$16128)-ROW($A$3)+1),ROWS(C$4:C163))),"")</f>
        <v>-89</v>
      </c>
      <c r="D163" s="7" t="str">
        <f t="array" ref="D163">IF(ROWS(D$4:D163)&lt;=$B$2,INDEX(data!E$3:E$16128,SMALL(IF(data!$D$3:$D$16128='Люлин'!$B$1,ROW(data!$A$3:$A$16128)-ROW($A$3)+1),ROWS(D$4:D163))),"")</f>
        <v>пазар Тихомир</v>
      </c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3">
        <f t="array" ref="A164">IF(ROWS(A$4:A164)&lt;=$B$2,INDEX(data!C$3:C$16128,SMALL(IF(data!$D$3:$D$16128='Люлин'!$B$1,ROW(data!$A$3:$A$16128)-ROW($A$3)+1),ROWS(A$4:A164))),"")</f>
        <v>46148</v>
      </c>
      <c r="B164" s="19" t="str">
        <f t="array" ref="B164">IF(ROWS(B$4:B164)&lt;=$B$2,INDEX(data!A$3:A$16128,SMALL(IF(data!$D$3:$D$16128='Люлин'!$B$1,ROW(data!$A$3:$A$16128)-ROW($A$3)+1),ROWS(B$4:B164))),"")</f>
        <v>ЗАЕМ</v>
      </c>
      <c r="C164" s="19">
        <f t="array" ref="C164">IF(ROWS(C$4:C164)&lt;=$B$2,INDEX(data!B$3:B$16128,SMALL(IF(data!$D$3:$D$16128='Люлин'!$B$1,ROW(data!$A$3:$A$16128)-ROW($A$3)+1),ROWS(C$4:C164))),"")</f>
        <v>60318.1</v>
      </c>
      <c r="D164" s="7" t="str">
        <f t="array" ref="D164">IF(ROWS(D$4:D164)&lt;=$B$2,INDEX(data!E$3:E$16128,SMALL(IF(data!$D$3:$D$16128='Люлин'!$B$1,ROW(data!$A$3:$A$16128)-ROW($A$3)+1),ROWS(D$4:D164))),"")</f>
        <v>Салдо склад + вътр. п-не</v>
      </c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3">
        <f t="array" ref="A165">IF(ROWS(A$4:A165)&lt;=$B$2,INDEX(data!C$3:C$16128,SMALL(IF(data!$D$3:$D$16128='Люлин'!$B$1,ROW(data!$A$3:$A$16128)-ROW($A$3)+1),ROWS(A$4:A165))),"")</f>
        <v>46149</v>
      </c>
      <c r="B165" s="19" t="str">
        <f t="array" ref="B165">IF(ROWS(B$4:B165)&lt;=$B$2,INDEX(data!A$3:A$16128,SMALL(IF(data!$D$3:$D$16128='Люлин'!$B$1,ROW(data!$A$3:$A$16128)-ROW($A$3)+1),ROWS(B$4:B165))),"")</f>
        <v>КАСОВА КНИГА</v>
      </c>
      <c r="C165" s="19">
        <f t="array" ref="C165">IF(ROWS(C$4:C165)&lt;=$B$2,INDEX(data!B$3:B$16128,SMALL(IF(data!$D$3:$D$16128='Люлин'!$B$1,ROW(data!$A$3:$A$16128)-ROW($A$3)+1),ROWS(C$4:C165))),"")</f>
        <v>-500</v>
      </c>
      <c r="D165" s="7" t="str">
        <f t="array" ref="D165">IF(ROWS(D$4:D165)&lt;=$B$2,INDEX(data!E$3:E$16128,SMALL(IF(data!$D$3:$D$16128='Люлин'!$B$1,ROW(data!$A$3:$A$16128)-ROW($A$3)+1),ROWS(D$4:D165))),"")</f>
        <v/>
      </c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3">
        <f t="array" ref="A166">IF(ROWS(A$4:A166)&lt;=$B$2,INDEX(data!C$3:C$16128,SMALL(IF(data!$D$3:$D$16128='Люлин'!$B$1,ROW(data!$A$3:$A$16128)-ROW($A$3)+1),ROWS(A$4:A166))),"")</f>
        <v>46149</v>
      </c>
      <c r="B166" s="19" t="str">
        <f t="array" ref="B166">IF(ROWS(B$4:B166)&lt;=$B$2,INDEX(data!A$3:A$16128,SMALL(IF(data!$D$3:$D$16128='Люлин'!$B$1,ROW(data!$A$3:$A$16128)-ROW($A$3)+1),ROWS(B$4:B166))),"")</f>
        <v>КАСОВА КНИГА</v>
      </c>
      <c r="C166" s="19">
        <f t="array" ref="C166">IF(ROWS(C$4:C166)&lt;=$B$2,INDEX(data!B$3:B$16128,SMALL(IF(data!$D$3:$D$16128='Люлин'!$B$1,ROW(data!$A$3:$A$16128)-ROW($A$3)+1),ROWS(C$4:C166))),"")</f>
        <v>-500</v>
      </c>
      <c r="D166" s="7" t="str">
        <f t="array" ref="D166">IF(ROWS(D$4:D166)&lt;=$B$2,INDEX(data!E$3:E$16128,SMALL(IF(data!$D$3:$D$16128='Люлин'!$B$1,ROW(data!$A$3:$A$16128)-ROW($A$3)+1),ROWS(D$4:D166))),"")</f>
        <v>500 от 06.05</v>
      </c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3">
        <f t="array" ref="A167">IF(ROWS(A$4:A167)&lt;=$B$2,INDEX(data!C$3:C$16128,SMALL(IF(data!$D$3:$D$16128='Люлин'!$B$1,ROW(data!$A$3:$A$16128)-ROW($A$3)+1),ROWS(A$4:A167))),"")</f>
        <v>46149</v>
      </c>
      <c r="B167" s="19" t="str">
        <f t="array" ref="B167">IF(ROWS(B$4:B167)&lt;=$B$2,INDEX(data!A$3:A$16128,SMALL(IF(data!$D$3:$D$16128='Люлин'!$B$1,ROW(data!$A$3:$A$16128)-ROW($A$3)+1),ROWS(B$4:B167))),"")</f>
        <v>Каса ВАУЧЕРИ</v>
      </c>
      <c r="C167" s="19">
        <f t="array" ref="C167">IF(ROWS(C$4:C167)&lt;=$B$2,INDEX(data!B$3:B$16128,SMALL(IF(data!$D$3:$D$16128='Люлин'!$B$1,ROW(data!$A$3:$A$16128)-ROW($A$3)+1),ROWS(C$4:C167))),"")</f>
        <v>-17</v>
      </c>
      <c r="D167" s="7" t="str">
        <f t="array" ref="D167">IF(ROWS(D$4:D167)&lt;=$B$2,INDEX(data!E$3:E$16128,SMALL(IF(data!$D$3:$D$16128='Люлин'!$B$1,ROW(data!$A$3:$A$16128)-ROW($A$3)+1),ROWS(D$4:D167))),"")</f>
        <v>към 27.04</v>
      </c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3">
        <f t="array" ref="A168">IF(ROWS(A$4:A168)&lt;=$B$2,INDEX(data!C$3:C$16128,SMALL(IF(data!$D$3:$D$16128='Люлин'!$B$1,ROW(data!$A$3:$A$16128)-ROW($A$3)+1),ROWS(A$4:A168))),"")</f>
        <v>46149</v>
      </c>
      <c r="B168" s="19" t="str">
        <f t="array" ref="B168">IF(ROWS(B$4:B168)&lt;=$B$2,INDEX(data!A$3:A$16128,SMALL(IF(data!$D$3:$D$16128='Люлин'!$B$1,ROW(data!$A$3:$A$16128)-ROW($A$3)+1),ROWS(B$4:B168))),"")</f>
        <v>каса ФИКТИВНА</v>
      </c>
      <c r="C168" s="19">
        <f t="array" ref="C168">IF(ROWS(C$4:C168)&lt;=$B$2,INDEX(data!B$3:B$16128,SMALL(IF(data!$D$3:$D$16128='Люлин'!$B$1,ROW(data!$A$3:$A$16128)-ROW($A$3)+1),ROWS(C$4:C168))),"")</f>
        <v>-100</v>
      </c>
      <c r="D168" s="7" t="str">
        <f t="array" ref="D168">IF(ROWS(D$4:D168)&lt;=$B$2,INDEX(data!E$3:E$16128,SMALL(IF(data!$D$3:$D$16128='Люлин'!$B$1,ROW(data!$A$3:$A$16128)-ROW($A$3)+1),ROWS(D$4:D168))),"")</f>
        <v>пазар тихомир</v>
      </c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3">
        <f t="array" ref="A169">IF(ROWS(A$4:A169)&lt;=$B$2,INDEX(data!C$3:C$16128,SMALL(IF(data!$D$3:$D$16128='Люлин'!$B$1,ROW(data!$A$3:$A$16128)-ROW($A$3)+1),ROWS(A$4:A169))),"")</f>
        <v>46150</v>
      </c>
      <c r="B169" s="19" t="str">
        <f t="array" ref="B169">IF(ROWS(B$4:B169)&lt;=$B$2,INDEX(data!A$3:A$16128,SMALL(IF(data!$D$3:$D$16128='Люлин'!$B$1,ROW(data!$A$3:$A$16128)-ROW($A$3)+1),ROWS(B$4:B169))),"")</f>
        <v>КАСОВА КНИГА</v>
      </c>
      <c r="C169" s="19">
        <f t="array" ref="C169">IF(ROWS(C$4:C169)&lt;=$B$2,INDEX(data!B$3:B$16128,SMALL(IF(data!$D$3:$D$16128='Люлин'!$B$1,ROW(data!$A$3:$A$16128)-ROW($A$3)+1),ROWS(C$4:C169))),"")</f>
        <v>-500</v>
      </c>
      <c r="D169" s="7" t="str">
        <f t="array" ref="D169">IF(ROWS(D$4:D169)&lt;=$B$2,INDEX(data!E$3:E$16128,SMALL(IF(data!$D$3:$D$16128='Люлин'!$B$1,ROW(data!$A$3:$A$16128)-ROW($A$3)+1),ROWS(D$4:D169))),"")</f>
        <v/>
      </c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3">
        <f t="array" ref="A170">IF(ROWS(A$4:A170)&lt;=$B$2,INDEX(data!C$3:C$16128,SMALL(IF(data!$D$3:$D$16128='Люлин'!$B$1,ROW(data!$A$3:$A$16128)-ROW($A$3)+1),ROWS(A$4:A170))),"")</f>
        <v>46150</v>
      </c>
      <c r="B170" s="19" t="str">
        <f t="array" ref="B170">IF(ROWS(B$4:B170)&lt;=$B$2,INDEX(data!A$3:A$16128,SMALL(IF(data!$D$3:$D$16128='Люлин'!$B$1,ROW(data!$A$3:$A$16128)-ROW($A$3)+1),ROWS(B$4:B170))),"")</f>
        <v>каса ФИКТИВНА</v>
      </c>
      <c r="C170" s="19">
        <f t="array" ref="C170">IF(ROWS(C$4:C170)&lt;=$B$2,INDEX(data!B$3:B$16128,SMALL(IF(data!$D$3:$D$16128='Люлин'!$B$1,ROW(data!$A$3:$A$16128)-ROW($A$3)+1),ROWS(C$4:C170))),"")</f>
        <v>-228</v>
      </c>
      <c r="D170" s="7" t="str">
        <f t="array" ref="D170">IF(ROWS(D$4:D170)&lt;=$B$2,INDEX(data!E$3:E$16128,SMALL(IF(data!$D$3:$D$16128='Люлин'!$B$1,ROW(data!$A$3:$A$16128)-ROW($A$3)+1),ROWS(D$4:D170))),"")</f>
        <v>пазар Тихомир</v>
      </c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3">
        <f t="array" ref="A171">IF(ROWS(A$4:A171)&lt;=$B$2,INDEX(data!C$3:C$16128,SMALL(IF(data!$D$3:$D$16128='Люлин'!$B$1,ROW(data!$A$3:$A$16128)-ROW($A$3)+1),ROWS(A$4:A171))),"")</f>
        <v>46153</v>
      </c>
      <c r="B171" s="19" t="str">
        <f t="array" ref="B171">IF(ROWS(B$4:B171)&lt;=$B$2,INDEX(data!A$3:A$16128,SMALL(IF(data!$D$3:$D$16128='Люлин'!$B$1,ROW(data!$A$3:$A$16128)-ROW($A$3)+1),ROWS(B$4:B171))),"")</f>
        <v>MYPOS Бакалия</v>
      </c>
      <c r="C171" s="19">
        <f t="array" ref="C171">IF(ROWS(C$4:C171)&lt;=$B$2,INDEX(data!B$3:B$16128,SMALL(IF(data!$D$3:$D$16128='Люлин'!$B$1,ROW(data!$A$3:$A$16128)-ROW($A$3)+1),ROWS(C$4:C171))),"")</f>
        <v>-9558.82</v>
      </c>
      <c r="D171" s="7" t="str">
        <f t="array" ref="D171">IF(ROWS(D$4:D171)&lt;=$B$2,INDEX(data!E$3:E$16128,SMALL(IF(data!$D$3:$D$16128='Люлин'!$B$1,ROW(data!$A$3:$A$16128)-ROW($A$3)+1),ROWS(D$4:D171))),"")</f>
        <v/>
      </c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3">
        <f t="array" ref="A172">IF(ROWS(A$4:A172)&lt;=$B$2,INDEX(data!C$3:C$16128,SMALL(IF(data!$D$3:$D$16128='Люлин'!$B$1,ROW(data!$A$3:$A$16128)-ROW($A$3)+1),ROWS(A$4:A172))),"")</f>
        <v>46153</v>
      </c>
      <c r="B172" s="19" t="str">
        <f t="array" ref="B172">IF(ROWS(B$4:B172)&lt;=$B$2,INDEX(data!A$3:A$16128,SMALL(IF(data!$D$3:$D$16128='Люлин'!$B$1,ROW(data!$A$3:$A$16128)-ROW($A$3)+1),ROWS(B$4:B172))),"")</f>
        <v>КАСОВА КНИГА</v>
      </c>
      <c r="C172" s="19">
        <f t="array" ref="C172">IF(ROWS(C$4:C172)&lt;=$B$2,INDEX(data!B$3:B$16128,SMALL(IF(data!$D$3:$D$16128='Люлин'!$B$1,ROW(data!$A$3:$A$16128)-ROW($A$3)+1),ROWS(C$4:C172))),"")</f>
        <v>-1500</v>
      </c>
      <c r="D172" s="7" t="str">
        <f t="array" ref="D172">IF(ROWS(D$4:D172)&lt;=$B$2,INDEX(data!E$3:E$16128,SMALL(IF(data!$D$3:$D$16128='Люлин'!$B$1,ROW(data!$A$3:$A$16128)-ROW($A$3)+1),ROWS(D$4:D172))),"")</f>
        <v/>
      </c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3">
        <f t="array" ref="A173">IF(ROWS(A$4:A173)&lt;=$B$2,INDEX(data!C$3:C$16128,SMALL(IF(data!$D$3:$D$16128='Люлин'!$B$1,ROW(data!$A$3:$A$16128)-ROW($A$3)+1),ROWS(A$4:A173))),"")</f>
        <v>46153</v>
      </c>
      <c r="B173" s="19" t="str">
        <f t="array" ref="B173">IF(ROWS(B$4:B173)&lt;=$B$2,INDEX(data!A$3:A$16128,SMALL(IF(data!$D$3:$D$16128='Люлин'!$B$1,ROW(data!$A$3:$A$16128)-ROW($A$3)+1),ROWS(B$4:B173))),"")</f>
        <v>КАСОВА КНИГА</v>
      </c>
      <c r="C173" s="19">
        <f t="array" ref="C173">IF(ROWS(C$4:C173)&lt;=$B$2,INDEX(data!B$3:B$16128,SMALL(IF(data!$D$3:$D$16128='Люлин'!$B$1,ROW(data!$A$3:$A$16128)-ROW($A$3)+1),ROWS(C$4:C173))),"")</f>
        <v>-1000</v>
      </c>
      <c r="D173" s="7">
        <f t="array" ref="D173">IF(ROWS(D$4:D173)&lt;=$B$2,INDEX(data!E$3:E$16128,SMALL(IF(data!$D$3:$D$16128='Люлин'!$B$1,ROW(data!$A$3:$A$16128)-ROW($A$3)+1),ROWS(D$4:D173))),"")</f>
        <v>9.05</v>
      </c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3">
        <f t="array" ref="A174">IF(ROWS(A$4:A174)&lt;=$B$2,INDEX(data!C$3:C$16128,SMALL(IF(data!$D$3:$D$16128='Люлин'!$B$1,ROW(data!$A$3:$A$16128)-ROW($A$3)+1),ROWS(A$4:A174))),"")</f>
        <v>46155</v>
      </c>
      <c r="B174" s="19" t="str">
        <f t="array" ref="B174">IF(ROWS(B$4:B174)&lt;=$B$2,INDEX(data!A$3:A$16128,SMALL(IF(data!$D$3:$D$16128='Люлин'!$B$1,ROW(data!$A$3:$A$16128)-ROW($A$3)+1),ROWS(B$4:B174))),"")</f>
        <v>КАСОВА КНИГА</v>
      </c>
      <c r="C174" s="19">
        <f t="array" ref="C174">IF(ROWS(C$4:C174)&lt;=$B$2,INDEX(data!B$3:B$16128,SMALL(IF(data!$D$3:$D$16128='Люлин'!$B$1,ROW(data!$A$3:$A$16128)-ROW($A$3)+1),ROWS(C$4:C174))),"")</f>
        <v>-500</v>
      </c>
      <c r="D174" s="7" t="str">
        <f t="array" ref="D174">IF(ROWS(D$4:D174)&lt;=$B$2,INDEX(data!E$3:E$16128,SMALL(IF(data!$D$3:$D$16128='Люлин'!$B$1,ROW(data!$A$3:$A$16128)-ROW($A$3)+1),ROWS(D$4:D174))),"")</f>
        <v/>
      </c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3">
        <f t="array" ref="A175">IF(ROWS(A$4:A175)&lt;=$B$2,INDEX(data!C$3:C$16128,SMALL(IF(data!$D$3:$D$16128='Люлин'!$B$1,ROW(data!$A$3:$A$16128)-ROW($A$3)+1),ROWS(A$4:A175))),"")</f>
        <v>46155</v>
      </c>
      <c r="B175" s="19" t="str">
        <f t="array" ref="B175">IF(ROWS(B$4:B175)&lt;=$B$2,INDEX(data!A$3:A$16128,SMALL(IF(data!$D$3:$D$16128='Люлин'!$B$1,ROW(data!$A$3:$A$16128)-ROW($A$3)+1),ROWS(B$4:B175))),"")</f>
        <v>КАСОВА КНИГА</v>
      </c>
      <c r="C175" s="19">
        <f t="array" ref="C175">IF(ROWS(C$4:C175)&lt;=$B$2,INDEX(data!B$3:B$16128,SMALL(IF(data!$D$3:$D$16128='Люлин'!$B$1,ROW(data!$A$3:$A$16128)-ROW($A$3)+1),ROWS(C$4:C175))),"")</f>
        <v>-300</v>
      </c>
      <c r="D175" s="7" t="str">
        <f t="array" ref="D175">IF(ROWS(D$4:D175)&lt;=$B$2,INDEX(data!E$3:E$16128,SMALL(IF(data!$D$3:$D$16128='Люлин'!$B$1,ROW(data!$A$3:$A$16128)-ROW($A$3)+1),ROWS(D$4:D175))),"")</f>
        <v>Спартак от премиите</v>
      </c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3">
        <f t="array" ref="A176">IF(ROWS(A$4:A176)&lt;=$B$2,INDEX(data!C$3:C$16128,SMALL(IF(data!$D$3:$D$16128='Люлин'!$B$1,ROW(data!$A$3:$A$16128)-ROW($A$3)+1),ROWS(A$4:A176))),"")</f>
        <v>46157</v>
      </c>
      <c r="B176" s="19" t="str">
        <f t="array" ref="B176">IF(ROWS(B$4:B176)&lt;=$B$2,INDEX(data!A$3:A$16128,SMALL(IF(data!$D$3:$D$16128='Люлин'!$B$1,ROW(data!$A$3:$A$16128)-ROW($A$3)+1),ROWS(B$4:B176))),"")</f>
        <v>КАСОВА КНИГА</v>
      </c>
      <c r="C176" s="19">
        <f t="array" ref="C176">IF(ROWS(C$4:C176)&lt;=$B$2,INDEX(data!B$3:B$16128,SMALL(IF(data!$D$3:$D$16128='Люлин'!$B$1,ROW(data!$A$3:$A$16128)-ROW($A$3)+1),ROWS(C$4:C176))),"")</f>
        <v>-29</v>
      </c>
      <c r="D176" s="7" t="str">
        <f t="array" ref="D176">IF(ROWS(D$4:D176)&lt;=$B$2,INDEX(data!E$3:E$16128,SMALL(IF(data!$D$3:$D$16128='Люлин'!$B$1,ROW(data!$A$3:$A$16128)-ROW($A$3)+1),ROWS(D$4:D176))),"")</f>
        <v>колет Деница</v>
      </c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3">
        <f t="array" ref="A177">IF(ROWS(A$4:A177)&lt;=$B$2,INDEX(data!C$3:C$16128,SMALL(IF(data!$D$3:$D$16128='Люлин'!$B$1,ROW(data!$A$3:$A$16128)-ROW($A$3)+1),ROWS(A$4:A177))),"")</f>
        <v>46157</v>
      </c>
      <c r="B177" s="19" t="str">
        <f t="array" ref="B177">IF(ROWS(B$4:B177)&lt;=$B$2,INDEX(data!A$3:A$16128,SMALL(IF(data!$D$3:$D$16128='Люлин'!$B$1,ROW(data!$A$3:$A$16128)-ROW($A$3)+1),ROWS(B$4:B177))),"")</f>
        <v>Каса ВАУЧЕРИ</v>
      </c>
      <c r="C177" s="19">
        <f t="array" ref="C177">IF(ROWS(C$4:C177)&lt;=$B$2,INDEX(data!B$3:B$16128,SMALL(IF(data!$D$3:$D$16128='Люлин'!$B$1,ROW(data!$A$3:$A$16128)-ROW($A$3)+1),ROWS(C$4:C177))),"")</f>
        <v>-125.36</v>
      </c>
      <c r="D177" s="7" t="str">
        <f t="array" ref="D177">IF(ROWS(D$4:D177)&lt;=$B$2,INDEX(data!E$3:E$16128,SMALL(IF(data!$D$3:$D$16128='Люлин'!$B$1,ROW(data!$A$3:$A$16128)-ROW($A$3)+1),ROWS(D$4:D177))),"")</f>
        <v/>
      </c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3">
        <f t="array" ref="A178">IF(ROWS(A$4:A178)&lt;=$B$2,INDEX(data!C$3:C$16128,SMALL(IF(data!$D$3:$D$16128='Люлин'!$B$1,ROW(data!$A$3:$A$16128)-ROW($A$3)+1),ROWS(A$4:A178))),"")</f>
        <v>46157</v>
      </c>
      <c r="B178" s="19" t="str">
        <f t="array" ref="B178">IF(ROWS(B$4:B178)&lt;=$B$2,INDEX(data!A$3:A$16128,SMALL(IF(data!$D$3:$D$16128='Люлин'!$B$1,ROW(data!$A$3:$A$16128)-ROW($A$3)+1),ROWS(B$4:B178))),"")</f>
        <v>каса ФИКТИВНА</v>
      </c>
      <c r="C178" s="19">
        <f t="array" ref="C178">IF(ROWS(C$4:C178)&lt;=$B$2,INDEX(data!B$3:B$16128,SMALL(IF(data!$D$3:$D$16128='Люлин'!$B$1,ROW(data!$A$3:$A$16128)-ROW($A$3)+1),ROWS(C$4:C178))),"")</f>
        <v>-188</v>
      </c>
      <c r="D178" s="7" t="str">
        <f t="array" ref="D178">IF(ROWS(D$4:D178)&lt;=$B$2,INDEX(data!E$3:E$16128,SMALL(IF(data!$D$3:$D$16128='Люлин'!$B$1,ROW(data!$A$3:$A$16128)-ROW($A$3)+1),ROWS(D$4:D178))),"")</f>
        <v>Пазар Тихомир</v>
      </c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3">
        <f t="array" ref="A179">IF(ROWS(A$4:A179)&lt;=$B$2,INDEX(data!C$3:C$16128,SMALL(IF(data!$D$3:$D$16128='Люлин'!$B$1,ROW(data!$A$3:$A$16128)-ROW($A$3)+1),ROWS(A$4:A179))),"")</f>
        <v>46160</v>
      </c>
      <c r="B179" s="19" t="str">
        <f t="array" ref="B179">IF(ROWS(B$4:B179)&lt;=$B$2,INDEX(data!A$3:A$16128,SMALL(IF(data!$D$3:$D$16128='Люлин'!$B$1,ROW(data!$A$3:$A$16128)-ROW($A$3)+1),ROWS(B$4:B179))),"")</f>
        <v>MYPOS Бакалия</v>
      </c>
      <c r="C179" s="19">
        <f t="array" ref="C179">IF(ROWS(C$4:C179)&lt;=$B$2,INDEX(data!B$3:B$16128,SMALL(IF(data!$D$3:$D$16128='Люлин'!$B$1,ROW(data!$A$3:$A$16128)-ROW($A$3)+1),ROWS(C$4:C179))),"")</f>
        <v>-10450.31</v>
      </c>
      <c r="D179" s="7" t="str">
        <f t="array" ref="D179">IF(ROWS(D$4:D179)&lt;=$B$2,INDEX(data!E$3:E$16128,SMALL(IF(data!$D$3:$D$16128='Люлин'!$B$1,ROW(data!$A$3:$A$16128)-ROW($A$3)+1),ROWS(D$4:D179))),"")</f>
        <v/>
      </c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3">
        <f t="array" ref="A180">IF(ROWS(A$4:A180)&lt;=$B$2,INDEX(data!C$3:C$16128,SMALL(IF(data!$D$3:$D$16128='Люлин'!$B$1,ROW(data!$A$3:$A$16128)-ROW($A$3)+1),ROWS(A$4:A180))),"")</f>
        <v>46160</v>
      </c>
      <c r="B180" s="19" t="str">
        <f t="array" ref="B180">IF(ROWS(B$4:B180)&lt;=$B$2,INDEX(data!A$3:A$16128,SMALL(IF(data!$D$3:$D$16128='Люлин'!$B$1,ROW(data!$A$3:$A$16128)-ROW($A$3)+1),ROWS(B$4:B180))),"")</f>
        <v>каса ФИКТИВНА</v>
      </c>
      <c r="C180" s="19">
        <f t="array" ref="C180">IF(ROWS(C$4:C180)&lt;=$B$2,INDEX(data!B$3:B$16128,SMALL(IF(data!$D$3:$D$16128='Люлин'!$B$1,ROW(data!$A$3:$A$16128)-ROW($A$3)+1),ROWS(C$4:C180))),"")</f>
        <v>-1000</v>
      </c>
      <c r="D180" s="7" t="str">
        <f t="array" ref="D180">IF(ROWS(D$4:D180)&lt;=$B$2,INDEX(data!E$3:E$16128,SMALL(IF(data!$D$3:$D$16128='Люлин'!$B$1,ROW(data!$A$3:$A$16128)-ROW($A$3)+1),ROWS(D$4:D180))),"")</f>
        <v>1000 от 16.05</v>
      </c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3">
        <f t="array" ref="A181">IF(ROWS(A$4:A181)&lt;=$B$2,INDEX(data!C$3:C$16128,SMALL(IF(data!$D$3:$D$16128='Люлин'!$B$1,ROW(data!$A$3:$A$16128)-ROW($A$3)+1),ROWS(A$4:A181))),"")</f>
        <v>46160</v>
      </c>
      <c r="B181" s="19" t="str">
        <f t="array" ref="B181">IF(ROWS(B$4:B181)&lt;=$B$2,INDEX(data!A$3:A$16128,SMALL(IF(data!$D$3:$D$16128='Люлин'!$B$1,ROW(data!$A$3:$A$16128)-ROW($A$3)+1),ROWS(B$4:B181))),"")</f>
        <v>каса ФИКТИВНА</v>
      </c>
      <c r="C181" s="19">
        <f t="array" ref="C181">IF(ROWS(C$4:C181)&lt;=$B$2,INDEX(data!B$3:B$16128,SMALL(IF(data!$D$3:$D$16128='Люлин'!$B$1,ROW(data!$A$3:$A$16128)-ROW($A$3)+1),ROWS(C$4:C181))),"")</f>
        <v>-42</v>
      </c>
      <c r="D181" s="7" t="str">
        <f t="array" ref="D181">IF(ROWS(D$4:D181)&lt;=$B$2,INDEX(data!E$3:E$16128,SMALL(IF(data!$D$3:$D$16128='Люлин'!$B$1,ROW(data!$A$3:$A$16128)-ROW($A$3)+1),ROWS(D$4:D181))),"")</f>
        <v>пазар шефа 16.05</v>
      </c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3">
        <f t="array" ref="A182">IF(ROWS(A$4:A182)&lt;=$B$2,INDEX(data!C$3:C$16128,SMALL(IF(data!$D$3:$D$16128='Люлин'!$B$1,ROW(data!$A$3:$A$16128)-ROW($A$3)+1),ROWS(A$4:A182))),"")</f>
        <v>46160</v>
      </c>
      <c r="B182" s="19" t="str">
        <f t="array" ref="B182">IF(ROWS(B$4:B182)&lt;=$B$2,INDEX(data!A$3:A$16128,SMALL(IF(data!$D$3:$D$16128='Люлин'!$B$1,ROW(data!$A$3:$A$16128)-ROW($A$3)+1),ROWS(B$4:B182))),"")</f>
        <v>каса ФИКТИВНА</v>
      </c>
      <c r="C182" s="19">
        <f t="array" ref="C182">IF(ROWS(C$4:C182)&lt;=$B$2,INDEX(data!B$3:B$16128,SMALL(IF(data!$D$3:$D$16128='Люлин'!$B$1,ROW(data!$A$3:$A$16128)-ROW($A$3)+1),ROWS(C$4:C182))),"")</f>
        <v>-114</v>
      </c>
      <c r="D182" s="7" t="str">
        <f t="array" ref="D182">IF(ROWS(D$4:D182)&lt;=$B$2,INDEX(data!E$3:E$16128,SMALL(IF(data!$D$3:$D$16128='Люлин'!$B$1,ROW(data!$A$3:$A$16128)-ROW($A$3)+1),ROWS(D$4:D182))),"")</f>
        <v>пазар шефа от 13.05</v>
      </c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3">
        <f t="array" ref="A183">IF(ROWS(A$4:A183)&lt;=$B$2,INDEX(data!C$3:C$16128,SMALL(IF(data!$D$3:$D$16128='Люлин'!$B$1,ROW(data!$A$3:$A$16128)-ROW($A$3)+1),ROWS(A$4:A183))),"")</f>
        <v>46160</v>
      </c>
      <c r="B183" s="19" t="str">
        <f t="array" ref="B183">IF(ROWS(B$4:B183)&lt;=$B$2,INDEX(data!A$3:A$16128,SMALL(IF(data!$D$3:$D$16128='Люлин'!$B$1,ROW(data!$A$3:$A$16128)-ROW($A$3)+1),ROWS(B$4:B183))),"")</f>
        <v>каса ФИКТИВНА</v>
      </c>
      <c r="C183" s="19">
        <f t="array" ref="C183">IF(ROWS(C$4:C183)&lt;=$B$2,INDEX(data!B$3:B$16128,SMALL(IF(data!$D$3:$D$16128='Люлин'!$B$1,ROW(data!$A$3:$A$16128)-ROW($A$3)+1),ROWS(C$4:C183))),"")</f>
        <v>-400</v>
      </c>
      <c r="D183" s="7" t="str">
        <f t="array" ref="D183">IF(ROWS(D$4:D183)&lt;=$B$2,INDEX(data!E$3:E$16128,SMALL(IF(data!$D$3:$D$16128='Люлин'!$B$1,ROW(data!$A$3:$A$16128)-ROW($A$3)+1),ROWS(D$4:D183))),"")</f>
        <v>платено Благо</v>
      </c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3">
        <f t="array" ref="A184">IF(ROWS(A$4:A184)&lt;=$B$2,INDEX(data!C$3:C$16128,SMALL(IF(data!$D$3:$D$16128='Люлин'!$B$1,ROW(data!$A$3:$A$16128)-ROW($A$3)+1),ROWS(A$4:A184))),"")</f>
        <v>46161</v>
      </c>
      <c r="B184" s="19" t="str">
        <f t="array" ref="B184">IF(ROWS(B$4:B184)&lt;=$B$2,INDEX(data!A$3:A$16128,SMALL(IF(data!$D$3:$D$16128='Люлин'!$B$1,ROW(data!$A$3:$A$16128)-ROW($A$3)+1),ROWS(B$4:B184))),"")</f>
        <v>каса ФИКТИВНА</v>
      </c>
      <c r="C184" s="19">
        <f t="array" ref="C184">IF(ROWS(C$4:C184)&lt;=$B$2,INDEX(data!B$3:B$16128,SMALL(IF(data!$D$3:$D$16128='Люлин'!$B$1,ROW(data!$A$3:$A$16128)-ROW($A$3)+1),ROWS(C$4:C184))),"")</f>
        <v>-41.5</v>
      </c>
      <c r="D184" s="7" t="str">
        <f t="array" ref="D184">IF(ROWS(D$4:D184)&lt;=$B$2,INDEX(data!E$3:E$16128,SMALL(IF(data!$D$3:$D$16128='Люлин'!$B$1,ROW(data!$A$3:$A$16128)-ROW($A$3)+1),ROWS(D$4:D184))),"")</f>
        <v>пазар шефа</v>
      </c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3">
        <f t="array" ref="A185">IF(ROWS(A$4:A185)&lt;=$B$2,INDEX(data!C$3:C$16128,SMALL(IF(data!$D$3:$D$16128='Люлин'!$B$1,ROW(data!$A$3:$A$16128)-ROW($A$3)+1),ROWS(A$4:A185))),"")</f>
        <v>46162</v>
      </c>
      <c r="B185" s="19" t="str">
        <f t="array" ref="B185">IF(ROWS(B$4:B185)&lt;=$B$2,INDEX(data!A$3:A$16128,SMALL(IF(data!$D$3:$D$16128='Люлин'!$B$1,ROW(data!$A$3:$A$16128)-ROW($A$3)+1),ROWS(B$4:B185))),"")</f>
        <v>Каса ВАУЧЕРИ</v>
      </c>
      <c r="C185" s="19">
        <f t="array" ref="C185">IF(ROWS(C$4:C185)&lt;=$B$2,INDEX(data!B$3:B$16128,SMALL(IF(data!$D$3:$D$16128='Люлин'!$B$1,ROW(data!$A$3:$A$16128)-ROW($A$3)+1),ROWS(C$4:C185))),"")</f>
        <v>700</v>
      </c>
      <c r="D185" s="7" t="str">
        <f t="array" ref="D185">IF(ROWS(D$4:D185)&lt;=$B$2,INDEX(data!E$3:E$16128,SMALL(IF(data!$D$3:$D$16128='Люлин'!$B$1,ROW(data!$A$3:$A$16128)-ROW($A$3)+1),ROWS(D$4:D185))),"")</f>
        <v>ваучери персонал</v>
      </c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3">
        <f t="array" ref="A186">IF(ROWS(A$4:A186)&lt;=$B$2,INDEX(data!C$3:C$16128,SMALL(IF(data!$D$3:$D$16128='Люлин'!$B$1,ROW(data!$A$3:$A$16128)-ROW($A$3)+1),ROWS(A$4:A186))),"")</f>
        <v>46162</v>
      </c>
      <c r="B186" s="19" t="str">
        <f t="array" ref="B186">IF(ROWS(B$4:B186)&lt;=$B$2,INDEX(data!A$3:A$16128,SMALL(IF(data!$D$3:$D$16128='Люлин'!$B$1,ROW(data!$A$3:$A$16128)-ROW($A$3)+1),ROWS(B$4:B186))),"")</f>
        <v>Каса ВАУЧЕРИ</v>
      </c>
      <c r="C186" s="19">
        <f t="array" ref="C186">IF(ROWS(C$4:C186)&lt;=$B$2,INDEX(data!B$3:B$16128,SMALL(IF(data!$D$3:$D$16128='Люлин'!$B$1,ROW(data!$A$3:$A$16128)-ROW($A$3)+1),ROWS(C$4:C186))),"")</f>
        <v>-100</v>
      </c>
      <c r="D186" s="7" t="str">
        <f t="array" ref="D186">IF(ROWS(D$4:D186)&lt;=$B$2,INDEX(data!E$3:E$16128,SMALL(IF(data!$D$3:$D$16128='Люлин'!$B$1,ROW(data!$A$3:$A$16128)-ROW($A$3)+1),ROWS(D$4:D186))),"")</f>
        <v>ваучери персонал качени в пове</v>
      </c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3">
        <f t="array" ref="A187">IF(ROWS(A$4:A187)&lt;=$B$2,INDEX(data!C$3:C$16128,SMALL(IF(data!$D$3:$D$16128='Люлин'!$B$1,ROW(data!$A$3:$A$16128)-ROW($A$3)+1),ROWS(A$4:A187))),"")</f>
        <v>46162</v>
      </c>
      <c r="B187" s="19" t="str">
        <f t="array" ref="B187">IF(ROWS(B$4:B187)&lt;=$B$2,INDEX(data!A$3:A$16128,SMALL(IF(data!$D$3:$D$16128='Люлин'!$B$1,ROW(data!$A$3:$A$16128)-ROW($A$3)+1),ROWS(B$4:B187))),"")</f>
        <v>каса ФИКТИВНА</v>
      </c>
      <c r="C187" s="19">
        <f t="array" ref="C187">IF(ROWS(C$4:C187)&lt;=$B$2,INDEX(data!B$3:B$16128,SMALL(IF(data!$D$3:$D$16128='Люлин'!$B$1,ROW(data!$A$3:$A$16128)-ROW($A$3)+1),ROWS(C$4:C187))),"")</f>
        <v>-15</v>
      </c>
      <c r="D187" s="7" t="str">
        <f t="array" ref="D187">IF(ROWS(D$4:D187)&lt;=$B$2,INDEX(data!E$3:E$16128,SMALL(IF(data!$D$3:$D$16128='Люлин'!$B$1,ROW(data!$A$3:$A$16128)-ROW($A$3)+1),ROWS(D$4:D187))),"")</f>
        <v>пазар шефа</v>
      </c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3">
        <f t="array" ref="A188">IF(ROWS(A$4:A188)&lt;=$B$2,INDEX(data!C$3:C$16128,SMALL(IF(data!$D$3:$D$16128='Люлин'!$B$1,ROW(data!$A$3:$A$16128)-ROW($A$3)+1),ROWS(A$4:A188))),"")</f>
        <v>46163</v>
      </c>
      <c r="B188" s="19" t="str">
        <f t="array" ref="B188">IF(ROWS(B$4:B188)&lt;=$B$2,INDEX(data!A$3:A$16128,SMALL(IF(data!$D$3:$D$16128='Люлин'!$B$1,ROW(data!$A$3:$A$16128)-ROW($A$3)+1),ROWS(B$4:B188))),"")</f>
        <v>каса ФИКТИВНА</v>
      </c>
      <c r="C188" s="19">
        <f t="array" ref="C188">IF(ROWS(C$4:C188)&lt;=$B$2,INDEX(data!B$3:B$16128,SMALL(IF(data!$D$3:$D$16128='Люлин'!$B$1,ROW(data!$A$3:$A$16128)-ROW($A$3)+1),ROWS(C$4:C188))),"")</f>
        <v>-31.5</v>
      </c>
      <c r="D188" s="7" t="str">
        <f t="array" ref="D188">IF(ROWS(D$4:D188)&lt;=$B$2,INDEX(data!E$3:E$16128,SMALL(IF(data!$D$3:$D$16128='Люлин'!$B$1,ROW(data!$A$3:$A$16128)-ROW($A$3)+1),ROWS(D$4:D188))),"")</f>
        <v>пазар шефа</v>
      </c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3">
        <f t="array" ref="A189">IF(ROWS(A$4:A189)&lt;=$B$2,INDEX(data!C$3:C$16128,SMALL(IF(data!$D$3:$D$16128='Люлин'!$B$1,ROW(data!$A$3:$A$16128)-ROW($A$3)+1),ROWS(A$4:A189))),"")</f>
        <v>46164</v>
      </c>
      <c r="B189" s="19" t="str">
        <f t="array" ref="B189">IF(ROWS(B$4:B189)&lt;=$B$2,INDEX(data!A$3:A$16128,SMALL(IF(data!$D$3:$D$16128='Люлин'!$B$1,ROW(data!$A$3:$A$16128)-ROW($A$3)+1),ROWS(B$4:B189))),"")</f>
        <v>каса ФИКТИВНА</v>
      </c>
      <c r="C189" s="19">
        <f t="array" ref="C189">IF(ROWS(C$4:C189)&lt;=$B$2,INDEX(data!B$3:B$16128,SMALL(IF(data!$D$3:$D$16128='Люлин'!$B$1,ROW(data!$A$3:$A$16128)-ROW($A$3)+1),ROWS(C$4:C189))),"")</f>
        <v>-414</v>
      </c>
      <c r="D189" s="7" t="str">
        <f t="array" ref="D189">IF(ROWS(D$4:D189)&lt;=$B$2,INDEX(data!E$3:E$16128,SMALL(IF(data!$D$3:$D$16128='Люлин'!$B$1,ROW(data!$A$3:$A$16128)-ROW($A$3)+1),ROWS(D$4:D189))),"")</f>
        <v>пазар шефа</v>
      </c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3">
        <f t="array" ref="A190">IF(ROWS(A$4:A190)&lt;=$B$2,INDEX(data!C$3:C$16128,SMALL(IF(data!$D$3:$D$16128='Люлин'!$B$1,ROW(data!$A$3:$A$16128)-ROW($A$3)+1),ROWS(A$4:A190))),"")</f>
        <v>46167</v>
      </c>
      <c r="B190" s="19" t="str">
        <f t="array" ref="B190">IF(ROWS(B$4:B190)&lt;=$B$2,INDEX(data!A$3:A$16128,SMALL(IF(data!$D$3:$D$16128='Люлин'!$B$1,ROW(data!$A$3:$A$16128)-ROW($A$3)+1),ROWS(B$4:B190))),"")</f>
        <v>MYPOS Бакалия</v>
      </c>
      <c r="C190" s="19">
        <f t="array" ref="C190">IF(ROWS(C$4:C190)&lt;=$B$2,INDEX(data!B$3:B$16128,SMALL(IF(data!$D$3:$D$16128='Люлин'!$B$1,ROW(data!$A$3:$A$16128)-ROW($A$3)+1),ROWS(C$4:C190))),"")</f>
        <v>-9487.35</v>
      </c>
      <c r="D190" s="7" t="str">
        <f t="array" ref="D190">IF(ROWS(D$4:D190)&lt;=$B$2,INDEX(data!E$3:E$16128,SMALL(IF(data!$D$3:$D$16128='Люлин'!$B$1,ROW(data!$A$3:$A$16128)-ROW($A$3)+1),ROWS(D$4:D190))),"")</f>
        <v/>
      </c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3">
        <f t="array" ref="A191">IF(ROWS(A$4:A191)&lt;=$B$2,INDEX(data!C$3:C$16128,SMALL(IF(data!$D$3:$D$16128='Люлин'!$B$1,ROW(data!$A$3:$A$16128)-ROW($A$3)+1),ROWS(A$4:A191))),"")</f>
        <v>46167</v>
      </c>
      <c r="B191" s="19" t="str">
        <f t="array" ref="B191">IF(ROWS(B$4:B191)&lt;=$B$2,INDEX(data!A$3:A$16128,SMALL(IF(data!$D$3:$D$16128='Люлин'!$B$1,ROW(data!$A$3:$A$16128)-ROW($A$3)+1),ROWS(B$4:B191))),"")</f>
        <v>КАСОВА КНИГА</v>
      </c>
      <c r="C191" s="19">
        <f t="array" ref="C191">IF(ROWS(C$4:C191)&lt;=$B$2,INDEX(data!B$3:B$16128,SMALL(IF(data!$D$3:$D$16128='Люлин'!$B$1,ROW(data!$A$3:$A$16128)-ROW($A$3)+1),ROWS(C$4:C191))),"")</f>
        <v>-1000</v>
      </c>
      <c r="D191" s="7" t="str">
        <f t="array" ref="D191">IF(ROWS(D$4:D191)&lt;=$B$2,INDEX(data!E$3:E$16128,SMALL(IF(data!$D$3:$D$16128='Люлин'!$B$1,ROW(data!$A$3:$A$16128)-ROW($A$3)+1),ROWS(D$4:D191))),"")</f>
        <v/>
      </c>
      <c r="E191" s="11"/>
      <c r="F191" s="11"/>
      <c r="G191" s="11"/>
      <c r="H191" s="14"/>
      <c r="I191" s="14"/>
      <c r="J191" s="14"/>
      <c r="K191" s="14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3">
        <f t="array" ref="A192">IF(ROWS(A$4:A192)&lt;=$B$2,INDEX(data!C$3:C$16128,SMALL(IF(data!$D$3:$D$16128='Люлин'!$B$1,ROW(data!$A$3:$A$16128)-ROW($A$3)+1),ROWS(A$4:A192))),"")</f>
        <v>46167</v>
      </c>
      <c r="B192" s="19" t="str">
        <f t="array" ref="B192">IF(ROWS(B$4:B192)&lt;=$B$2,INDEX(data!A$3:A$16128,SMALL(IF(data!$D$3:$D$16128='Люлин'!$B$1,ROW(data!$A$3:$A$16128)-ROW($A$3)+1),ROWS(B$4:B192))),"")</f>
        <v>КАСОВА КНИГА</v>
      </c>
      <c r="C192" s="19">
        <f t="array" ref="C192">IF(ROWS(C$4:C192)&lt;=$B$2,INDEX(data!B$3:B$16128,SMALL(IF(data!$D$3:$D$16128='Люлин'!$B$1,ROW(data!$A$3:$A$16128)-ROW($A$3)+1),ROWS(C$4:C192))),"")</f>
        <v>-1000</v>
      </c>
      <c r="D192" s="7" t="str">
        <f t="array" ref="D192">IF(ROWS(D$4:D192)&lt;=$B$2,INDEX(data!E$3:E$16128,SMALL(IF(data!$D$3:$D$16128='Люлин'!$B$1,ROW(data!$A$3:$A$16128)-ROW($A$3)+1),ROWS(D$4:D192))),"")</f>
        <v>1000 от 23.05</v>
      </c>
      <c r="E192" s="11"/>
      <c r="F192" s="11"/>
      <c r="G192" s="11"/>
      <c r="H192" s="14"/>
      <c r="I192" s="14"/>
      <c r="J192" s="14"/>
      <c r="K192" s="1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3">
        <f t="array" ref="A193">IF(ROWS(A$4:A193)&lt;=$B$2,INDEX(data!C$3:C$16128,SMALL(IF(data!$D$3:$D$16128='Люлин'!$B$1,ROW(data!$A$3:$A$16128)-ROW($A$3)+1),ROWS(A$4:A193))),"")</f>
        <v>46171</v>
      </c>
      <c r="B193" s="19" t="str">
        <f t="array" ref="B193">IF(ROWS(B$4:B193)&lt;=$B$2,INDEX(data!A$3:A$16128,SMALL(IF(data!$D$3:$D$16128='Люлин'!$B$1,ROW(data!$A$3:$A$16128)-ROW($A$3)+1),ROWS(B$4:B193))),"")</f>
        <v>КАСОВА КНИГА</v>
      </c>
      <c r="C193" s="19">
        <f t="array" ref="C193">IF(ROWS(C$4:C193)&lt;=$B$2,INDEX(data!B$3:B$16128,SMALL(IF(data!$D$3:$D$16128='Люлин'!$B$1,ROW(data!$A$3:$A$16128)-ROW($A$3)+1),ROWS(C$4:C193))),"")</f>
        <v>-700</v>
      </c>
      <c r="D193" s="7" t="str">
        <f t="array" ref="D193">IF(ROWS(D$4:D193)&lt;=$B$2,INDEX(data!E$3:E$16128,SMALL(IF(data!$D$3:$D$16128='Люлин'!$B$1,ROW(data!$A$3:$A$16128)-ROW($A$3)+1),ROWS(D$4:D193))),"")</f>
        <v/>
      </c>
      <c r="E193" s="11"/>
      <c r="F193" s="11"/>
      <c r="G193" s="11"/>
      <c r="H193" s="14"/>
      <c r="I193" s="14"/>
      <c r="J193" s="14"/>
      <c r="K193" s="14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3">
        <f t="array" ref="A194">IF(ROWS(A$4:A194)&lt;=$B$2,INDEX(data!C$3:C$16128,SMALL(IF(data!$D$3:$D$16128='Люлин'!$B$1,ROW(data!$A$3:$A$16128)-ROW($A$3)+1),ROWS(A$4:A194))),"")</f>
        <v>46174</v>
      </c>
      <c r="B194" s="19" t="str">
        <f t="array" ref="B194">IF(ROWS(B$4:B194)&lt;=$B$2,INDEX(data!A$3:A$16128,SMALL(IF(data!$D$3:$D$16128='Люлин'!$B$1,ROW(data!$A$3:$A$16128)-ROW($A$3)+1),ROWS(B$4:B194))),"")</f>
        <v>MYPOS Бакалия</v>
      </c>
      <c r="C194" s="19">
        <f t="array" ref="C194">IF(ROWS(C$4:C194)&lt;=$B$2,INDEX(data!B$3:B$16128,SMALL(IF(data!$D$3:$D$16128='Люлин'!$B$1,ROW(data!$A$3:$A$16128)-ROW($A$3)+1),ROWS(C$4:C194))),"")</f>
        <v>-9239.42</v>
      </c>
      <c r="D194" s="7" t="str">
        <f t="array" ref="D194">IF(ROWS(D$4:D194)&lt;=$B$2,INDEX(data!E$3:E$16128,SMALL(IF(data!$D$3:$D$16128='Люлин'!$B$1,ROW(data!$A$3:$A$16128)-ROW($A$3)+1),ROWS(D$4:D194))),"")</f>
        <v/>
      </c>
      <c r="E194" s="11"/>
      <c r="F194" s="11"/>
      <c r="G194" s="11"/>
      <c r="H194" s="14"/>
      <c r="I194" s="14"/>
      <c r="J194" s="14"/>
      <c r="K194" s="14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3">
        <f t="array" ref="A195">IF(ROWS(A$4:A195)&lt;=$B$2,INDEX(data!C$3:C$16128,SMALL(IF(data!$D$3:$D$16128='Люлин'!$B$1,ROW(data!$A$3:$A$16128)-ROW($A$3)+1),ROWS(A$4:A195))),"")</f>
        <v>46174</v>
      </c>
      <c r="B195" s="19" t="str">
        <f t="array" ref="B195">IF(ROWS(B$4:B195)&lt;=$B$2,INDEX(data!A$3:A$16128,SMALL(IF(data!$D$3:$D$16128='Люлин'!$B$1,ROW(data!$A$3:$A$16128)-ROW($A$3)+1),ROWS(B$4:B195))),"")</f>
        <v>КАСОВА КНИГА</v>
      </c>
      <c r="C195" s="19">
        <f t="array" ref="C195">IF(ROWS(C$4:C195)&lt;=$B$2,INDEX(data!B$3:B$16128,SMALL(IF(data!$D$3:$D$16128='Люлин'!$B$1,ROW(data!$A$3:$A$16128)-ROW($A$3)+1),ROWS(C$4:C195))),"")</f>
        <v>-1500</v>
      </c>
      <c r="D195" s="7" t="str">
        <f t="array" ref="D195">IF(ROWS(D$4:D195)&lt;=$B$2,INDEX(data!E$3:E$16128,SMALL(IF(data!$D$3:$D$16128='Люлин'!$B$1,ROW(data!$A$3:$A$16128)-ROW($A$3)+1),ROWS(D$4:D195))),"")</f>
        <v/>
      </c>
      <c r="E195" s="11"/>
      <c r="F195" s="11"/>
      <c r="G195" s="11"/>
      <c r="H195" s="14"/>
      <c r="I195" s="14"/>
      <c r="J195" s="14"/>
      <c r="K195" s="14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3">
        <f t="array" ref="A196">IF(ROWS(A$4:A196)&lt;=$B$2,INDEX(data!C$3:C$16128,SMALL(IF(data!$D$3:$D$16128='Люлин'!$B$1,ROW(data!$A$3:$A$16128)-ROW($A$3)+1),ROWS(A$4:A196))),"")</f>
        <v>46175</v>
      </c>
      <c r="B196" s="19" t="str">
        <f t="array" ref="B196">IF(ROWS(B$4:B196)&lt;=$B$2,INDEX(data!A$3:A$16128,SMALL(IF(data!$D$3:$D$16128='Люлин'!$B$1,ROW(data!$A$3:$A$16128)-ROW($A$3)+1),ROWS(B$4:B196))),"")</f>
        <v>каса ФИКТИВНА</v>
      </c>
      <c r="C196" s="19">
        <f t="array" ref="C196">IF(ROWS(C$4:C196)&lt;=$B$2,INDEX(data!B$3:B$16128,SMALL(IF(data!$D$3:$D$16128='Люлин'!$B$1,ROW(data!$A$3:$A$16128)-ROW($A$3)+1),ROWS(C$4:C196))),"")</f>
        <v>-100</v>
      </c>
      <c r="D196" s="7" t="str">
        <f t="array" ref="D196">IF(ROWS(D$4:D196)&lt;=$B$2,INDEX(data!E$3:E$16128,SMALL(IF(data!$D$3:$D$16128='Люлин'!$B$1,ROW(data!$A$3:$A$16128)-ROW($A$3)+1),ROWS(D$4:D196))),"")</f>
        <v>Стаси от заплатата</v>
      </c>
      <c r="E196" s="11"/>
      <c r="F196" s="11"/>
      <c r="G196" s="11"/>
      <c r="H196" s="14"/>
      <c r="I196" s="14"/>
      <c r="J196" s="14"/>
      <c r="K196" s="14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3">
        <f t="array" ref="A197">IF(ROWS(A$4:A197)&lt;=$B$2,INDEX(data!C$3:C$16128,SMALL(IF(data!$D$3:$D$16128='Люлин'!$B$1,ROW(data!$A$3:$A$16128)-ROW($A$3)+1),ROWS(A$4:A197))),"")</f>
        <v>46176</v>
      </c>
      <c r="B197" s="19" t="str">
        <f t="array" ref="B197">IF(ROWS(B$4:B197)&lt;=$B$2,INDEX(data!A$3:A$16128,SMALL(IF(data!$D$3:$D$16128='Люлин'!$B$1,ROW(data!$A$3:$A$16128)-ROW($A$3)+1),ROWS(B$4:B197))),"")</f>
        <v>Каса ВАУЧЕРИ</v>
      </c>
      <c r="C197" s="19">
        <f t="array" ref="C197">IF(ROWS(C$4:C197)&lt;=$B$2,INDEX(data!B$3:B$16128,SMALL(IF(data!$D$3:$D$16128='Люлин'!$B$1,ROW(data!$A$3:$A$16128)-ROW($A$3)+1),ROWS(C$4:C197))),"")</f>
        <v>-87</v>
      </c>
      <c r="D197" s="7" t="str">
        <f t="array" ref="D197">IF(ROWS(D$4:D197)&lt;=$B$2,INDEX(data!E$3:E$16128,SMALL(IF(data!$D$3:$D$16128='Люлин'!$B$1,ROW(data!$A$3:$A$16128)-ROW($A$3)+1),ROWS(D$4:D197))),"")</f>
        <v>към 18.05</v>
      </c>
      <c r="E197" s="11"/>
      <c r="F197" s="11"/>
      <c r="G197" s="11"/>
      <c r="H197" s="14"/>
      <c r="I197" s="14"/>
      <c r="J197" s="14"/>
      <c r="K197" s="14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3">
        <f t="array" ref="A198">IF(ROWS(A$4:A198)&lt;=$B$2,INDEX(data!C$3:C$16128,SMALL(IF(data!$D$3:$D$16128='Люлин'!$B$1,ROW(data!$A$3:$A$16128)-ROW($A$3)+1),ROWS(A$4:A198))),"")</f>
        <v>46176</v>
      </c>
      <c r="B198" s="19" t="str">
        <f t="array" ref="B198">IF(ROWS(B$4:B198)&lt;=$B$2,INDEX(data!A$3:A$16128,SMALL(IF(data!$D$3:$D$16128='Люлин'!$B$1,ROW(data!$A$3:$A$16128)-ROW($A$3)+1),ROWS(B$4:B198))),"")</f>
        <v>Каса ВАУЧЕРИ</v>
      </c>
      <c r="C198" s="19">
        <f t="array" ref="C198">IF(ROWS(C$4:C198)&lt;=$B$2,INDEX(data!B$3:B$16128,SMALL(IF(data!$D$3:$D$16128='Люлин'!$B$1,ROW(data!$A$3:$A$16128)-ROW($A$3)+1),ROWS(C$4:C198))),"")</f>
        <v>-85.36</v>
      </c>
      <c r="D198" s="7" t="str">
        <f t="array" ref="D198">IF(ROWS(D$4:D198)&lt;=$B$2,INDEX(data!E$3:E$16128,SMALL(IF(data!$D$3:$D$16128='Люлин'!$B$1,ROW(data!$A$3:$A$16128)-ROW($A$3)+1),ROWS(D$4:D198))),"")</f>
        <v>към 25.05</v>
      </c>
      <c r="E198" s="11"/>
      <c r="F198" s="11"/>
      <c r="G198" s="11"/>
      <c r="H198" s="14"/>
      <c r="I198" s="14"/>
      <c r="J198" s="14"/>
      <c r="K198" s="14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3">
        <f t="array" ref="A199">IF(ROWS(A$4:A199)&lt;=$B$2,INDEX(data!C$3:C$16128,SMALL(IF(data!$D$3:$D$16128='Люлин'!$B$1,ROW(data!$A$3:$A$16128)-ROW($A$3)+1),ROWS(A$4:A199))),"")</f>
        <v>46176</v>
      </c>
      <c r="B199" s="19" t="str">
        <f t="array" ref="B199">IF(ROWS(B$4:B199)&lt;=$B$2,INDEX(data!A$3:A$16128,SMALL(IF(data!$D$3:$D$16128='Люлин'!$B$1,ROW(data!$A$3:$A$16128)-ROW($A$3)+1),ROWS(B$4:B199))),"")</f>
        <v>каса ФИКТИВНА</v>
      </c>
      <c r="C199" s="19">
        <f t="array" ref="C199">IF(ROWS(C$4:C199)&lt;=$B$2,INDEX(data!B$3:B$16128,SMALL(IF(data!$D$3:$D$16128='Люлин'!$B$1,ROW(data!$A$3:$A$16128)-ROW($A$3)+1),ROWS(C$4:C199))),"")</f>
        <v>-17</v>
      </c>
      <c r="D199" s="7" t="str">
        <f t="array" ref="D199">IF(ROWS(D$4:D199)&lt;=$B$2,INDEX(data!E$3:E$16128,SMALL(IF(data!$D$3:$D$16128='Люлин'!$B$1,ROW(data!$A$3:$A$16128)-ROW($A$3)+1),ROWS(D$4:D199))),"")</f>
        <v>пазар шефа</v>
      </c>
      <c r="E199" s="11"/>
      <c r="F199" s="11"/>
      <c r="G199" s="11"/>
      <c r="H199" s="14"/>
      <c r="I199" s="14"/>
      <c r="J199" s="14"/>
      <c r="K199" s="14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3">
        <f t="array" ref="A200">IF(ROWS(A$4:A200)&lt;=$B$2,INDEX(data!C$3:C$16128,SMALL(IF(data!$D$3:$D$16128='Люлин'!$B$1,ROW(data!$A$3:$A$16128)-ROW($A$3)+1),ROWS(A$4:A200))),"")</f>
        <v>46177</v>
      </c>
      <c r="B200" s="19" t="str">
        <f t="array" ref="B200">IF(ROWS(B$4:B200)&lt;=$B$2,INDEX(data!A$3:A$16128,SMALL(IF(data!$D$3:$D$16128='Люлин'!$B$1,ROW(data!$A$3:$A$16128)-ROW($A$3)+1),ROWS(B$4:B200))),"")</f>
        <v>каса ФИКТИВНА</v>
      </c>
      <c r="C200" s="19">
        <f t="array" ref="C200">IF(ROWS(C$4:C200)&lt;=$B$2,INDEX(data!B$3:B$16128,SMALL(IF(data!$D$3:$D$16128='Люлин'!$B$1,ROW(data!$A$3:$A$16128)-ROW($A$3)+1),ROWS(C$4:C200))),"")</f>
        <v>-44</v>
      </c>
      <c r="D200" s="7" t="str">
        <f t="array" ref="D200">IF(ROWS(D$4:D200)&lt;=$B$2,INDEX(data!E$3:E$16128,SMALL(IF(data!$D$3:$D$16128='Люлин'!$B$1,ROW(data!$A$3:$A$16128)-ROW($A$3)+1),ROWS(D$4:D200))),"")</f>
        <v>пазар шефа</v>
      </c>
      <c r="E200" s="11"/>
      <c r="F200" s="11"/>
      <c r="G200" s="11"/>
      <c r="H200" s="14"/>
      <c r="I200" s="14"/>
      <c r="J200" s="14"/>
      <c r="K200" s="14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3">
        <f t="array" ref="A201">IF(ROWS(A$4:A201)&lt;=$B$2,INDEX(data!C$3:C$16128,SMALL(IF(data!$D$3:$D$16128='Люлин'!$B$1,ROW(data!$A$3:$A$16128)-ROW($A$3)+1),ROWS(A$4:A201))),"")</f>
        <v>46178</v>
      </c>
      <c r="B201" s="19" t="str">
        <f t="array" ref="B201">IF(ROWS(B$4:B201)&lt;=$B$2,INDEX(data!A$3:A$16128,SMALL(IF(data!$D$3:$D$16128='Люлин'!$B$1,ROW(data!$A$3:$A$16128)-ROW($A$3)+1),ROWS(B$4:B201))),"")</f>
        <v>каса ФИКТИВНА</v>
      </c>
      <c r="C201" s="19">
        <f t="array" ref="C201">IF(ROWS(C$4:C201)&lt;=$B$2,INDEX(data!B$3:B$16128,SMALL(IF(data!$D$3:$D$16128='Люлин'!$B$1,ROW(data!$A$3:$A$16128)-ROW($A$3)+1),ROWS(C$4:C201))),"")</f>
        <v>-100</v>
      </c>
      <c r="D201" s="7" t="str">
        <f t="array" ref="D201">IF(ROWS(D$4:D201)&lt;=$B$2,INDEX(data!E$3:E$16128,SMALL(IF(data!$D$3:$D$16128='Люлин'!$B$1,ROW(data!$A$3:$A$16128)-ROW($A$3)+1),ROWS(D$4:D201))),"")</f>
        <v>Спартак от премиите</v>
      </c>
      <c r="E201" s="11"/>
      <c r="F201" s="11"/>
      <c r="G201" s="11"/>
      <c r="H201" s="14"/>
      <c r="I201" s="14"/>
      <c r="J201" s="14"/>
      <c r="K201" s="14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3">
        <f t="array" ref="A202">IF(ROWS(A$4:A202)&lt;=$B$2,INDEX(data!C$3:C$16128,SMALL(IF(data!$D$3:$D$16128='Люлин'!$B$1,ROW(data!$A$3:$A$16128)-ROW($A$3)+1),ROWS(A$4:A202))),"")</f>
        <v>46178</v>
      </c>
      <c r="B202" s="19" t="str">
        <f t="array" ref="B202">IF(ROWS(B$4:B202)&lt;=$B$2,INDEX(data!A$3:A$16128,SMALL(IF(data!$D$3:$D$16128='Люлин'!$B$1,ROW(data!$A$3:$A$16128)-ROW($A$3)+1),ROWS(B$4:B202))),"")</f>
        <v>каса ФИКТИВНА</v>
      </c>
      <c r="C202" s="19">
        <f t="array" ref="C202">IF(ROWS(C$4:C202)&lt;=$B$2,INDEX(data!B$3:B$16128,SMALL(IF(data!$D$3:$D$16128='Люлин'!$B$1,ROW(data!$A$3:$A$16128)-ROW($A$3)+1),ROWS(C$4:C202))),"")</f>
        <v>-234</v>
      </c>
      <c r="D202" s="7" t="str">
        <f t="array" ref="D202">IF(ROWS(D$4:D202)&lt;=$B$2,INDEX(data!E$3:E$16128,SMALL(IF(data!$D$3:$D$16128='Люлин'!$B$1,ROW(data!$A$3:$A$16128)-ROW($A$3)+1),ROWS(D$4:D202))),"")</f>
        <v>пазар шефа</v>
      </c>
      <c r="E202" s="11"/>
      <c r="F202" s="11"/>
      <c r="G202" s="11"/>
      <c r="H202" s="14"/>
      <c r="I202" s="14"/>
      <c r="J202" s="14"/>
      <c r="K202" s="14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3">
        <f t="array" ref="A203">IF(ROWS(A$4:A203)&lt;=$B$2,INDEX(data!C$3:C$16128,SMALL(IF(data!$D$3:$D$16128='Люлин'!$B$1,ROW(data!$A$3:$A$16128)-ROW($A$3)+1),ROWS(A$4:A203))),"")</f>
        <v>46181</v>
      </c>
      <c r="B203" s="19" t="str">
        <f t="array" ref="B203">IF(ROWS(B$4:B203)&lt;=$B$2,INDEX(data!A$3:A$16128,SMALL(IF(data!$D$3:$D$16128='Люлин'!$B$1,ROW(data!$A$3:$A$16128)-ROW($A$3)+1),ROWS(B$4:B203))),"")</f>
        <v>КАСОВА КНИГА</v>
      </c>
      <c r="C203" s="19">
        <f t="array" ref="C203">IF(ROWS(C$4:C203)&lt;=$B$2,INDEX(data!B$3:B$16128,SMALL(IF(data!$D$3:$D$16128='Люлин'!$B$1,ROW(data!$A$3:$A$16128)-ROW($A$3)+1),ROWS(C$4:C203))),"")</f>
        <v>-2500</v>
      </c>
      <c r="D203" s="7" t="str">
        <f t="array" ref="D203">IF(ROWS(D$4:D203)&lt;=$B$2,INDEX(data!E$3:E$16128,SMALL(IF(data!$D$3:$D$16128='Люлин'!$B$1,ROW(data!$A$3:$A$16128)-ROW($A$3)+1),ROWS(D$4:D203))),"")</f>
        <v/>
      </c>
      <c r="E203" s="11"/>
      <c r="F203" s="11"/>
      <c r="G203" s="11"/>
      <c r="H203" s="14"/>
      <c r="I203" s="14"/>
      <c r="J203" s="14"/>
      <c r="K203" s="14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3">
        <f t="array" ref="A204">IF(ROWS(A$4:A204)&lt;=$B$2,INDEX(data!C$3:C$16128,SMALL(IF(data!$D$3:$D$16128='Люлин'!$B$1,ROW(data!$A$3:$A$16128)-ROW($A$3)+1),ROWS(A$4:A204))),"")</f>
        <v>46182</v>
      </c>
      <c r="B204" s="19" t="str">
        <f t="array" ref="B204">IF(ROWS(B$4:B204)&lt;=$B$2,INDEX(data!A$3:A$16128,SMALL(IF(data!$D$3:$D$16128='Люлин'!$B$1,ROW(data!$A$3:$A$16128)-ROW($A$3)+1),ROWS(B$4:B204))),"")</f>
        <v>каса ФИКТИВНА</v>
      </c>
      <c r="C204" s="19">
        <f t="array" ref="C204">IF(ROWS(C$4:C204)&lt;=$B$2,INDEX(data!B$3:B$16128,SMALL(IF(data!$D$3:$D$16128='Люлин'!$B$1,ROW(data!$A$3:$A$16128)-ROW($A$3)+1),ROWS(C$4:C204))),"")</f>
        <v>-547.73</v>
      </c>
      <c r="D204" s="7" t="str">
        <f t="array" ref="D204">IF(ROWS(D$4:D204)&lt;=$B$2,INDEX(data!E$3:E$16128,SMALL(IF(data!$D$3:$D$16128='Люлин'!$B$1,ROW(data!$A$3:$A$16128)-ROW($A$3)+1),ROWS(D$4:D204))),"")</f>
        <v>пазар ТБ</v>
      </c>
      <c r="E204" s="11"/>
      <c r="F204" s="11"/>
      <c r="G204" s="11"/>
      <c r="H204" s="14"/>
      <c r="I204" s="14"/>
      <c r="J204" s="14"/>
      <c r="K204" s="14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3">
        <f t="array" ref="A205">IF(ROWS(A$4:A205)&lt;=$B$2,INDEX(data!C$3:C$16128,SMALL(IF(data!$D$3:$D$16128='Люлин'!$B$1,ROW(data!$A$3:$A$16128)-ROW($A$3)+1),ROWS(A$4:A205))),"")</f>
        <v>46182</v>
      </c>
      <c r="B205" s="19" t="str">
        <f t="array" ref="B205">IF(ROWS(B$4:B205)&lt;=$B$2,INDEX(data!A$3:A$16128,SMALL(IF(data!$D$3:$D$16128='Люлин'!$B$1,ROW(data!$A$3:$A$16128)-ROW($A$3)+1),ROWS(B$4:B205))),"")</f>
        <v>каса ФИКТИВНА</v>
      </c>
      <c r="C205" s="19">
        <f t="array" ref="C205">IF(ROWS(C$4:C205)&lt;=$B$2,INDEX(data!B$3:B$16128,SMALL(IF(data!$D$3:$D$16128='Люлин'!$B$1,ROW(data!$A$3:$A$16128)-ROW($A$3)+1),ROWS(C$4:C205))),"")</f>
        <v>-7.5</v>
      </c>
      <c r="D205" s="7" t="str">
        <f t="array" ref="D205">IF(ROWS(D$4:D205)&lt;=$B$2,INDEX(data!E$3:E$16128,SMALL(IF(data!$D$3:$D$16128='Люлин'!$B$1,ROW(data!$A$3:$A$16128)-ROW($A$3)+1),ROWS(D$4:D205))),"")</f>
        <v>пазар шефа</v>
      </c>
      <c r="E205" s="11"/>
      <c r="F205" s="11"/>
      <c r="G205" s="11"/>
      <c r="H205" s="14"/>
      <c r="I205" s="14"/>
      <c r="J205" s="14"/>
      <c r="K205" s="14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3">
        <f t="array" ref="A206">IF(ROWS(A$4:A206)&lt;=$B$2,INDEX(data!C$3:C$16128,SMALL(IF(data!$D$3:$D$16128='Люлин'!$B$1,ROW(data!$A$3:$A$16128)-ROW($A$3)+1),ROWS(A$4:A206))),"")</f>
        <v>46182</v>
      </c>
      <c r="B206" s="19" t="str">
        <f t="array" ref="B206">IF(ROWS(B$4:B206)&lt;=$B$2,INDEX(data!A$3:A$16128,SMALL(IF(data!$D$3:$D$16128='Люлин'!$B$1,ROW(data!$A$3:$A$16128)-ROW($A$3)+1),ROWS(B$4:B206))),"")</f>
        <v>MYPOS Бакалия</v>
      </c>
      <c r="C206" s="19">
        <f t="array" ref="C206">IF(ROWS(C$4:C206)&lt;=$B$2,INDEX(data!B$3:B$16128,SMALL(IF(data!$D$3:$D$16128='Люлин'!$B$1,ROW(data!$A$3:$A$16128)-ROW($A$3)+1),ROWS(C$4:C206))),"")</f>
        <v>-9388.3</v>
      </c>
      <c r="D206" s="7" t="str">
        <f t="array" ref="D206">IF(ROWS(D$4:D206)&lt;=$B$2,INDEX(data!E$3:E$16128,SMALL(IF(data!$D$3:$D$16128='Люлин'!$B$1,ROW(data!$A$3:$A$16128)-ROW($A$3)+1),ROWS(D$4:D206))),"")</f>
        <v/>
      </c>
      <c r="E206" s="11"/>
      <c r="F206" s="11"/>
      <c r="G206" s="11"/>
      <c r="H206" s="14"/>
      <c r="I206" s="14"/>
      <c r="J206" s="14"/>
      <c r="K206" s="14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3">
        <f t="array" ref="A207">IF(ROWS(A$4:A207)&lt;=$B$2,INDEX(data!C$3:C$16128,SMALL(IF(data!$D$3:$D$16128='Люлин'!$B$1,ROW(data!$A$3:$A$16128)-ROW($A$3)+1),ROWS(A$4:A207))),"")</f>
        <v>46183</v>
      </c>
      <c r="B207" s="19" t="str">
        <f t="array" ref="B207">IF(ROWS(B$4:B207)&lt;=$B$2,INDEX(data!A$3:A$16128,SMALL(IF(data!$D$3:$D$16128='Люлин'!$B$1,ROW(data!$A$3:$A$16128)-ROW($A$3)+1),ROWS(B$4:B207))),"")</f>
        <v>каса ФИКТИВНА</v>
      </c>
      <c r="C207" s="19">
        <f t="array" ref="C207">IF(ROWS(C$4:C207)&lt;=$B$2,INDEX(data!B$3:B$16128,SMALL(IF(data!$D$3:$D$16128='Люлин'!$B$1,ROW(data!$A$3:$A$16128)-ROW($A$3)+1),ROWS(C$4:C207))),"")</f>
        <v>-28</v>
      </c>
      <c r="D207" s="7" t="str">
        <f t="array" ref="D207">IF(ROWS(D$4:D207)&lt;=$B$2,INDEX(data!E$3:E$16128,SMALL(IF(data!$D$3:$D$16128='Люлин'!$B$1,ROW(data!$A$3:$A$16128)-ROW($A$3)+1),ROWS(D$4:D207))),"")</f>
        <v>галони шефката</v>
      </c>
      <c r="E207" s="11"/>
      <c r="F207" s="11"/>
      <c r="G207" s="11"/>
      <c r="H207" s="14"/>
      <c r="I207" s="14"/>
      <c r="J207" s="14"/>
      <c r="K207" s="14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3">
        <f t="array" ref="A208">IF(ROWS(A$4:A208)&lt;=$B$2,INDEX(data!C$3:C$16128,SMALL(IF(data!$D$3:$D$16128='Люлин'!$B$1,ROW(data!$A$3:$A$16128)-ROW($A$3)+1),ROWS(A$4:A208))),"")</f>
        <v>46183</v>
      </c>
      <c r="B208" s="19" t="str">
        <f t="array" ref="B208">IF(ROWS(B$4:B208)&lt;=$B$2,INDEX(data!A$3:A$16128,SMALL(IF(data!$D$3:$D$16128='Люлин'!$B$1,ROW(data!$A$3:$A$16128)-ROW($A$3)+1),ROWS(B$4:B208))),"")</f>
        <v>каса ФИКТИВНА</v>
      </c>
      <c r="C208" s="19">
        <f t="array" ref="C208">IF(ROWS(C$4:C208)&lt;=$B$2,INDEX(data!B$3:B$16128,SMALL(IF(data!$D$3:$D$16128='Люлин'!$B$1,ROW(data!$A$3:$A$16128)-ROW($A$3)+1),ROWS(C$4:C208))),"")</f>
        <v>-26.5</v>
      </c>
      <c r="D208" s="7" t="str">
        <f t="array" ref="D208">IF(ROWS(D$4:D208)&lt;=$B$2,INDEX(data!E$3:E$16128,SMALL(IF(data!$D$3:$D$16128='Люлин'!$B$1,ROW(data!$A$3:$A$16128)-ROW($A$3)+1),ROWS(D$4:D208))),"")</f>
        <v>пазар шефа</v>
      </c>
      <c r="E208" s="11"/>
      <c r="F208" s="11"/>
      <c r="G208" s="11"/>
      <c r="H208" s="14"/>
      <c r="I208" s="14"/>
      <c r="J208" s="14"/>
      <c r="K208" s="14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3">
        <f t="array" ref="A209">IF(ROWS(A$4:A209)&lt;=$B$2,INDEX(data!C$3:C$16128,SMALL(IF(data!$D$3:$D$16128='Люлин'!$B$1,ROW(data!$A$3:$A$16128)-ROW($A$3)+1),ROWS(A$4:A209))),"")</f>
        <v>46185</v>
      </c>
      <c r="B209" s="19" t="str">
        <f t="array" ref="B209">IF(ROWS(B$4:B209)&lt;=$B$2,INDEX(data!A$3:A$16128,SMALL(IF(data!$D$3:$D$16128='Люлин'!$B$1,ROW(data!$A$3:$A$16128)-ROW($A$3)+1),ROWS(B$4:B209))),"")</f>
        <v>каса ФИКТИВНА</v>
      </c>
      <c r="C209" s="19">
        <f t="array" ref="C209">IF(ROWS(C$4:C209)&lt;=$B$2,INDEX(data!B$3:B$16128,SMALL(IF(data!$D$3:$D$16128='Люлин'!$B$1,ROW(data!$A$3:$A$16128)-ROW($A$3)+1),ROWS(C$4:C209))),"")</f>
        <v>-159</v>
      </c>
      <c r="D209" s="7" t="str">
        <f t="array" ref="D209">IF(ROWS(D$4:D209)&lt;=$B$2,INDEX(data!E$3:E$16128,SMALL(IF(data!$D$3:$D$16128='Люлин'!$B$1,ROW(data!$A$3:$A$16128)-ROW($A$3)+1),ROWS(D$4:D209))),"")</f>
        <v>пазар шефа</v>
      </c>
      <c r="E209" s="11"/>
      <c r="F209" s="11"/>
      <c r="G209" s="11"/>
      <c r="H209" s="14"/>
      <c r="I209" s="14"/>
      <c r="J209" s="14"/>
      <c r="K209" s="14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3">
        <f t="array" ref="A210">IF(ROWS(A$4:A210)&lt;=$B$2,INDEX(data!C$3:C$16128,SMALL(IF(data!$D$3:$D$16128='Люлин'!$B$1,ROW(data!$A$3:$A$16128)-ROW($A$3)+1),ROWS(A$4:A210))),"")</f>
        <v>46188</v>
      </c>
      <c r="B210" s="19" t="str">
        <f t="array" ref="B210">IF(ROWS(B$4:B210)&lt;=$B$2,INDEX(data!A$3:A$16128,SMALL(IF(data!$D$3:$D$16128='Люлин'!$B$1,ROW(data!$A$3:$A$16128)-ROW($A$3)+1),ROWS(B$4:B210))),"")</f>
        <v>MYPOS Бакалия</v>
      </c>
      <c r="C210" s="19">
        <f t="array" ref="C210">IF(ROWS(C$4:C210)&lt;=$B$2,INDEX(data!B$3:B$16128,SMALL(IF(data!$D$3:$D$16128='Люлин'!$B$1,ROW(data!$A$3:$A$16128)-ROW($A$3)+1),ROWS(C$4:C210))),"")</f>
        <v>-10015.53</v>
      </c>
      <c r="D210" s="7" t="str">
        <f t="array" ref="D210">IF(ROWS(D$4:D210)&lt;=$B$2,INDEX(data!E$3:E$16128,SMALL(IF(data!$D$3:$D$16128='Люлин'!$B$1,ROW(data!$A$3:$A$16128)-ROW($A$3)+1),ROWS(D$4:D210))),"")</f>
        <v/>
      </c>
      <c r="E210" s="11"/>
      <c r="F210" s="11"/>
      <c r="G210" s="11"/>
      <c r="H210" s="14"/>
      <c r="I210" s="14"/>
      <c r="J210" s="14"/>
      <c r="K210" s="14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3">
        <f t="array" ref="A211">IF(ROWS(A$4:A211)&lt;=$B$2,INDEX(data!C$3:C$16128,SMALL(IF(data!$D$3:$D$16128='Люлин'!$B$1,ROW(data!$A$3:$A$16128)-ROW($A$3)+1),ROWS(A$4:A211))),"")</f>
        <v>46188</v>
      </c>
      <c r="B211" s="19" t="str">
        <f t="array" ref="B211">IF(ROWS(B$4:B211)&lt;=$B$2,INDEX(data!A$3:A$16128,SMALL(IF(data!$D$3:$D$16128='Люлин'!$B$1,ROW(data!$A$3:$A$16128)-ROW($A$3)+1),ROWS(B$4:B211))),"")</f>
        <v>КАСОВА КНИГА</v>
      </c>
      <c r="C211" s="19">
        <f t="array" ref="C211">IF(ROWS(C$4:C211)&lt;=$B$2,INDEX(data!B$3:B$16128,SMALL(IF(data!$D$3:$D$16128='Люлин'!$B$1,ROW(data!$A$3:$A$16128)-ROW($A$3)+1),ROWS(C$4:C211))),"")</f>
        <v>-1500</v>
      </c>
      <c r="D211" s="7" t="str">
        <f t="array" ref="D211">IF(ROWS(D$4:D211)&lt;=$B$2,INDEX(data!E$3:E$16128,SMALL(IF(data!$D$3:$D$16128='Люлин'!$B$1,ROW(data!$A$3:$A$16128)-ROW($A$3)+1),ROWS(D$4:D211))),"")</f>
        <v/>
      </c>
      <c r="E211" s="11"/>
      <c r="F211" s="11"/>
      <c r="G211" s="11"/>
      <c r="H211" s="14"/>
      <c r="I211" s="14"/>
      <c r="J211" s="14"/>
      <c r="K211" s="14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3">
        <f t="array" ref="A212">IF(ROWS(A$4:A212)&lt;=$B$2,INDEX(data!C$3:C$16128,SMALL(IF(data!$D$3:$D$16128='Люлин'!$B$1,ROW(data!$A$3:$A$16128)-ROW($A$3)+1),ROWS(A$4:A212))),"")</f>
        <v>46188</v>
      </c>
      <c r="B212" s="19" t="str">
        <f t="array" ref="B212">IF(ROWS(B$4:B212)&lt;=$B$2,INDEX(data!A$3:A$16128,SMALL(IF(data!$D$3:$D$16128='Люлин'!$B$1,ROW(data!$A$3:$A$16128)-ROW($A$3)+1),ROWS(B$4:B212))),"")</f>
        <v>КАСОВА КНИГА</v>
      </c>
      <c r="C212" s="19">
        <f t="array" ref="C212">IF(ROWS(C$4:C212)&lt;=$B$2,INDEX(data!B$3:B$16128,SMALL(IF(data!$D$3:$D$16128='Люлин'!$B$1,ROW(data!$A$3:$A$16128)-ROW($A$3)+1),ROWS(C$4:C212))),"")</f>
        <v>-2000</v>
      </c>
      <c r="D212" s="7" t="str">
        <f t="array" ref="D212">IF(ROWS(D$4:D212)&lt;=$B$2,INDEX(data!E$3:E$16128,SMALL(IF(data!$D$3:$D$16128='Люлин'!$B$1,ROW(data!$A$3:$A$16128)-ROW($A$3)+1),ROWS(D$4:D212))),"")</f>
        <v>2000 от 13.06</v>
      </c>
      <c r="E212" s="11"/>
      <c r="F212" s="11"/>
      <c r="G212" s="11"/>
      <c r="H212" s="14"/>
      <c r="I212" s="14"/>
      <c r="J212" s="14"/>
      <c r="K212" s="14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3">
        <f t="array" ref="A213">IF(ROWS(A$4:A213)&lt;=$B$2,INDEX(data!C$3:C$16128,SMALL(IF(data!$D$3:$D$16128='Люлин'!$B$1,ROW(data!$A$3:$A$16128)-ROW($A$3)+1),ROWS(A$4:A213))),"")</f>
        <v>46188</v>
      </c>
      <c r="B213" s="19" t="str">
        <f t="array" ref="B213">IF(ROWS(B$4:B213)&lt;=$B$2,INDEX(data!A$3:A$16128,SMALL(IF(data!$D$3:$D$16128='Люлин'!$B$1,ROW(data!$A$3:$A$16128)-ROW($A$3)+1),ROWS(B$4:B213))),"")</f>
        <v>каса ФИКТИВНА</v>
      </c>
      <c r="C213" s="19">
        <f t="array" ref="C213">IF(ROWS(C$4:C213)&lt;=$B$2,INDEX(data!B$3:B$16128,SMALL(IF(data!$D$3:$D$16128='Люлин'!$B$1,ROW(data!$A$3:$A$16128)-ROW($A$3)+1),ROWS(C$4:C213))),"")</f>
        <v>-25.5</v>
      </c>
      <c r="D213" s="7" t="str">
        <f t="array" ref="D213">IF(ROWS(D$4:D213)&lt;=$B$2,INDEX(data!E$3:E$16128,SMALL(IF(data!$D$3:$D$16128='Люлин'!$B$1,ROW(data!$A$3:$A$16128)-ROW($A$3)+1),ROWS(D$4:D213))),"")</f>
        <v>пазар шефа</v>
      </c>
      <c r="E213" s="11"/>
      <c r="F213" s="11"/>
      <c r="G213" s="11"/>
      <c r="H213" s="14"/>
      <c r="I213" s="14"/>
      <c r="J213" s="14"/>
      <c r="K213" s="14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3">
        <f t="array" ref="A214">IF(ROWS(A$4:A214)&lt;=$B$2,INDEX(data!C$3:C$16128,SMALL(IF(data!$D$3:$D$16128='Люлин'!$B$1,ROW(data!$A$3:$A$16128)-ROW($A$3)+1),ROWS(A$4:A214))),"")</f>
        <v>46188</v>
      </c>
      <c r="B214" s="19" t="str">
        <f t="array" ref="B214">IF(ROWS(B$4:B214)&lt;=$B$2,INDEX(data!A$3:A$16128,SMALL(IF(data!$D$3:$D$16128='Люлин'!$B$1,ROW(data!$A$3:$A$16128)-ROW($A$3)+1),ROWS(B$4:B214))),"")</f>
        <v>каса ФИКТИВНА</v>
      </c>
      <c r="C214" s="19">
        <f t="array" ref="C214">IF(ROWS(C$4:C214)&lt;=$B$2,INDEX(data!B$3:B$16128,SMALL(IF(data!$D$3:$D$16128='Люлин'!$B$1,ROW(data!$A$3:$A$16128)-ROW($A$3)+1),ROWS(C$4:C214))),"")</f>
        <v>-59</v>
      </c>
      <c r="D214" s="7" t="str">
        <f t="array" ref="D214">IF(ROWS(D$4:D214)&lt;=$B$2,INDEX(data!E$3:E$16128,SMALL(IF(data!$D$3:$D$16128='Люлин'!$B$1,ROW(data!$A$3:$A$16128)-ROW($A$3)+1),ROWS(D$4:D214))),"")</f>
        <v>пазар шефа 19.06</v>
      </c>
      <c r="E214" s="11"/>
      <c r="F214" s="11"/>
      <c r="G214" s="11"/>
      <c r="H214" s="14"/>
      <c r="I214" s="14"/>
      <c r="J214" s="14"/>
      <c r="K214" s="14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3">
        <f t="array" ref="A215">IF(ROWS(A$4:A215)&lt;=$B$2,INDEX(data!C$3:C$16128,SMALL(IF(data!$D$3:$D$16128='Люлин'!$B$1,ROW(data!$A$3:$A$16128)-ROW($A$3)+1),ROWS(A$4:A215))),"")</f>
        <v>46188</v>
      </c>
      <c r="B215" s="19" t="str">
        <f t="array" ref="B215">IF(ROWS(B$4:B215)&lt;=$B$2,INDEX(data!A$3:A$16128,SMALL(IF(data!$D$3:$D$16128='Люлин'!$B$1,ROW(data!$A$3:$A$16128)-ROW($A$3)+1),ROWS(B$4:B215))),"")</f>
        <v>ЗАЕМ</v>
      </c>
      <c r="C215" s="19">
        <f t="array" ref="C215">IF(ROWS(C$4:C215)&lt;=$B$2,INDEX(data!B$3:B$16128,SMALL(IF(data!$D$3:$D$16128='Люлин'!$B$1,ROW(data!$A$3:$A$16128)-ROW($A$3)+1),ROWS(C$4:C215))),"")</f>
        <v>66907.64</v>
      </c>
      <c r="D215" s="7" t="str">
        <f t="array" ref="D215">IF(ROWS(D$4:D215)&lt;=$B$2,INDEX(data!E$3:E$16128,SMALL(IF(data!$D$3:$D$16128='Люлин'!$B$1,ROW(data!$A$3:$A$16128)-ROW($A$3)+1),ROWS(D$4:D215))),"")</f>
        <v>Салдо склад + вътр. п-не</v>
      </c>
      <c r="E215" s="11"/>
      <c r="F215" s="11"/>
      <c r="G215" s="11"/>
      <c r="H215" s="14"/>
      <c r="I215" s="14"/>
      <c r="J215" s="14"/>
      <c r="K215" s="14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3">
        <f t="array" ref="A216">IF(ROWS(A$4:A216)&lt;=$B$2,INDEX(data!C$3:C$16128,SMALL(IF(data!$D$3:$D$16128='Люлин'!$B$1,ROW(data!$A$3:$A$16128)-ROW($A$3)+1),ROWS(A$4:A216))),"")</f>
        <v>46189</v>
      </c>
      <c r="B216" s="19" t="str">
        <f t="array" ref="B216">IF(ROWS(B$4:B216)&lt;=$B$2,INDEX(data!A$3:A$16128,SMALL(IF(data!$D$3:$D$16128='Люлин'!$B$1,ROW(data!$A$3:$A$16128)-ROW($A$3)+1),ROWS(B$4:B216))),"")</f>
        <v>каса ФИКТИВНА</v>
      </c>
      <c r="C216" s="19">
        <f t="array" ref="C216">IF(ROWS(C$4:C216)&lt;=$B$2,INDEX(data!B$3:B$16128,SMALL(IF(data!$D$3:$D$16128='Люлин'!$B$1,ROW(data!$A$3:$A$16128)-ROW($A$3)+1),ROWS(C$4:C216))),"")</f>
        <v>-68.5</v>
      </c>
      <c r="D216" s="7" t="str">
        <f t="array" ref="D216">IF(ROWS(D$4:D216)&lt;=$B$2,INDEX(data!E$3:E$16128,SMALL(IF(data!$D$3:$D$16128='Люлин'!$B$1,ROW(data!$A$3:$A$16128)-ROW($A$3)+1),ROWS(D$4:D216))),"")</f>
        <v>пазар шефа</v>
      </c>
      <c r="E216" s="11"/>
      <c r="F216" s="11"/>
      <c r="G216" s="11"/>
      <c r="H216" s="14"/>
      <c r="I216" s="14"/>
      <c r="J216" s="14"/>
      <c r="K216" s="14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3">
        <f t="array" ref="A217">IF(ROWS(A$4:A217)&lt;=$B$2,INDEX(data!C$3:C$16128,SMALL(IF(data!$D$3:$D$16128='Люлин'!$B$1,ROW(data!$A$3:$A$16128)-ROW($A$3)+1),ROWS(A$4:A217))),"")</f>
        <v>46189</v>
      </c>
      <c r="B217" s="19" t="str">
        <f t="array" ref="B217">IF(ROWS(B$4:B217)&lt;=$B$2,INDEX(data!A$3:A$16128,SMALL(IF(data!$D$3:$D$16128='Люлин'!$B$1,ROW(data!$A$3:$A$16128)-ROW($A$3)+1),ROWS(B$4:B217))),"")</f>
        <v>КАСОВА КНИГА</v>
      </c>
      <c r="C217" s="19">
        <f t="array" ref="C217">IF(ROWS(C$4:C217)&lt;=$B$2,INDEX(data!B$3:B$16128,SMALL(IF(data!$D$3:$D$16128='Люлин'!$B$1,ROW(data!$A$3:$A$16128)-ROW($A$3)+1),ROWS(C$4:C217))),"")</f>
        <v>-1000</v>
      </c>
      <c r="D217" s="7" t="str">
        <f t="array" ref="D217">IF(ROWS(D$4:D217)&lt;=$B$2,INDEX(data!E$3:E$16128,SMALL(IF(data!$D$3:$D$16128='Люлин'!$B$1,ROW(data!$A$3:$A$16128)-ROW($A$3)+1),ROWS(D$4:D217))),"")</f>
        <v/>
      </c>
      <c r="E217" s="11"/>
      <c r="F217" s="11"/>
      <c r="G217" s="11"/>
      <c r="H217" s="14"/>
      <c r="I217" s="14"/>
      <c r="J217" s="14"/>
      <c r="K217" s="14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3">
        <f t="array" ref="A218">IF(ROWS(A$4:A218)&lt;=$B$2,INDEX(data!C$3:C$16128,SMALL(IF(data!$D$3:$D$16128='Люлин'!$B$1,ROW(data!$A$3:$A$16128)-ROW($A$3)+1),ROWS(A$4:A218))),"")</f>
        <v>46190</v>
      </c>
      <c r="B218" s="19" t="str">
        <f t="array" ref="B218">IF(ROWS(B$4:B218)&lt;=$B$2,INDEX(data!A$3:A$16128,SMALL(IF(data!$D$3:$D$16128='Люлин'!$B$1,ROW(data!$A$3:$A$16128)-ROW($A$3)+1),ROWS(B$4:B218))),"")</f>
        <v>Каса ВАУЧЕРИ</v>
      </c>
      <c r="C218" s="19">
        <f t="array" ref="C218">IF(ROWS(C$4:C218)&lt;=$B$2,INDEX(data!B$3:B$16128,SMALL(IF(data!$D$3:$D$16128='Люлин'!$B$1,ROW(data!$A$3:$A$16128)-ROW($A$3)+1),ROWS(C$4:C218))),"")</f>
        <v>-40</v>
      </c>
      <c r="D218" s="7" t="str">
        <f t="array" ref="D218">IF(ROWS(D$4:D218)&lt;=$B$2,INDEX(data!E$3:E$16128,SMALL(IF(data!$D$3:$D$16128='Люлин'!$B$1,ROW(data!$A$3:$A$16128)-ROW($A$3)+1),ROWS(D$4:D218))),"")</f>
        <v>за 01-07.06</v>
      </c>
      <c r="E218" s="11"/>
      <c r="F218" s="11"/>
      <c r="G218" s="11"/>
      <c r="H218" s="14"/>
      <c r="I218" s="14"/>
      <c r="J218" s="14"/>
      <c r="K218" s="14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3">
        <f t="array" ref="A219">IF(ROWS(A$4:A219)&lt;=$B$2,INDEX(data!C$3:C$16128,SMALL(IF(data!$D$3:$D$16128='Люлин'!$B$1,ROW(data!$A$3:$A$16128)-ROW($A$3)+1),ROWS(A$4:A219))),"")</f>
        <v>46190</v>
      </c>
      <c r="B219" s="19" t="str">
        <f t="array" ref="B219">IF(ROWS(B$4:B219)&lt;=$B$2,INDEX(data!A$3:A$16128,SMALL(IF(data!$D$3:$D$16128='Люлин'!$B$1,ROW(data!$A$3:$A$16128)-ROW($A$3)+1),ROWS(B$4:B219))),"")</f>
        <v>Каса ВАУЧЕРИ</v>
      </c>
      <c r="C219" s="19">
        <f t="array" ref="C219">IF(ROWS(C$4:C219)&lt;=$B$2,INDEX(data!B$3:B$16128,SMALL(IF(data!$D$3:$D$16128='Люлин'!$B$1,ROW(data!$A$3:$A$16128)-ROW($A$3)+1),ROWS(C$4:C219))),"")</f>
        <v>-93</v>
      </c>
      <c r="D219" s="7" t="str">
        <f t="array" ref="D219">IF(ROWS(D$4:D219)&lt;=$B$2,INDEX(data!E$3:E$16128,SMALL(IF(data!$D$3:$D$16128='Люлин'!$B$1,ROW(data!$A$3:$A$16128)-ROW($A$3)+1),ROWS(D$4:D219))),"")</f>
        <v>за 25-31.05</v>
      </c>
      <c r="E219" s="11"/>
      <c r="F219" s="11"/>
      <c r="G219" s="11"/>
      <c r="H219" s="14"/>
      <c r="I219" s="14"/>
      <c r="J219" s="14"/>
      <c r="K219" s="14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3">
        <f t="array" ref="A220">IF(ROWS(A$4:A220)&lt;=$B$2,INDEX(data!C$3:C$16128,SMALL(IF(data!$D$3:$D$16128='Люлин'!$B$1,ROW(data!$A$3:$A$16128)-ROW($A$3)+1),ROWS(A$4:A220))),"")</f>
        <v>46190</v>
      </c>
      <c r="B220" s="19" t="str">
        <f t="array" ref="B220">IF(ROWS(B$4:B220)&lt;=$B$2,INDEX(data!A$3:A$16128,SMALL(IF(data!$D$3:$D$16128='Люлин'!$B$1,ROW(data!$A$3:$A$16128)-ROW($A$3)+1),ROWS(B$4:B220))),"")</f>
        <v>каса ФИКТИВНА</v>
      </c>
      <c r="C220" s="19">
        <f t="array" ref="C220">IF(ROWS(C$4:C220)&lt;=$B$2,INDEX(data!B$3:B$16128,SMALL(IF(data!$D$3:$D$16128='Люлин'!$B$1,ROW(data!$A$3:$A$16128)-ROW($A$3)+1),ROWS(C$4:C220))),"")</f>
        <v>-48.5</v>
      </c>
      <c r="D220" s="7" t="str">
        <f t="array" ref="D220">IF(ROWS(D$4:D220)&lt;=$B$2,INDEX(data!E$3:E$16128,SMALL(IF(data!$D$3:$D$16128='Люлин'!$B$1,ROW(data!$A$3:$A$16128)-ROW($A$3)+1),ROWS(D$4:D220))),"")</f>
        <v>пазар шефа</v>
      </c>
      <c r="E220" s="11"/>
      <c r="F220" s="11"/>
      <c r="G220" s="11"/>
      <c r="H220" s="14"/>
      <c r="I220" s="14"/>
      <c r="J220" s="14"/>
      <c r="K220" s="14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3">
        <f t="array" ref="A221">IF(ROWS(A$4:A221)&lt;=$B$2,INDEX(data!C$3:C$16128,SMALL(IF(data!$D$3:$D$16128='Люлин'!$B$1,ROW(data!$A$3:$A$16128)-ROW($A$3)+1),ROWS(A$4:A221))),"")</f>
        <v>46191</v>
      </c>
      <c r="B221" s="19" t="str">
        <f t="array" ref="B221">IF(ROWS(B$4:B221)&lt;=$B$2,INDEX(data!A$3:A$16128,SMALL(IF(data!$D$3:$D$16128='Люлин'!$B$1,ROW(data!$A$3:$A$16128)-ROW($A$3)+1),ROWS(B$4:B221))),"")</f>
        <v>каса ФИКТИВНА</v>
      </c>
      <c r="C221" s="19">
        <f t="array" ref="C221">IF(ROWS(C$4:C221)&lt;=$B$2,INDEX(data!B$3:B$16128,SMALL(IF(data!$D$3:$D$16128='Люлин'!$B$1,ROW(data!$A$3:$A$16128)-ROW($A$3)+1),ROWS(C$4:C221))),"")</f>
        <v>-19</v>
      </c>
      <c r="D221" s="7" t="str">
        <f t="array" ref="D221">IF(ROWS(D$4:D221)&lt;=$B$2,INDEX(data!E$3:E$16128,SMALL(IF(data!$D$3:$D$16128='Люлин'!$B$1,ROW(data!$A$3:$A$16128)-ROW($A$3)+1),ROWS(D$4:D221))),"")</f>
        <v>пазар шефа</v>
      </c>
      <c r="E221" s="11"/>
      <c r="F221" s="11"/>
      <c r="G221" s="11"/>
      <c r="H221" s="14"/>
      <c r="I221" s="14"/>
      <c r="J221" s="14"/>
      <c r="K221" s="14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3">
        <f t="array" ref="A222">IF(ROWS(A$4:A222)&lt;=$B$2,INDEX(data!C$3:C$16128,SMALL(IF(data!$D$3:$D$16128='Люлин'!$B$1,ROW(data!$A$3:$A$16128)-ROW($A$3)+1),ROWS(A$4:A222))),"")</f>
        <v>46192</v>
      </c>
      <c r="B222" s="19" t="str">
        <f t="array" ref="B222">IF(ROWS(B$4:B222)&lt;=$B$2,INDEX(data!A$3:A$16128,SMALL(IF(data!$D$3:$D$16128='Люлин'!$B$1,ROW(data!$A$3:$A$16128)-ROW($A$3)+1),ROWS(B$4:B222))),"")</f>
        <v>Каса ВАУЧЕРИ</v>
      </c>
      <c r="C222" s="19">
        <f t="array" ref="C222">IF(ROWS(C$4:C222)&lt;=$B$2,INDEX(data!B$3:B$16128,SMALL(IF(data!$D$3:$D$16128='Люлин'!$B$1,ROW(data!$A$3:$A$16128)-ROW($A$3)+1),ROWS(C$4:C222))),"")</f>
        <v>600</v>
      </c>
      <c r="D222" s="7" t="str">
        <f t="array" ref="D222">IF(ROWS(D$4:D222)&lt;=$B$2,INDEX(data!E$3:E$16128,SMALL(IF(data!$D$3:$D$16128='Люлин'!$B$1,ROW(data!$A$3:$A$16128)-ROW($A$3)+1),ROWS(D$4:D222))),"")</f>
        <v>ваучери персонал</v>
      </c>
      <c r="E222" s="11"/>
      <c r="F222" s="11"/>
      <c r="G222" s="11"/>
      <c r="H222" s="14"/>
      <c r="I222" s="14"/>
      <c r="J222" s="14"/>
      <c r="K222" s="14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3">
        <f t="array" ref="A223">IF(ROWS(A$4:A223)&lt;=$B$2,INDEX(data!C$3:C$16128,SMALL(IF(data!$D$3:$D$16128='Люлин'!$B$1,ROW(data!$A$3:$A$16128)-ROW($A$3)+1),ROWS(A$4:A223))),"")</f>
        <v>46192</v>
      </c>
      <c r="B223" s="19" t="str">
        <f t="array" ref="B223">IF(ROWS(B$4:B223)&lt;=$B$2,INDEX(data!A$3:A$16128,SMALL(IF(data!$D$3:$D$16128='Люлин'!$B$1,ROW(data!$A$3:$A$16128)-ROW($A$3)+1),ROWS(B$4:B223))),"")</f>
        <v>каса ФИКТИВНА</v>
      </c>
      <c r="C223" s="19">
        <f t="array" ref="C223">IF(ROWS(C$4:C223)&lt;=$B$2,INDEX(data!B$3:B$16128,SMALL(IF(data!$D$3:$D$16128='Люлин'!$B$1,ROW(data!$A$3:$A$16128)-ROW($A$3)+1),ROWS(C$4:C223))),"")</f>
        <v>-145</v>
      </c>
      <c r="D223" s="7" t="str">
        <f t="array" ref="D223">IF(ROWS(D$4:D223)&lt;=$B$2,INDEX(data!E$3:E$16128,SMALL(IF(data!$D$3:$D$16128='Люлин'!$B$1,ROW(data!$A$3:$A$16128)-ROW($A$3)+1),ROWS(D$4:D223))),"")</f>
        <v>пазар шефа</v>
      </c>
      <c r="E223" s="11"/>
      <c r="F223" s="11"/>
      <c r="G223" s="11"/>
      <c r="H223" s="14"/>
      <c r="I223" s="14"/>
      <c r="J223" s="14"/>
      <c r="K223" s="14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3">
        <f t="array" ref="A224">IF(ROWS(A$4:A224)&lt;=$B$2,INDEX(data!C$3:C$16128,SMALL(IF(data!$D$3:$D$16128='Люлин'!$B$1,ROW(data!$A$3:$A$16128)-ROW($A$3)+1),ROWS(A$4:A224))),"")</f>
        <v>46195</v>
      </c>
      <c r="B224" s="19" t="str">
        <f t="array" ref="B224">IF(ROWS(B$4:B224)&lt;=$B$2,INDEX(data!A$3:A$16128,SMALL(IF(data!$D$3:$D$16128='Люлин'!$B$1,ROW(data!$A$3:$A$16128)-ROW($A$3)+1),ROWS(B$4:B224))),"")</f>
        <v>MYPOS Бакалия</v>
      </c>
      <c r="C224" s="19">
        <f t="array" ref="C224">IF(ROWS(C$4:C224)&lt;=$B$2,INDEX(data!B$3:B$16128,SMALL(IF(data!$D$3:$D$16128='Люлин'!$B$1,ROW(data!$A$3:$A$16128)-ROW($A$3)+1),ROWS(C$4:C224))),"")</f>
        <v>-10080.03</v>
      </c>
      <c r="D224" s="7" t="str">
        <f t="array" ref="D224">IF(ROWS(D$4:D224)&lt;=$B$2,INDEX(data!E$3:E$16128,SMALL(IF(data!$D$3:$D$16128='Люлин'!$B$1,ROW(data!$A$3:$A$16128)-ROW($A$3)+1),ROWS(D$4:D224))),"")</f>
        <v/>
      </c>
      <c r="E224" s="11"/>
      <c r="F224" s="11"/>
      <c r="G224" s="11"/>
      <c r="H224" s="14"/>
      <c r="I224" s="14"/>
      <c r="J224" s="14"/>
      <c r="K224" s="14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3">
        <f t="array" ref="A225">IF(ROWS(A$4:A225)&lt;=$B$2,INDEX(data!C$3:C$16128,SMALL(IF(data!$D$3:$D$16128='Люлин'!$B$1,ROW(data!$A$3:$A$16128)-ROW($A$3)+1),ROWS(A$4:A225))),"")</f>
        <v>46195</v>
      </c>
      <c r="B225" s="19" t="str">
        <f t="array" ref="B225">IF(ROWS(B$4:B225)&lt;=$B$2,INDEX(data!A$3:A$16128,SMALL(IF(data!$D$3:$D$16128='Люлин'!$B$1,ROW(data!$A$3:$A$16128)-ROW($A$3)+1),ROWS(B$4:B225))),"")</f>
        <v>КАСОВА КНИГА</v>
      </c>
      <c r="C225" s="19">
        <f t="array" ref="C225">IF(ROWS(C$4:C225)&lt;=$B$2,INDEX(data!B$3:B$16128,SMALL(IF(data!$D$3:$D$16128='Люлин'!$B$1,ROW(data!$A$3:$A$16128)-ROW($A$3)+1),ROWS(C$4:C225))),"")</f>
        <v>-1000</v>
      </c>
      <c r="D225" s="7" t="str">
        <f t="array" ref="D225">IF(ROWS(D$4:D225)&lt;=$B$2,INDEX(data!E$3:E$16128,SMALL(IF(data!$D$3:$D$16128='Люлин'!$B$1,ROW(data!$A$3:$A$16128)-ROW($A$3)+1),ROWS(D$4:D225))),"")</f>
        <v/>
      </c>
      <c r="E225" s="11"/>
      <c r="F225" s="11"/>
      <c r="G225" s="11"/>
      <c r="H225" s="14"/>
      <c r="I225" s="14"/>
      <c r="J225" s="14"/>
      <c r="K225" s="14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3">
        <f t="array" ref="A226">IF(ROWS(A$4:A226)&lt;=$B$2,INDEX(data!C$3:C$16128,SMALL(IF(data!$D$3:$D$16128='Люлин'!$B$1,ROW(data!$A$3:$A$16128)-ROW($A$3)+1),ROWS(A$4:A226))),"")</f>
        <v>46195</v>
      </c>
      <c r="B226" s="19" t="str">
        <f t="array" ref="B226">IF(ROWS(B$4:B226)&lt;=$B$2,INDEX(data!A$3:A$16128,SMALL(IF(data!$D$3:$D$16128='Люлин'!$B$1,ROW(data!$A$3:$A$16128)-ROW($A$3)+1),ROWS(B$4:B226))),"")</f>
        <v>КАСОВА КНИГА</v>
      </c>
      <c r="C226" s="19">
        <f t="array" ref="C226">IF(ROWS(C$4:C226)&lt;=$B$2,INDEX(data!B$3:B$16128,SMALL(IF(data!$D$3:$D$16128='Люлин'!$B$1,ROW(data!$A$3:$A$16128)-ROW($A$3)+1),ROWS(C$4:C226))),"")</f>
        <v>-1000</v>
      </c>
      <c r="D226" s="7" t="str">
        <f t="array" ref="D226">IF(ROWS(D$4:D226)&lt;=$B$2,INDEX(data!E$3:E$16128,SMALL(IF(data!$D$3:$D$16128='Люлин'!$B$1,ROW(data!$A$3:$A$16128)-ROW($A$3)+1),ROWS(D$4:D226))),"")</f>
        <v>1000 от 20.06</v>
      </c>
      <c r="E226" s="11"/>
      <c r="F226" s="11"/>
      <c r="G226" s="11"/>
      <c r="H226" s="14"/>
      <c r="I226" s="14"/>
      <c r="J226" s="14"/>
      <c r="K226" s="14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3">
        <f t="array" ref="A227">IF(ROWS(A$4:A227)&lt;=$B$2,INDEX(data!C$3:C$16128,SMALL(IF(data!$D$3:$D$16128='Люлин'!$B$1,ROW(data!$A$3:$A$16128)-ROW($A$3)+1),ROWS(A$4:A227))),"")</f>
        <v>46195</v>
      </c>
      <c r="B227" s="19" t="str">
        <f t="array" ref="B227">IF(ROWS(B$4:B227)&lt;=$B$2,INDEX(data!A$3:A$16128,SMALL(IF(data!$D$3:$D$16128='Люлин'!$B$1,ROW(data!$A$3:$A$16128)-ROW($A$3)+1),ROWS(B$4:B227))),"")</f>
        <v>каса ФИКТИВНА</v>
      </c>
      <c r="C227" s="19">
        <f t="array" ref="C227">IF(ROWS(C$4:C227)&lt;=$B$2,INDEX(data!B$3:B$16128,SMALL(IF(data!$D$3:$D$16128='Люлин'!$B$1,ROW(data!$A$3:$A$16128)-ROW($A$3)+1),ROWS(C$4:C227))),"")</f>
        <v>-416</v>
      </c>
      <c r="D227" s="7" t="str">
        <f t="array" ref="D227">IF(ROWS(D$4:D227)&lt;=$B$2,INDEX(data!E$3:E$16128,SMALL(IF(data!$D$3:$D$16128='Люлин'!$B$1,ROW(data!$A$3:$A$16128)-ROW($A$3)+1),ROWS(D$4:D227))),"")</f>
        <v>пазар шефа</v>
      </c>
      <c r="E227" s="11"/>
      <c r="F227" s="11"/>
      <c r="G227" s="11"/>
      <c r="H227" s="14"/>
      <c r="I227" s="14"/>
      <c r="J227" s="14"/>
      <c r="K227" s="14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3">
        <f t="array" ref="A228">IF(ROWS(A$4:A228)&lt;=$B$2,INDEX(data!C$3:C$16128,SMALL(IF(data!$D$3:$D$16128='Люлин'!$B$1,ROW(data!$A$3:$A$16128)-ROW($A$3)+1),ROWS(A$4:A228))),"")</f>
        <v>46197</v>
      </c>
      <c r="B228" s="19" t="str">
        <f t="array" ref="B228">IF(ROWS(B$4:B228)&lt;=$B$2,INDEX(data!A$3:A$16128,SMALL(IF(data!$D$3:$D$16128='Люлин'!$B$1,ROW(data!$A$3:$A$16128)-ROW($A$3)+1),ROWS(B$4:B228))),"")</f>
        <v>КАСОВА КНИГА</v>
      </c>
      <c r="C228" s="19">
        <f t="array" ref="C228">IF(ROWS(C$4:C228)&lt;=$B$2,INDEX(data!B$3:B$16128,SMALL(IF(data!$D$3:$D$16128='Люлин'!$B$1,ROW(data!$A$3:$A$16128)-ROW($A$3)+1),ROWS(C$4:C228))),"")</f>
        <v>-500</v>
      </c>
      <c r="D228" s="7" t="str">
        <f t="array" ref="D228">IF(ROWS(D$4:D228)&lt;=$B$2,INDEX(data!E$3:E$16128,SMALL(IF(data!$D$3:$D$16128='Люлин'!$B$1,ROW(data!$A$3:$A$16128)-ROW($A$3)+1),ROWS(D$4:D228))),"")</f>
        <v/>
      </c>
      <c r="E228" s="11"/>
      <c r="F228" s="11"/>
      <c r="G228" s="11"/>
      <c r="H228" s="14"/>
      <c r="I228" s="14"/>
      <c r="J228" s="14"/>
      <c r="K228" s="14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3">
        <f t="array" ref="A229">IF(ROWS(A$4:A229)&lt;=$B$2,INDEX(data!C$3:C$16128,SMALL(IF(data!$D$3:$D$16128='Люлин'!$B$1,ROW(data!$A$3:$A$16128)-ROW($A$3)+1),ROWS(A$4:A229))),"")</f>
        <v>46197</v>
      </c>
      <c r="B229" s="19" t="str">
        <f t="array" ref="B229">IF(ROWS(B$4:B229)&lt;=$B$2,INDEX(data!A$3:A$16128,SMALL(IF(data!$D$3:$D$16128='Люлин'!$B$1,ROW(data!$A$3:$A$16128)-ROW($A$3)+1),ROWS(B$4:B229))),"")</f>
        <v>КАСОВА КНИГА</v>
      </c>
      <c r="C229" s="19">
        <f t="array" ref="C229">IF(ROWS(C$4:C229)&lt;=$B$2,INDEX(data!B$3:B$16128,SMALL(IF(data!$D$3:$D$16128='Люлин'!$B$1,ROW(data!$A$3:$A$16128)-ROW($A$3)+1),ROWS(C$4:C229))),"")</f>
        <v>-500</v>
      </c>
      <c r="D229" s="7" t="str">
        <f t="array" ref="D229">IF(ROWS(D$4:D229)&lt;=$B$2,INDEX(data!E$3:E$16128,SMALL(IF(data!$D$3:$D$16128='Люлин'!$B$1,ROW(data!$A$3:$A$16128)-ROW($A$3)+1),ROWS(D$4:D229))),"")</f>
        <v>500 от 23.06</v>
      </c>
      <c r="E229" s="11"/>
      <c r="F229" s="11"/>
      <c r="G229" s="11"/>
      <c r="H229" s="14"/>
      <c r="I229" s="14"/>
      <c r="J229" s="14"/>
      <c r="K229" s="14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3">
        <f t="array" ref="A230">IF(ROWS(A$4:A230)&lt;=$B$2,INDEX(data!C$3:C$16128,SMALL(IF(data!$D$3:$D$16128='Люлин'!$B$1,ROW(data!$A$3:$A$16128)-ROW($A$3)+1),ROWS(A$4:A230))),"")</f>
        <v>46199</v>
      </c>
      <c r="B230" s="19" t="str">
        <f t="array" ref="B230">IF(ROWS(B$4:B230)&lt;=$B$2,INDEX(data!A$3:A$16128,SMALL(IF(data!$D$3:$D$16128='Люлин'!$B$1,ROW(data!$A$3:$A$16128)-ROW($A$3)+1),ROWS(B$4:B230))),"")</f>
        <v>КАСОВА КНИГА</v>
      </c>
      <c r="C230" s="19">
        <f t="array" ref="C230">IF(ROWS(C$4:C230)&lt;=$B$2,INDEX(data!B$3:B$16128,SMALL(IF(data!$D$3:$D$16128='Люлин'!$B$1,ROW(data!$A$3:$A$16128)-ROW($A$3)+1),ROWS(C$4:C230))),"")</f>
        <v>-500</v>
      </c>
      <c r="D230" s="7" t="str">
        <f t="array" ref="D230">IF(ROWS(D$4:D230)&lt;=$B$2,INDEX(data!E$3:E$16128,SMALL(IF(data!$D$3:$D$16128='Люлин'!$B$1,ROW(data!$A$3:$A$16128)-ROW($A$3)+1),ROWS(D$4:D230))),"")</f>
        <v/>
      </c>
      <c r="E230" s="11"/>
      <c r="F230" s="11"/>
      <c r="G230" s="11"/>
      <c r="H230" s="14"/>
      <c r="I230" s="14"/>
      <c r="J230" s="14"/>
      <c r="K230" s="14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3">
        <f t="array" ref="A231">IF(ROWS(A$4:A231)&lt;=$B$2,INDEX(data!C$3:C$16128,SMALL(IF(data!$D$3:$D$16128='Люлин'!$B$1,ROW(data!$A$3:$A$16128)-ROW($A$3)+1),ROWS(A$4:A231))),"")</f>
        <v>46199</v>
      </c>
      <c r="B231" s="19" t="str">
        <f t="array" ref="B231">IF(ROWS(B$4:B231)&lt;=$B$2,INDEX(data!A$3:A$16128,SMALL(IF(data!$D$3:$D$16128='Люлин'!$B$1,ROW(data!$A$3:$A$16128)-ROW($A$3)+1),ROWS(B$4:B231))),"")</f>
        <v>каса ФИКТИВНА</v>
      </c>
      <c r="C231" s="19">
        <f t="array" ref="C231">IF(ROWS(C$4:C231)&lt;=$B$2,INDEX(data!B$3:B$16128,SMALL(IF(data!$D$3:$D$16128='Люлин'!$B$1,ROW(data!$A$3:$A$16128)-ROW($A$3)+1),ROWS(C$4:C231))),"")</f>
        <v>-130</v>
      </c>
      <c r="D231" s="7" t="str">
        <f t="array" ref="D231">IF(ROWS(D$4:D231)&lt;=$B$2,INDEX(data!E$3:E$16128,SMALL(IF(data!$D$3:$D$16128='Люлин'!$B$1,ROW(data!$A$3:$A$16128)-ROW($A$3)+1),ROWS(D$4:D231))),"")</f>
        <v>Стаси от заплатата</v>
      </c>
      <c r="E231" s="11"/>
      <c r="F231" s="11"/>
      <c r="G231" s="11"/>
      <c r="H231" s="14"/>
      <c r="I231" s="14"/>
      <c r="J231" s="14"/>
      <c r="K231" s="14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3">
        <f t="array" ref="A232">IF(ROWS(A$4:A232)&lt;=$B$2,INDEX(data!C$3:C$16128,SMALL(IF(data!$D$3:$D$16128='Люлин'!$B$1,ROW(data!$A$3:$A$16128)-ROW($A$3)+1),ROWS(A$4:A232))),"")</f>
        <v>46202</v>
      </c>
      <c r="B232" s="19" t="str">
        <f t="array" ref="B232">IF(ROWS(B$4:B232)&lt;=$B$2,INDEX(data!A$3:A$16128,SMALL(IF(data!$D$3:$D$16128='Люлин'!$B$1,ROW(data!$A$3:$A$16128)-ROW($A$3)+1),ROWS(B$4:B232))),"")</f>
        <v>MYPOS Бакалия</v>
      </c>
      <c r="C232" s="19">
        <f t="array" ref="C232">IF(ROWS(C$4:C232)&lt;=$B$2,INDEX(data!B$3:B$16128,SMALL(IF(data!$D$3:$D$16128='Люлин'!$B$1,ROW(data!$A$3:$A$16128)-ROW($A$3)+1),ROWS(C$4:C232))),"")</f>
        <v>-8806.34</v>
      </c>
      <c r="D232" s="7" t="str">
        <f t="array" ref="D232">IF(ROWS(D$4:D232)&lt;=$B$2,INDEX(data!E$3:E$16128,SMALL(IF(data!$D$3:$D$16128='Люлин'!$B$1,ROW(data!$A$3:$A$16128)-ROW($A$3)+1),ROWS(D$4:D232))),"")</f>
        <v/>
      </c>
      <c r="E232" s="11"/>
      <c r="F232" s="11"/>
      <c r="G232" s="11"/>
      <c r="H232" s="14"/>
      <c r="I232" s="14"/>
      <c r="J232" s="14"/>
      <c r="K232" s="14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3">
        <f t="array" ref="A233">IF(ROWS(A$4:A233)&lt;=$B$2,INDEX(data!C$3:C$16128,SMALL(IF(data!$D$3:$D$16128='Люлин'!$B$1,ROW(data!$A$3:$A$16128)-ROW($A$3)+1),ROWS(A$4:A233))),"")</f>
        <v>46202</v>
      </c>
      <c r="B233" s="19" t="str">
        <f t="array" ref="B233">IF(ROWS(B$4:B233)&lt;=$B$2,INDEX(data!A$3:A$16128,SMALL(IF(data!$D$3:$D$16128='Люлин'!$B$1,ROW(data!$A$3:$A$16128)-ROW($A$3)+1),ROWS(B$4:B233))),"")</f>
        <v>КАСОВА КНИГА</v>
      </c>
      <c r="C233" s="19">
        <f t="array" ref="C233">IF(ROWS(C$4:C233)&lt;=$B$2,INDEX(data!B$3:B$16128,SMALL(IF(data!$D$3:$D$16128='Люлин'!$B$1,ROW(data!$A$3:$A$16128)-ROW($A$3)+1),ROWS(C$4:C233))),"")</f>
        <v>-1000</v>
      </c>
      <c r="D233" s="7" t="str">
        <f t="array" ref="D233">IF(ROWS(D$4:D233)&lt;=$B$2,INDEX(data!E$3:E$16128,SMALL(IF(data!$D$3:$D$16128='Люлин'!$B$1,ROW(data!$A$3:$A$16128)-ROW($A$3)+1),ROWS(D$4:D233))),"")</f>
        <v/>
      </c>
      <c r="E233" s="11"/>
      <c r="F233" s="11"/>
      <c r="G233" s="11"/>
      <c r="H233" s="14"/>
      <c r="I233" s="14"/>
      <c r="J233" s="14"/>
      <c r="K233" s="14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3">
        <f t="array" ref="A234">IF(ROWS(A$4:A234)&lt;=$B$2,INDEX(data!C$3:C$16128,SMALL(IF(data!$D$3:$D$16128='Люлин'!$B$1,ROW(data!$A$3:$A$16128)-ROW($A$3)+1),ROWS(A$4:A234))),"")</f>
        <v>46202</v>
      </c>
      <c r="B234" s="19" t="str">
        <f t="array" ref="B234">IF(ROWS(B$4:B234)&lt;=$B$2,INDEX(data!A$3:A$16128,SMALL(IF(data!$D$3:$D$16128='Люлин'!$B$1,ROW(data!$A$3:$A$16128)-ROW($A$3)+1),ROWS(B$4:B234))),"")</f>
        <v>КАСОВА КНИГА</v>
      </c>
      <c r="C234" s="19">
        <f t="array" ref="C234">IF(ROWS(C$4:C234)&lt;=$B$2,INDEX(data!B$3:B$16128,SMALL(IF(data!$D$3:$D$16128='Люлин'!$B$1,ROW(data!$A$3:$A$16128)-ROW($A$3)+1),ROWS(C$4:C234))),"")</f>
        <v>-1000</v>
      </c>
      <c r="D234" s="7" t="str">
        <f t="array" ref="D234">IF(ROWS(D$4:D234)&lt;=$B$2,INDEX(data!E$3:E$16128,SMALL(IF(data!$D$3:$D$16128='Люлин'!$B$1,ROW(data!$A$3:$A$16128)-ROW($A$3)+1),ROWS(D$4:D234))),"")</f>
        <v>1000 от 27.06</v>
      </c>
      <c r="E234" s="11"/>
      <c r="F234" s="11"/>
      <c r="G234" s="11"/>
      <c r="H234" s="14"/>
      <c r="I234" s="14"/>
      <c r="J234" s="14"/>
      <c r="K234" s="14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3">
        <f t="array" ref="A235">IF(ROWS(A$4:A235)&lt;=$B$2,INDEX(data!C$3:C$16128,SMALL(IF(data!$D$3:$D$16128='Люлин'!$B$1,ROW(data!$A$3:$A$16128)-ROW($A$3)+1),ROWS(A$4:A235))),"")</f>
        <v>46203</v>
      </c>
      <c r="B235" s="19" t="str">
        <f t="array" ref="B235">IF(ROWS(B$4:B235)&lt;=$B$2,INDEX(data!A$3:A$16128,SMALL(IF(data!$D$3:$D$16128='Люлин'!$B$1,ROW(data!$A$3:$A$16128)-ROW($A$3)+1),ROWS(B$4:B235))),"")</f>
        <v>каса ФИКТИВНА</v>
      </c>
      <c r="C235" s="19">
        <f t="array" ref="C235">IF(ROWS(C$4:C235)&lt;=$B$2,INDEX(data!B$3:B$16128,SMALL(IF(data!$D$3:$D$16128='Люлин'!$B$1,ROW(data!$A$3:$A$16128)-ROW($A$3)+1),ROWS(C$4:C235))),"")</f>
        <v>-71.5</v>
      </c>
      <c r="D235" s="7" t="str">
        <f t="array" ref="D235">IF(ROWS(D$4:D235)&lt;=$B$2,INDEX(data!E$3:E$16128,SMALL(IF(data!$D$3:$D$16128='Люлин'!$B$1,ROW(data!$A$3:$A$16128)-ROW($A$3)+1),ROWS(D$4:D235))),"")</f>
        <v>пазар шефа</v>
      </c>
      <c r="E235" s="11"/>
      <c r="F235" s="11"/>
      <c r="G235" s="11"/>
      <c r="H235" s="14"/>
      <c r="I235" s="14"/>
      <c r="J235" s="14"/>
      <c r="K235" s="14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3">
        <f t="array" ref="A236">IF(ROWS(A$4:A236)&lt;=$B$2,INDEX(data!C$3:C$16128,SMALL(IF(data!$D$3:$D$16128='Люлин'!$B$1,ROW(data!$A$3:$A$16128)-ROW($A$3)+1),ROWS(A$4:A236))),"")</f>
        <v>46204</v>
      </c>
      <c r="B236" s="19" t="str">
        <f t="array" ref="B236">IF(ROWS(B$4:B236)&lt;=$B$2,INDEX(data!A$3:A$16128,SMALL(IF(data!$D$3:$D$16128='Люлин'!$B$1,ROW(data!$A$3:$A$16128)-ROW($A$3)+1),ROWS(B$4:B236))),"")</f>
        <v>каса ФИКТИВНА</v>
      </c>
      <c r="C236" s="19">
        <f t="array" ref="C236">IF(ROWS(C$4:C236)&lt;=$B$2,INDEX(data!B$3:B$16128,SMALL(IF(data!$D$3:$D$16128='Люлин'!$B$1,ROW(data!$A$3:$A$16128)-ROW($A$3)+1),ROWS(C$4:C236))),"")</f>
        <v>-93</v>
      </c>
      <c r="D236" s="7" t="str">
        <f t="array" ref="D236">IF(ROWS(D$4:D236)&lt;=$B$2,INDEX(data!E$3:E$16128,SMALL(IF(data!$D$3:$D$16128='Люлин'!$B$1,ROW(data!$A$3:$A$16128)-ROW($A$3)+1),ROWS(D$4:D236))),"")</f>
        <v>пазар шефа</v>
      </c>
      <c r="E236" s="11"/>
      <c r="F236" s="11"/>
      <c r="G236" s="11"/>
      <c r="H236" s="14"/>
      <c r="I236" s="14"/>
      <c r="J236" s="14"/>
      <c r="K236" s="1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3">
        <f t="array" ref="A237">IF(ROWS(A$4:A237)&lt;=$B$2,INDEX(data!C$3:C$16128,SMALL(IF(data!$D$3:$D$16128='Люлин'!$B$1,ROW(data!$A$3:$A$16128)-ROW($A$3)+1),ROWS(A$4:A237))),"")</f>
        <v>46205</v>
      </c>
      <c r="B237" s="19" t="str">
        <f t="array" ref="B237">IF(ROWS(B$4:B237)&lt;=$B$2,INDEX(data!A$3:A$16128,SMALL(IF(data!$D$3:$D$16128='Люлин'!$B$1,ROW(data!$A$3:$A$16128)-ROW($A$3)+1),ROWS(B$4:B237))),"")</f>
        <v>каса ФИКТИВНА</v>
      </c>
      <c r="C237" s="19">
        <f t="array" ref="C237">IF(ROWS(C$4:C237)&lt;=$B$2,INDEX(data!B$3:B$16128,SMALL(IF(data!$D$3:$D$16128='Люлин'!$B$1,ROW(data!$A$3:$A$16128)-ROW($A$3)+1),ROWS(C$4:C237))),"")</f>
        <v>-22</v>
      </c>
      <c r="D237" s="7" t="str">
        <f t="array" ref="D237">IF(ROWS(D$4:D237)&lt;=$B$2,INDEX(data!E$3:E$16128,SMALL(IF(data!$D$3:$D$16128='Люлин'!$B$1,ROW(data!$A$3:$A$16128)-ROW($A$3)+1),ROWS(D$4:D237))),"")</f>
        <v>пазар шефа</v>
      </c>
      <c r="E237" s="11"/>
      <c r="F237" s="11"/>
      <c r="G237" s="11"/>
      <c r="H237" s="14"/>
      <c r="I237" s="14"/>
      <c r="J237" s="14"/>
      <c r="K237" s="14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3">
        <f t="array" ref="A238">IF(ROWS(A$4:A238)&lt;=$B$2,INDEX(data!C$3:C$16128,SMALL(IF(data!$D$3:$D$16128='Люлин'!$B$1,ROW(data!$A$3:$A$16128)-ROW($A$3)+1),ROWS(A$4:A238))),"")</f>
        <v>46206</v>
      </c>
      <c r="B238" s="19" t="str">
        <f t="array" ref="B238">IF(ROWS(B$4:B238)&lt;=$B$2,INDEX(data!A$3:A$16128,SMALL(IF(data!$D$3:$D$16128='Люлин'!$B$1,ROW(data!$A$3:$A$16128)-ROW($A$3)+1),ROWS(B$4:B238))),"")</f>
        <v>каса ФИКТИВНА</v>
      </c>
      <c r="C238" s="19">
        <f t="array" ref="C238">IF(ROWS(C$4:C238)&lt;=$B$2,INDEX(data!B$3:B$16128,SMALL(IF(data!$D$3:$D$16128='Люлин'!$B$1,ROW(data!$A$3:$A$16128)-ROW($A$3)+1),ROWS(C$4:C238))),"")</f>
        <v>-159.5</v>
      </c>
      <c r="D238" s="7" t="str">
        <f t="array" ref="D238">IF(ROWS(D$4:D238)&lt;=$B$2,INDEX(data!E$3:E$16128,SMALL(IF(data!$D$3:$D$16128='Люлин'!$B$1,ROW(data!$A$3:$A$16128)-ROW($A$3)+1),ROWS(D$4:D238))),"")</f>
        <v>пазар шефа</v>
      </c>
      <c r="E238" s="11"/>
      <c r="F238" s="11"/>
      <c r="G238" s="11"/>
      <c r="H238" s="14"/>
      <c r="I238" s="14"/>
      <c r="J238" s="14"/>
      <c r="K238" s="14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3">
        <f t="array" ref="A239">IF(ROWS(A$4:A239)&lt;=$B$2,INDEX(data!C$3:C$16128,SMALL(IF(data!$D$3:$D$16128='Люлин'!$B$1,ROW(data!$A$3:$A$16128)-ROW($A$3)+1),ROWS(A$4:A239))),"")</f>
        <v>46209</v>
      </c>
      <c r="B239" s="19" t="str">
        <f t="array" ref="B239">IF(ROWS(B$4:B239)&lt;=$B$2,INDEX(data!A$3:A$16128,SMALL(IF(data!$D$3:$D$16128='Люлин'!$B$1,ROW(data!$A$3:$A$16128)-ROW($A$3)+1),ROWS(B$4:B239))),"")</f>
        <v>MYPOS Бакалия</v>
      </c>
      <c r="C239" s="19">
        <f t="array" ref="C239">IF(ROWS(C$4:C239)&lt;=$B$2,INDEX(data!B$3:B$16128,SMALL(IF(data!$D$3:$D$16128='Люлин'!$B$1,ROW(data!$A$3:$A$16128)-ROW($A$3)+1),ROWS(C$4:C239))),"")</f>
        <v>-8656.67</v>
      </c>
      <c r="D239" s="7" t="str">
        <f t="array" ref="D239">IF(ROWS(D$4:D239)&lt;=$B$2,INDEX(data!E$3:E$16128,SMALL(IF(data!$D$3:$D$16128='Люлин'!$B$1,ROW(data!$A$3:$A$16128)-ROW($A$3)+1),ROWS(D$4:D239))),"")</f>
        <v/>
      </c>
      <c r="E239" s="11"/>
      <c r="F239" s="11"/>
      <c r="G239" s="11"/>
      <c r="H239" s="14"/>
      <c r="I239" s="14"/>
      <c r="J239" s="14"/>
      <c r="K239" s="14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3">
        <f t="array" ref="A240">IF(ROWS(A$4:A240)&lt;=$B$2,INDEX(data!C$3:C$16128,SMALL(IF(data!$D$3:$D$16128='Люлин'!$B$1,ROW(data!$A$3:$A$16128)-ROW($A$3)+1),ROWS(A$4:A240))),"")</f>
        <v>46209</v>
      </c>
      <c r="B240" s="19" t="str">
        <f t="array" ref="B240">IF(ROWS(B$4:B240)&lt;=$B$2,INDEX(data!A$3:A$16128,SMALL(IF(data!$D$3:$D$16128='Люлин'!$B$1,ROW(data!$A$3:$A$16128)-ROW($A$3)+1),ROWS(B$4:B240))),"")</f>
        <v>КАСОВА КНИГА</v>
      </c>
      <c r="C240" s="19">
        <f t="array" ref="C240">IF(ROWS(C$4:C240)&lt;=$B$2,INDEX(data!B$3:B$16128,SMALL(IF(data!$D$3:$D$16128='Люлин'!$B$1,ROW(data!$A$3:$A$16128)-ROW($A$3)+1),ROWS(C$4:C240))),"")</f>
        <v>-1000</v>
      </c>
      <c r="D240" s="7" t="str">
        <f t="array" ref="D240">IF(ROWS(D$4:D240)&lt;=$B$2,INDEX(data!E$3:E$16128,SMALL(IF(data!$D$3:$D$16128='Люлин'!$B$1,ROW(data!$A$3:$A$16128)-ROW($A$3)+1),ROWS(D$4:D240))),"")</f>
        <v/>
      </c>
      <c r="E240" s="11"/>
      <c r="F240" s="11"/>
      <c r="G240" s="11"/>
      <c r="H240" s="14"/>
      <c r="I240" s="14"/>
      <c r="J240" s="14"/>
      <c r="K240" s="14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3">
        <f t="array" ref="A241">IF(ROWS(A$4:A241)&lt;=$B$2,INDEX(data!C$3:C$16128,SMALL(IF(data!$D$3:$D$16128='Люлин'!$B$1,ROW(data!$A$3:$A$16128)-ROW($A$3)+1),ROWS(A$4:A241))),"")</f>
        <v>46209</v>
      </c>
      <c r="B241" s="19" t="str">
        <f t="array" ref="B241">IF(ROWS(B$4:B241)&lt;=$B$2,INDEX(data!A$3:A$16128,SMALL(IF(data!$D$3:$D$16128='Люлин'!$B$1,ROW(data!$A$3:$A$16128)-ROW($A$3)+1),ROWS(B$4:B241))),"")</f>
        <v>КАСОВА КНИГА</v>
      </c>
      <c r="C241" s="19">
        <f t="array" ref="C241">IF(ROWS(C$4:C241)&lt;=$B$2,INDEX(data!B$3:B$16128,SMALL(IF(data!$D$3:$D$16128='Люлин'!$B$1,ROW(data!$A$3:$A$16128)-ROW($A$3)+1),ROWS(C$4:C241))),"")</f>
        <v>-460</v>
      </c>
      <c r="D241" s="7" t="str">
        <f t="array" ref="D241">IF(ROWS(D$4:D241)&lt;=$B$2,INDEX(data!E$3:E$16128,SMALL(IF(data!$D$3:$D$16128='Люлин'!$B$1,ROW(data!$A$3:$A$16128)-ROW($A$3)+1),ROWS(D$4:D241))),"")</f>
        <v>Спартак от премиите</v>
      </c>
      <c r="E241" s="11"/>
      <c r="F241" s="11"/>
      <c r="G241" s="11"/>
      <c r="H241" s="14"/>
      <c r="I241" s="14"/>
      <c r="J241" s="14"/>
      <c r="K241" s="14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3">
        <f t="array" ref="A242">IF(ROWS(A$4:A242)&lt;=$B$2,INDEX(data!C$3:C$16128,SMALL(IF(data!$D$3:$D$16128='Люлин'!$B$1,ROW(data!$A$3:$A$16128)-ROW($A$3)+1),ROWS(A$4:A242))),"")</f>
        <v>46209</v>
      </c>
      <c r="B242" s="19" t="str">
        <f t="array" ref="B242">IF(ROWS(B$4:B242)&lt;=$B$2,INDEX(data!A$3:A$16128,SMALL(IF(data!$D$3:$D$16128='Люлин'!$B$1,ROW(data!$A$3:$A$16128)-ROW($A$3)+1),ROWS(B$4:B242))),"")</f>
        <v>Каса ВАУЧЕРИ</v>
      </c>
      <c r="C242" s="19">
        <f t="array" ref="C242">IF(ROWS(C$4:C242)&lt;=$B$2,INDEX(data!B$3:B$16128,SMALL(IF(data!$D$3:$D$16128='Люлин'!$B$1,ROW(data!$A$3:$A$16128)-ROW($A$3)+1),ROWS(C$4:C242))),"")</f>
        <v>-120.36</v>
      </c>
      <c r="D242" s="7" t="str">
        <f t="array" ref="D242">IF(ROWS(D$4:D242)&lt;=$B$2,INDEX(data!E$3:E$16128,SMALL(IF(data!$D$3:$D$16128='Люлин'!$B$1,ROW(data!$A$3:$A$16128)-ROW($A$3)+1),ROWS(D$4:D242))),"")</f>
        <v>към 22.06</v>
      </c>
      <c r="E242" s="11"/>
      <c r="F242" s="11"/>
      <c r="G242" s="11"/>
      <c r="H242" s="14"/>
      <c r="I242" s="14"/>
      <c r="J242" s="14"/>
      <c r="K242" s="14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3">
        <f t="array" ref="A243">IF(ROWS(A$4:A243)&lt;=$B$2,INDEX(data!C$3:C$16128,SMALL(IF(data!$D$3:$D$16128='Люлин'!$B$1,ROW(data!$A$3:$A$16128)-ROW($A$3)+1),ROWS(A$4:A243))),"")</f>
        <v>46209</v>
      </c>
      <c r="B243" s="19" t="str">
        <f t="array" ref="B243">IF(ROWS(B$4:B243)&lt;=$B$2,INDEX(data!A$3:A$16128,SMALL(IF(data!$D$3:$D$16128='Люлин'!$B$1,ROW(data!$A$3:$A$16128)-ROW($A$3)+1),ROWS(B$4:B243))),"")</f>
        <v>каса ФИКТИВНА</v>
      </c>
      <c r="C243" s="19">
        <f t="array" ref="C243">IF(ROWS(C$4:C243)&lt;=$B$2,INDEX(data!B$3:B$16128,SMALL(IF(data!$D$3:$D$16128='Люлин'!$B$1,ROW(data!$A$3:$A$16128)-ROW($A$3)+1),ROWS(C$4:C243))),"")</f>
        <v>-1000</v>
      </c>
      <c r="D243" s="7" t="str">
        <f t="array" ref="D243">IF(ROWS(D$4:D243)&lt;=$B$2,INDEX(data!E$3:E$16128,SMALL(IF(data!$D$3:$D$16128='Люлин'!$B$1,ROW(data!$A$3:$A$16128)-ROW($A$3)+1),ROWS(D$4:D243))),"")</f>
        <v>1000 от 04.07</v>
      </c>
      <c r="E243" s="11"/>
      <c r="F243" s="11"/>
      <c r="G243" s="11"/>
      <c r="H243" s="14"/>
      <c r="I243" s="14"/>
      <c r="J243" s="14"/>
      <c r="K243" s="14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3">
        <f t="array" ref="A244">IF(ROWS(A$4:A244)&lt;=$B$2,INDEX(data!C$3:C$16128,SMALL(IF(data!$D$3:$D$16128='Люлин'!$B$1,ROW(data!$A$3:$A$16128)-ROW($A$3)+1),ROWS(A$4:A244))),"")</f>
        <v>46209</v>
      </c>
      <c r="B244" s="19" t="str">
        <f t="array" ref="B244">IF(ROWS(B$4:B244)&lt;=$B$2,INDEX(data!A$3:A$16128,SMALL(IF(data!$D$3:$D$16128='Люлин'!$B$1,ROW(data!$A$3:$A$16128)-ROW($A$3)+1),ROWS(B$4:B244))),"")</f>
        <v>каса ФИКТИВНА</v>
      </c>
      <c r="C244" s="19">
        <f t="array" ref="C244">IF(ROWS(C$4:C244)&lt;=$B$2,INDEX(data!B$3:B$16128,SMALL(IF(data!$D$3:$D$16128='Люлин'!$B$1,ROW(data!$A$3:$A$16128)-ROW($A$3)+1),ROWS(C$4:C244))),"")</f>
        <v>-54.5</v>
      </c>
      <c r="D244" s="7" t="str">
        <f t="array" ref="D244">IF(ROWS(D$4:D244)&lt;=$B$2,INDEX(data!E$3:E$16128,SMALL(IF(data!$D$3:$D$16128='Люлин'!$B$1,ROW(data!$A$3:$A$16128)-ROW($A$3)+1),ROWS(D$4:D244))),"")</f>
        <v>пазар шефа 03.07</v>
      </c>
      <c r="E244" s="11"/>
      <c r="F244" s="11"/>
      <c r="G244" s="11"/>
      <c r="H244" s="14"/>
      <c r="I244" s="14"/>
      <c r="J244" s="14"/>
      <c r="K244" s="14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3">
        <f t="array" ref="A245">IF(ROWS(A$4:A245)&lt;=$B$2,INDEX(data!C$3:C$16128,SMALL(IF(data!$D$3:$D$16128='Люлин'!$B$1,ROW(data!$A$3:$A$16128)-ROW($A$3)+1),ROWS(A$4:A245))),"")</f>
        <v>46209</v>
      </c>
      <c r="B245" s="19" t="str">
        <f t="array" ref="B245">IF(ROWS(B$4:B245)&lt;=$B$2,INDEX(data!A$3:A$16128,SMALL(IF(data!$D$3:$D$16128='Люлин'!$B$1,ROW(data!$A$3:$A$16128)-ROW($A$3)+1),ROWS(B$4:B245))),"")</f>
        <v>каса ФИКТИВНА</v>
      </c>
      <c r="C245" s="19">
        <f t="array" ref="C245">IF(ROWS(C$4:C245)&lt;=$B$2,INDEX(data!B$3:B$16128,SMALL(IF(data!$D$3:$D$16128='Люлин'!$B$1,ROW(data!$A$3:$A$16128)-ROW($A$3)+1),ROWS(C$4:C245))),"")</f>
        <v>-47</v>
      </c>
      <c r="D245" s="7" t="str">
        <f t="array" ref="D245">IF(ROWS(D$4:D245)&lt;=$B$2,INDEX(data!E$3:E$16128,SMALL(IF(data!$D$3:$D$16128='Люлин'!$B$1,ROW(data!$A$3:$A$16128)-ROW($A$3)+1),ROWS(D$4:D245))),"")</f>
        <v>пазар шефа 04.07</v>
      </c>
      <c r="E245" s="11"/>
      <c r="F245" s="11"/>
      <c r="G245" s="11"/>
      <c r="H245" s="14"/>
      <c r="I245" s="14"/>
      <c r="J245" s="14"/>
      <c r="K245" s="14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3">
        <f t="array" ref="A246">IF(ROWS(A$4:A246)&lt;=$B$2,INDEX(data!C$3:C$16128,SMALL(IF(data!$D$3:$D$16128='Люлин'!$B$1,ROW(data!$A$3:$A$16128)-ROW($A$3)+1),ROWS(A$4:A246))),"")</f>
        <v>46210</v>
      </c>
      <c r="B246" s="19" t="str">
        <f t="array" ref="B246">IF(ROWS(B$4:B246)&lt;=$B$2,INDEX(data!A$3:A$16128,SMALL(IF(data!$D$3:$D$16128='Люлин'!$B$1,ROW(data!$A$3:$A$16128)-ROW($A$3)+1),ROWS(B$4:B246))),"")</f>
        <v>каса ФИКТИВНА</v>
      </c>
      <c r="C246" s="19">
        <f t="array" ref="C246">IF(ROWS(C$4:C246)&lt;=$B$2,INDEX(data!B$3:B$16128,SMALL(IF(data!$D$3:$D$16128='Люлин'!$B$1,ROW(data!$A$3:$A$16128)-ROW($A$3)+1),ROWS(C$4:C246))),"")</f>
        <v>-47.5</v>
      </c>
      <c r="D246" s="7" t="str">
        <f t="array" ref="D246">IF(ROWS(D$4:D246)&lt;=$B$2,INDEX(data!E$3:E$16128,SMALL(IF(data!$D$3:$D$16128='Люлин'!$B$1,ROW(data!$A$3:$A$16128)-ROW($A$3)+1),ROWS(D$4:D246))),"")</f>
        <v>пазар шефа</v>
      </c>
      <c r="E246" s="11"/>
      <c r="F246" s="11"/>
      <c r="G246" s="11"/>
      <c r="H246" s="14"/>
      <c r="I246" s="14"/>
      <c r="J246" s="14"/>
      <c r="K246" s="14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3">
        <f t="array" ref="A247">IF(ROWS(A$4:A247)&lt;=$B$2,INDEX(data!C$3:C$16128,SMALL(IF(data!$D$3:$D$16128='Люлин'!$B$1,ROW(data!$A$3:$A$16128)-ROW($A$3)+1),ROWS(A$4:A247))),"")</f>
        <v>46211</v>
      </c>
      <c r="B247" s="19" t="str">
        <f t="array" ref="B247">IF(ROWS(B$4:B247)&lt;=$B$2,INDEX(data!A$3:A$16128,SMALL(IF(data!$D$3:$D$16128='Люлин'!$B$1,ROW(data!$A$3:$A$16128)-ROW($A$3)+1),ROWS(B$4:B247))),"")</f>
        <v>каса ФИКТИВНА</v>
      </c>
      <c r="C247" s="19">
        <f t="array" ref="C247">IF(ROWS(C$4:C247)&lt;=$B$2,INDEX(data!B$3:B$16128,SMALL(IF(data!$D$3:$D$16128='Люлин'!$B$1,ROW(data!$A$3:$A$16128)-ROW($A$3)+1),ROWS(C$4:C247))),"")</f>
        <v>-47</v>
      </c>
      <c r="D247" s="7" t="str">
        <f t="array" ref="D247">IF(ROWS(D$4:D247)&lt;=$B$2,INDEX(data!E$3:E$16128,SMALL(IF(data!$D$3:$D$16128='Люлин'!$B$1,ROW(data!$A$3:$A$16128)-ROW($A$3)+1),ROWS(D$4:D247))),"")</f>
        <v>пазар Люлин</v>
      </c>
      <c r="E247" s="11"/>
      <c r="F247" s="11"/>
      <c r="G247" s="11"/>
      <c r="H247" s="14"/>
      <c r="I247" s="14"/>
      <c r="J247" s="14"/>
      <c r="K247" s="14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3">
        <f t="array" ref="A248">IF(ROWS(A$4:A248)&lt;=$B$2,INDEX(data!C$3:C$16128,SMALL(IF(data!$D$3:$D$16128='Люлин'!$B$1,ROW(data!$A$3:$A$16128)-ROW($A$3)+1),ROWS(A$4:A248))),"")</f>
        <v>46213</v>
      </c>
      <c r="B248" s="19" t="str">
        <f t="array" ref="B248">IF(ROWS(B$4:B248)&lt;=$B$2,INDEX(data!A$3:A$16128,SMALL(IF(data!$D$3:$D$16128='Люлин'!$B$1,ROW(data!$A$3:$A$16128)-ROW($A$3)+1),ROWS(B$4:B248))),"")</f>
        <v>каса ФИКТИВНА</v>
      </c>
      <c r="C248" s="19">
        <f t="array" ref="C248">IF(ROWS(C$4:C248)&lt;=$B$2,INDEX(data!B$3:B$16128,SMALL(IF(data!$D$3:$D$16128='Люлин'!$B$1,ROW(data!$A$3:$A$16128)-ROW($A$3)+1),ROWS(C$4:C248))),"")</f>
        <v>-60</v>
      </c>
      <c r="D248" s="7" t="str">
        <f t="array" ref="D248">IF(ROWS(D$4:D248)&lt;=$B$2,INDEX(data!E$3:E$16128,SMALL(IF(data!$D$3:$D$16128='Люлин'!$B$1,ROW(data!$A$3:$A$16128)-ROW($A$3)+1),ROWS(D$4:D248))),"")</f>
        <v>пазар шефа 08.07</v>
      </c>
      <c r="E248" s="11"/>
      <c r="F248" s="11"/>
      <c r="G248" s="11"/>
      <c r="H248" s="14"/>
      <c r="I248" s="14"/>
      <c r="J248" s="14"/>
      <c r="K248" s="14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3">
        <f t="array" ref="A249">IF(ROWS(A$4:A249)&lt;=$B$2,INDEX(data!C$3:C$16128,SMALL(IF(data!$D$3:$D$16128='Люлин'!$B$1,ROW(data!$A$3:$A$16128)-ROW($A$3)+1),ROWS(A$4:A249))),"")</f>
        <v>46213</v>
      </c>
      <c r="B249" s="19" t="str">
        <f t="array" ref="B249">IF(ROWS(B$4:B249)&lt;=$B$2,INDEX(data!A$3:A$16128,SMALL(IF(data!$D$3:$D$16128='Люлин'!$B$1,ROW(data!$A$3:$A$16128)-ROW($A$3)+1),ROWS(B$4:B249))),"")</f>
        <v>каса ФИКТИВНА</v>
      </c>
      <c r="C249" s="19">
        <f t="array" ref="C249">IF(ROWS(C$4:C249)&lt;=$B$2,INDEX(data!B$3:B$16128,SMALL(IF(data!$D$3:$D$16128='Люлин'!$B$1,ROW(data!$A$3:$A$16128)-ROW($A$3)+1),ROWS(C$4:C249))),"")</f>
        <v>-123</v>
      </c>
      <c r="D249" s="7" t="str">
        <f t="array" ref="D249">IF(ROWS(D$4:D249)&lt;=$B$2,INDEX(data!E$3:E$16128,SMALL(IF(data!$D$3:$D$16128='Люлин'!$B$1,ROW(data!$A$3:$A$16128)-ROW($A$3)+1),ROWS(D$4:D249))),"")</f>
        <v>пазар шефа 09.07</v>
      </c>
      <c r="E249" s="11"/>
      <c r="F249" s="11"/>
      <c r="G249" s="11"/>
      <c r="H249" s="14"/>
      <c r="I249" s="14"/>
      <c r="J249" s="14"/>
      <c r="K249" s="14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3">
        <f t="array" ref="A250">IF(ROWS(A$4:A250)&lt;=$B$2,INDEX(data!C$3:C$16128,SMALL(IF(data!$D$3:$D$16128='Люлин'!$B$1,ROW(data!$A$3:$A$16128)-ROW($A$3)+1),ROWS(A$4:A250))),"")</f>
        <v>46216</v>
      </c>
      <c r="B250" s="19" t="str">
        <f t="array" ref="B250">IF(ROWS(B$4:B250)&lt;=$B$2,INDEX(data!A$3:A$16128,SMALL(IF(data!$D$3:$D$16128='Люлин'!$B$1,ROW(data!$A$3:$A$16128)-ROW($A$3)+1),ROWS(B$4:B250))),"")</f>
        <v>КАСОВА КНИГА</v>
      </c>
      <c r="C250" s="19">
        <f t="array" ref="C250">IF(ROWS(C$4:C250)&lt;=$B$2,INDEX(data!B$3:B$16128,SMALL(IF(data!$D$3:$D$16128='Люлин'!$B$1,ROW(data!$A$3:$A$16128)-ROW($A$3)+1),ROWS(C$4:C250))),"")</f>
        <v>-1000</v>
      </c>
      <c r="D250" s="7" t="str">
        <f t="array" ref="D250">IF(ROWS(D$4:D250)&lt;=$B$2,INDEX(data!E$3:E$16128,SMALL(IF(data!$D$3:$D$16128='Люлин'!$B$1,ROW(data!$A$3:$A$16128)-ROW($A$3)+1),ROWS(D$4:D250))),"")</f>
        <v/>
      </c>
      <c r="E250" s="11"/>
      <c r="F250" s="11"/>
      <c r="G250" s="11"/>
      <c r="H250" s="14"/>
      <c r="I250" s="14"/>
      <c r="J250" s="14"/>
      <c r="K250" s="14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3">
        <f t="array" ref="A251">IF(ROWS(A$4:A251)&lt;=$B$2,INDEX(data!C$3:C$16128,SMALL(IF(data!$D$3:$D$16128='Люлин'!$B$1,ROW(data!$A$3:$A$16128)-ROW($A$3)+1),ROWS(A$4:A251))),"")</f>
        <v>46216</v>
      </c>
      <c r="B251" s="19" t="str">
        <f t="array" ref="B251">IF(ROWS(B$4:B251)&lt;=$B$2,INDEX(data!A$3:A$16128,SMALL(IF(data!$D$3:$D$16128='Люлин'!$B$1,ROW(data!$A$3:$A$16128)-ROW($A$3)+1),ROWS(B$4:B251))),"")</f>
        <v>каса ФИКТИВНА</v>
      </c>
      <c r="C251" s="19">
        <f t="array" ref="C251">IF(ROWS(C$4:C251)&lt;=$B$2,INDEX(data!B$3:B$16128,SMALL(IF(data!$D$3:$D$16128='Люлин'!$B$1,ROW(data!$A$3:$A$16128)-ROW($A$3)+1),ROWS(C$4:C251))),"")</f>
        <v>-2000</v>
      </c>
      <c r="D251" s="7" t="str">
        <f t="array" ref="D251">IF(ROWS(D$4:D251)&lt;=$B$2,INDEX(data!E$3:E$16128,SMALL(IF(data!$D$3:$D$16128='Люлин'!$B$1,ROW(data!$A$3:$A$16128)-ROW($A$3)+1),ROWS(D$4:D251))),"")</f>
        <v>2000 от 11.07</v>
      </c>
      <c r="E251" s="11"/>
      <c r="F251" s="11"/>
      <c r="G251" s="11"/>
      <c r="H251" s="14"/>
      <c r="I251" s="14"/>
      <c r="J251" s="14"/>
      <c r="K251" s="14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3">
        <f t="array" ref="A252">IF(ROWS(A$4:A252)&lt;=$B$2,INDEX(data!C$3:C$16128,SMALL(IF(data!$D$3:$D$16128='Люлин'!$B$1,ROW(data!$A$3:$A$16128)-ROW($A$3)+1),ROWS(A$4:A252))),"")</f>
        <v>46216</v>
      </c>
      <c r="B252" s="19" t="str">
        <f t="array" ref="B252">IF(ROWS(B$4:B252)&lt;=$B$2,INDEX(data!A$3:A$16128,SMALL(IF(data!$D$3:$D$16128='Люлин'!$B$1,ROW(data!$A$3:$A$16128)-ROW($A$3)+1),ROWS(B$4:B252))),"")</f>
        <v>каса ФИКТИВНА</v>
      </c>
      <c r="C252" s="19">
        <f t="array" ref="C252">IF(ROWS(C$4:C252)&lt;=$B$2,INDEX(data!B$3:B$16128,SMALL(IF(data!$D$3:$D$16128='Люлин'!$B$1,ROW(data!$A$3:$A$16128)-ROW($A$3)+1),ROWS(C$4:C252))),"")</f>
        <v>-85.5</v>
      </c>
      <c r="D252" s="7" t="str">
        <f t="array" ref="D252">IF(ROWS(D$4:D252)&lt;=$B$2,INDEX(data!E$3:E$16128,SMALL(IF(data!$D$3:$D$16128='Люлин'!$B$1,ROW(data!$A$3:$A$16128)-ROW($A$3)+1),ROWS(D$4:D252))),"")</f>
        <v>пазар шефа</v>
      </c>
      <c r="E252" s="11"/>
      <c r="F252" s="11"/>
      <c r="G252" s="11"/>
      <c r="H252" s="14"/>
      <c r="I252" s="14"/>
      <c r="J252" s="14"/>
      <c r="K252" s="14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3">
        <f t="array" ref="A253">IF(ROWS(A$4:A253)&lt;=$B$2,INDEX(data!C$3:C$16128,SMALL(IF(data!$D$3:$D$16128='Люлин'!$B$1,ROW(data!$A$3:$A$16128)-ROW($A$3)+1),ROWS(A$4:A253))),"")</f>
        <v>46216</v>
      </c>
      <c r="B253" s="19" t="str">
        <f t="array" ref="B253">IF(ROWS(B$4:B253)&lt;=$B$2,INDEX(data!A$3:A$16128,SMALL(IF(data!$D$3:$D$16128='Люлин'!$B$1,ROW(data!$A$3:$A$16128)-ROW($A$3)+1),ROWS(B$4:B253))),"")</f>
        <v>каса ФИКТИВНА</v>
      </c>
      <c r="C253" s="19">
        <f t="array" ref="C253">IF(ROWS(C$4:C253)&lt;=$B$2,INDEX(data!B$3:B$16128,SMALL(IF(data!$D$3:$D$16128='Люлин'!$B$1,ROW(data!$A$3:$A$16128)-ROW($A$3)+1),ROWS(C$4:C253))),"")</f>
        <v>-69</v>
      </c>
      <c r="D253" s="7" t="str">
        <f t="array" ref="D253">IF(ROWS(D$4:D253)&lt;=$B$2,INDEX(data!E$3:E$16128,SMALL(IF(data!$D$3:$D$16128='Люлин'!$B$1,ROW(data!$A$3:$A$16128)-ROW($A$3)+1),ROWS(D$4:D253))),"")</f>
        <v>пазар шефа 10.07</v>
      </c>
      <c r="E253" s="11"/>
      <c r="F253" s="11"/>
      <c r="G253" s="11"/>
      <c r="H253" s="14"/>
      <c r="I253" s="14"/>
      <c r="J253" s="14"/>
      <c r="K253" s="14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3">
        <f t="array" ref="A254">IF(ROWS(A$4:A254)&lt;=$B$2,INDEX(data!C$3:C$16128,SMALL(IF(data!$D$3:$D$16128='Люлин'!$B$1,ROW(data!$A$3:$A$16128)-ROW($A$3)+1),ROWS(A$4:A254))),"")</f>
        <v>46217</v>
      </c>
      <c r="B254" s="19" t="str">
        <f t="array" ref="B254">IF(ROWS(B$4:B254)&lt;=$B$2,INDEX(data!A$3:A$16128,SMALL(IF(data!$D$3:$D$16128='Люлин'!$B$1,ROW(data!$A$3:$A$16128)-ROW($A$3)+1),ROWS(B$4:B254))),"")</f>
        <v>каса ФИКТИВНА</v>
      </c>
      <c r="C254" s="19">
        <f t="array" ref="C254">IF(ROWS(C$4:C254)&lt;=$B$2,INDEX(data!B$3:B$16128,SMALL(IF(data!$D$3:$D$16128='Люлин'!$B$1,ROW(data!$A$3:$A$16128)-ROW($A$3)+1),ROWS(C$4:C254))),"")</f>
        <v>-29.3</v>
      </c>
      <c r="D254" s="7" t="str">
        <f t="array" ref="D254">IF(ROWS(D$4:D254)&lt;=$B$2,INDEX(data!E$3:E$16128,SMALL(IF(data!$D$3:$D$16128='Люлин'!$B$1,ROW(data!$A$3:$A$16128)-ROW($A$3)+1),ROWS(D$4:D254))),"")</f>
        <v>пазар шефа</v>
      </c>
      <c r="E254" s="11"/>
      <c r="F254" s="11"/>
      <c r="G254" s="11"/>
      <c r="H254" s="14"/>
      <c r="I254" s="14"/>
      <c r="J254" s="14"/>
      <c r="K254" s="14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33">
        <f t="array" ref="A255">IF(ROWS(A$4:A255)&lt;=$B$2,INDEX(data!C$3:C$16128,SMALL(IF(data!$D$3:$D$16128='Люлин'!$B$1,ROW(data!$A$3:$A$16128)-ROW($A$3)+1),ROWS(A$4:A255))),"")</f>
        <v>46218</v>
      </c>
      <c r="B255" s="19" t="str">
        <f t="array" ref="B255">IF(ROWS(B$4:B255)&lt;=$B$2,INDEX(data!A$3:A$16128,SMALL(IF(data!$D$3:$D$16128='Люлин'!$B$1,ROW(data!$A$3:$A$16128)-ROW($A$3)+1),ROWS(B$4:B255))),"")</f>
        <v>каса ФИКТИВНА</v>
      </c>
      <c r="C255" s="19">
        <f t="array" ref="C255">IF(ROWS(C$4:C255)&lt;=$B$2,INDEX(data!B$3:B$16128,SMALL(IF(data!$D$3:$D$16128='Люлин'!$B$1,ROW(data!$A$3:$A$16128)-ROW($A$3)+1),ROWS(C$4:C255))),"")</f>
        <v>-35</v>
      </c>
      <c r="D255" s="7" t="str">
        <f t="array" ref="D255">IF(ROWS(D$4:D255)&lt;=$B$2,INDEX(data!E$3:E$16128,SMALL(IF(data!$D$3:$D$16128='Люлин'!$B$1,ROW(data!$A$3:$A$16128)-ROW($A$3)+1),ROWS(D$4:D255))),"")</f>
        <v>Ния от заплатата</v>
      </c>
      <c r="E255" s="11"/>
      <c r="F255" s="11"/>
      <c r="G255" s="11"/>
      <c r="H255" s="14"/>
      <c r="I255" s="14"/>
      <c r="J255" s="14"/>
      <c r="K255" s="14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33">
        <f t="array" ref="A256">IF(ROWS(A$4:A256)&lt;=$B$2,INDEX(data!C$3:C$16128,SMALL(IF(data!$D$3:$D$16128='Люлин'!$B$1,ROW(data!$A$3:$A$16128)-ROW($A$3)+1),ROWS(A$4:A256))),"")</f>
        <v>46218</v>
      </c>
      <c r="B256" s="19" t="str">
        <f t="array" ref="B256">IF(ROWS(B$4:B256)&lt;=$B$2,INDEX(data!A$3:A$16128,SMALL(IF(data!$D$3:$D$16128='Люлин'!$B$1,ROW(data!$A$3:$A$16128)-ROW($A$3)+1),ROWS(B$4:B256))),"")</f>
        <v>каса ФИКТИВНА</v>
      </c>
      <c r="C256" s="19">
        <f t="array" ref="C256">IF(ROWS(C$4:C256)&lt;=$B$2,INDEX(data!B$3:B$16128,SMALL(IF(data!$D$3:$D$16128='Люлин'!$B$1,ROW(data!$A$3:$A$16128)-ROW($A$3)+1),ROWS(C$4:C256))),"")</f>
        <v>-44.5</v>
      </c>
      <c r="D256" s="7" t="str">
        <f t="array" ref="D256">IF(ROWS(D$4:D256)&lt;=$B$2,INDEX(data!E$3:E$16128,SMALL(IF(data!$D$3:$D$16128='Люлин'!$B$1,ROW(data!$A$3:$A$16128)-ROW($A$3)+1),ROWS(D$4:D256))),"")</f>
        <v>пазар шефа</v>
      </c>
      <c r="E256" s="11"/>
      <c r="F256" s="11"/>
      <c r="G256" s="11"/>
      <c r="H256" s="14"/>
      <c r="I256" s="14"/>
      <c r="J256" s="14"/>
      <c r="K256" s="14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33">
        <f t="array" ref="A257">IF(ROWS(A$4:A257)&lt;=$B$2,INDEX(data!C$3:C$16128,SMALL(IF(data!$D$3:$D$16128='Люлин'!$B$1,ROW(data!$A$3:$A$16128)-ROW($A$3)+1),ROWS(A$4:A257))),"")</f>
        <v>46219</v>
      </c>
      <c r="B257" s="19" t="str">
        <f t="array" ref="B257">IF(ROWS(B$4:B257)&lt;=$B$2,INDEX(data!A$3:A$16128,SMALL(IF(data!$D$3:$D$16128='Люлин'!$B$1,ROW(data!$A$3:$A$16128)-ROW($A$3)+1),ROWS(B$4:B257))),"")</f>
        <v>Каса ВАУЧЕРИ</v>
      </c>
      <c r="C257" s="19">
        <f t="array" ref="C257">IF(ROWS(C$4:C257)&lt;=$B$2,INDEX(data!B$3:B$16128,SMALL(IF(data!$D$3:$D$16128='Люлин'!$B$1,ROW(data!$A$3:$A$16128)-ROW($A$3)+1),ROWS(C$4:C257))),"")</f>
        <v>-40</v>
      </c>
      <c r="D257" s="7" t="str">
        <f t="array" ref="D257">IF(ROWS(D$4:D257)&lt;=$B$2,INDEX(data!E$3:E$16128,SMALL(IF(data!$D$3:$D$16128='Люлин'!$B$1,ROW(data!$A$3:$A$16128)-ROW($A$3)+1),ROWS(D$4:D257))),"")</f>
        <v>за 22-28.06</v>
      </c>
      <c r="E257" s="11"/>
      <c r="F257" s="11"/>
      <c r="G257" s="11"/>
      <c r="H257" s="14"/>
      <c r="I257" s="14"/>
      <c r="J257" s="14"/>
      <c r="K257" s="14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33">
        <f t="array" ref="A258">IF(ROWS(A$4:A258)&lt;=$B$2,INDEX(data!C$3:C$16128,SMALL(IF(data!$D$3:$D$16128='Люлин'!$B$1,ROW(data!$A$3:$A$16128)-ROW($A$3)+1),ROWS(A$4:A258))),"")</f>
        <v>46220</v>
      </c>
      <c r="B258" s="19" t="str">
        <f t="array" ref="B258">IF(ROWS(B$4:B258)&lt;=$B$2,INDEX(data!A$3:A$16128,SMALL(IF(data!$D$3:$D$16128='Люлин'!$B$1,ROW(data!$A$3:$A$16128)-ROW($A$3)+1),ROWS(B$4:B258))),"")</f>
        <v>каса ФИКТИВНА</v>
      </c>
      <c r="C258" s="19">
        <f t="array" ref="C258">IF(ROWS(C$4:C258)&lt;=$B$2,INDEX(data!B$3:B$16128,SMALL(IF(data!$D$3:$D$16128='Люлин'!$B$1,ROW(data!$A$3:$A$16128)-ROW($A$3)+1),ROWS(C$4:C258))),"")</f>
        <v>-157</v>
      </c>
      <c r="D258" s="7" t="str">
        <f t="array" ref="D258">IF(ROWS(D$4:D258)&lt;=$B$2,INDEX(data!E$3:E$16128,SMALL(IF(data!$D$3:$D$16128='Люлин'!$B$1,ROW(data!$A$3:$A$16128)-ROW($A$3)+1),ROWS(D$4:D258))),"")</f>
        <v>пазар шефа</v>
      </c>
      <c r="E258" s="11"/>
      <c r="F258" s="11"/>
      <c r="G258" s="11"/>
      <c r="H258" s="14"/>
      <c r="I258" s="14"/>
      <c r="J258" s="14"/>
      <c r="K258" s="14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33">
        <f t="array" ref="A259">IF(ROWS(A$4:A259)&lt;=$B$2,INDEX(data!C$3:C$16128,SMALL(IF(data!$D$3:$D$16128='Люлин'!$B$1,ROW(data!$A$3:$A$16128)-ROW($A$3)+1),ROWS(A$4:A259))),"")</f>
        <v>46223</v>
      </c>
      <c r="B259" s="19" t="str">
        <f t="array" ref="B259">IF(ROWS(B$4:B259)&lt;=$B$2,INDEX(data!A$3:A$16128,SMALL(IF(data!$D$3:$D$16128='Люлин'!$B$1,ROW(data!$A$3:$A$16128)-ROW($A$3)+1),ROWS(B$4:B259))),"")</f>
        <v>КАСОВА КНИГА</v>
      </c>
      <c r="C259" s="19">
        <f t="array" ref="C259">IF(ROWS(C$4:C259)&lt;=$B$2,INDEX(data!B$3:B$16128,SMALL(IF(data!$D$3:$D$16128='Люлин'!$B$1,ROW(data!$A$3:$A$16128)-ROW($A$3)+1),ROWS(C$4:C259))),"")</f>
        <v>-1000</v>
      </c>
      <c r="D259" s="7" t="str">
        <f t="array" ref="D259">IF(ROWS(D$4:D259)&lt;=$B$2,INDEX(data!E$3:E$16128,SMALL(IF(data!$D$3:$D$16128='Люлин'!$B$1,ROW(data!$A$3:$A$16128)-ROW($A$3)+1),ROWS(D$4:D259))),"")</f>
        <v/>
      </c>
      <c r="E259" s="11"/>
      <c r="F259" s="11"/>
      <c r="G259" s="11"/>
      <c r="H259" s="14"/>
      <c r="I259" s="14"/>
      <c r="J259" s="14"/>
      <c r="K259" s="14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33">
        <f t="array" ref="A260">IF(ROWS(A$4:A260)&lt;=$B$2,INDEX(data!C$3:C$16128,SMALL(IF(data!$D$3:$D$16128='Люлин'!$B$1,ROW(data!$A$3:$A$16128)-ROW($A$3)+1),ROWS(A$4:A260))),"")</f>
        <v>46223</v>
      </c>
      <c r="B260" s="19" t="str">
        <f t="array" ref="B260">IF(ROWS(B$4:B260)&lt;=$B$2,INDEX(data!A$3:A$16128,SMALL(IF(data!$D$3:$D$16128='Люлин'!$B$1,ROW(data!$A$3:$A$16128)-ROW($A$3)+1),ROWS(B$4:B260))),"")</f>
        <v>Каса ВАУЧЕРИ</v>
      </c>
      <c r="C260" s="19">
        <f t="array" ref="C260">IF(ROWS(C$4:C260)&lt;=$B$2,INDEX(data!B$3:B$16128,SMALL(IF(data!$D$3:$D$16128='Люлин'!$B$1,ROW(data!$A$3:$A$16128)-ROW($A$3)+1),ROWS(C$4:C260))),"")</f>
        <v>600</v>
      </c>
      <c r="D260" s="7" t="str">
        <f t="array" ref="D260">IF(ROWS(D$4:D260)&lt;=$B$2,INDEX(data!E$3:E$16128,SMALL(IF(data!$D$3:$D$16128='Люлин'!$B$1,ROW(data!$A$3:$A$16128)-ROW($A$3)+1),ROWS(D$4:D260))),"")</f>
        <v>ваучери персонал</v>
      </c>
      <c r="E260" s="11"/>
      <c r="F260" s="11"/>
      <c r="G260" s="11"/>
      <c r="H260" s="14"/>
      <c r="I260" s="14"/>
      <c r="J260" s="14"/>
      <c r="K260" s="14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3">
        <f t="array" ref="A261">IF(ROWS(A$4:A261)&lt;=$B$2,INDEX(data!C$3:C$16128,SMALL(IF(data!$D$3:$D$16128='Люлин'!$B$1,ROW(data!$A$3:$A$16128)-ROW($A$3)+1),ROWS(A$4:A261))),"")</f>
        <v>46223</v>
      </c>
      <c r="B261" s="19" t="str">
        <f t="array" ref="B261">IF(ROWS(B$4:B261)&lt;=$B$2,INDEX(data!A$3:A$16128,SMALL(IF(data!$D$3:$D$16128='Люлин'!$B$1,ROW(data!$A$3:$A$16128)-ROW($A$3)+1),ROWS(B$4:B261))),"")</f>
        <v>каса ФИКТИВНА</v>
      </c>
      <c r="C261" s="19">
        <f t="array" ref="C261">IF(ROWS(C$4:C261)&lt;=$B$2,INDEX(data!B$3:B$16128,SMALL(IF(data!$D$3:$D$16128='Люлин'!$B$1,ROW(data!$A$3:$A$16128)-ROW($A$3)+1),ROWS(C$4:C261))),"")</f>
        <v>-1500</v>
      </c>
      <c r="D261" s="7" t="str">
        <f t="array" ref="D261">IF(ROWS(D$4:D261)&lt;=$B$2,INDEX(data!E$3:E$16128,SMALL(IF(data!$D$3:$D$16128='Люлин'!$B$1,ROW(data!$A$3:$A$16128)-ROW($A$3)+1),ROWS(D$4:D261))),"")</f>
        <v>1500 от 18.07</v>
      </c>
      <c r="E261" s="11"/>
      <c r="F261" s="11"/>
      <c r="G261" s="11"/>
      <c r="H261" s="14"/>
      <c r="I261" s="14"/>
      <c r="J261" s="14"/>
      <c r="K261" s="14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33">
        <f t="array" ref="A262">IF(ROWS(A$4:A262)&lt;=$B$2,INDEX(data!C$3:C$16128,SMALL(IF(data!$D$3:$D$16128='Люлин'!$B$1,ROW(data!$A$3:$A$16128)-ROW($A$3)+1),ROWS(A$4:A262))),"")</f>
        <v>46223</v>
      </c>
      <c r="B262" s="19" t="str">
        <f t="array" ref="B262">IF(ROWS(B$4:B262)&lt;=$B$2,INDEX(data!A$3:A$16128,SMALL(IF(data!$D$3:$D$16128='Люлин'!$B$1,ROW(data!$A$3:$A$16128)-ROW($A$3)+1),ROWS(B$4:B262))),"")</f>
        <v>каса ФИКТИВНА</v>
      </c>
      <c r="C262" s="19">
        <f t="array" ref="C262">IF(ROWS(C$4:C262)&lt;=$B$2,INDEX(data!B$3:B$16128,SMALL(IF(data!$D$3:$D$16128='Люлин'!$B$1,ROW(data!$A$3:$A$16128)-ROW($A$3)+1),ROWS(C$4:C262))),"")</f>
        <v>-500</v>
      </c>
      <c r="D262" s="7" t="str">
        <f t="array" ref="D262">IF(ROWS(D$4:D262)&lt;=$B$2,INDEX(data!E$3:E$16128,SMALL(IF(data!$D$3:$D$16128='Люлин'!$B$1,ROW(data!$A$3:$A$16128)-ROW($A$3)+1),ROWS(D$4:D262))),"")</f>
        <v>Ния от заплатата</v>
      </c>
      <c r="E262" s="11"/>
      <c r="F262" s="11"/>
      <c r="G262" s="11"/>
      <c r="H262" s="14"/>
      <c r="I262" s="14"/>
      <c r="J262" s="14"/>
      <c r="K262" s="14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33">
        <f t="array" ref="A263">IF(ROWS(A$4:A263)&lt;=$B$2,INDEX(data!C$3:C$16128,SMALL(IF(data!$D$3:$D$16128='Люлин'!$B$1,ROW(data!$A$3:$A$16128)-ROW($A$3)+1),ROWS(A$4:A263))),"")</f>
        <v>46223</v>
      </c>
      <c r="B263" s="19" t="str">
        <f t="array" ref="B263">IF(ROWS(B$4:B263)&lt;=$B$2,INDEX(data!A$3:A$16128,SMALL(IF(data!$D$3:$D$16128='Люлин'!$B$1,ROW(data!$A$3:$A$16128)-ROW($A$3)+1),ROWS(B$4:B263))),"")</f>
        <v>каса ФИКТИВНА</v>
      </c>
      <c r="C263" s="19">
        <f t="array" ref="C263">IF(ROWS(C$4:C263)&lt;=$B$2,INDEX(data!B$3:B$16128,SMALL(IF(data!$D$3:$D$16128='Люлин'!$B$1,ROW(data!$A$3:$A$16128)-ROW($A$3)+1),ROWS(C$4:C263))),"")</f>
        <v>-25</v>
      </c>
      <c r="D263" s="7" t="str">
        <f t="array" ref="D263">IF(ROWS(D$4:D263)&lt;=$B$2,INDEX(data!E$3:E$16128,SMALL(IF(data!$D$3:$D$16128='Люлин'!$B$1,ROW(data!$A$3:$A$16128)-ROW($A$3)+1),ROWS(D$4:D263))),"")</f>
        <v>пазар шефа</v>
      </c>
      <c r="E263" s="11"/>
      <c r="F263" s="11"/>
      <c r="G263" s="11"/>
      <c r="H263" s="14"/>
      <c r="I263" s="14"/>
      <c r="J263" s="14"/>
      <c r="K263" s="14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3">
        <f t="array" ref="A264">IF(ROWS(A$4:A264)&lt;=$B$2,INDEX(data!C$3:C$16128,SMALL(IF(data!$D$3:$D$16128='Люлин'!$B$1,ROW(data!$A$3:$A$16128)-ROW($A$3)+1),ROWS(A$4:A264))),"")</f>
        <v>46223</v>
      </c>
      <c r="B264" s="19" t="str">
        <f t="array" ref="B264">IF(ROWS(B$4:B264)&lt;=$B$2,INDEX(data!A$3:A$16128,SMALL(IF(data!$D$3:$D$16128='Люлин'!$B$1,ROW(data!$A$3:$A$16128)-ROW($A$3)+1),ROWS(B$4:B264))),"")</f>
        <v>MYPOS Бакалия</v>
      </c>
      <c r="C264" s="19">
        <f t="array" ref="C264">IF(ROWS(C$4:C264)&lt;=$B$2,INDEX(data!B$3:B$16128,SMALL(IF(data!$D$3:$D$16128='Люлин'!$B$1,ROW(data!$A$3:$A$16128)-ROW($A$3)+1),ROWS(C$4:C264))),"")</f>
        <v>-17908.09</v>
      </c>
      <c r="D264" s="7" t="str">
        <f t="array" ref="D264">IF(ROWS(D$4:D264)&lt;=$B$2,INDEX(data!E$3:E$16128,SMALL(IF(data!$D$3:$D$16128='Люлин'!$B$1,ROW(data!$A$3:$A$16128)-ROW($A$3)+1),ROWS(D$4:D264))),"")</f>
        <v/>
      </c>
      <c r="E264" s="11"/>
      <c r="F264" s="11"/>
      <c r="G264" s="11"/>
      <c r="H264" s="14"/>
      <c r="I264" s="14"/>
      <c r="J264" s="14"/>
      <c r="K264" s="14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33">
        <f t="array" ref="A265">IF(ROWS(A$4:A265)&lt;=$B$2,INDEX(data!C$3:C$16128,SMALL(IF(data!$D$3:$D$16128='Люлин'!$B$1,ROW(data!$A$3:$A$16128)-ROW($A$3)+1),ROWS(A$4:A265))),"")</f>
        <v>46224</v>
      </c>
      <c r="B265" s="19" t="str">
        <f t="array" ref="B265">IF(ROWS(B$4:B265)&lt;=$B$2,INDEX(data!A$3:A$16128,SMALL(IF(data!$D$3:$D$16128='Люлин'!$B$1,ROW(data!$A$3:$A$16128)-ROW($A$3)+1),ROWS(B$4:B265))),"")</f>
        <v>ЗАЕМ</v>
      </c>
      <c r="C265" s="19">
        <f t="array" ref="C265">IF(ROWS(C$4:C265)&lt;=$B$2,INDEX(data!B$3:B$16128,SMALL(IF(data!$D$3:$D$16128='Люлин'!$B$1,ROW(data!$A$3:$A$16128)-ROW($A$3)+1),ROWS(C$4:C265))),"")</f>
        <v>61256.48</v>
      </c>
      <c r="D265" s="7" t="str">
        <f t="array" ref="D265">IF(ROWS(D$4:D265)&lt;=$B$2,INDEX(data!E$3:E$16128,SMALL(IF(data!$D$3:$D$16128='Люлин'!$B$1,ROW(data!$A$3:$A$16128)-ROW($A$3)+1),ROWS(D$4:D265))),"")</f>
        <v>Салдо склад + вътр. п-не</v>
      </c>
      <c r="E265" s="11"/>
      <c r="F265" s="11"/>
      <c r="G265" s="11"/>
      <c r="H265" s="14"/>
      <c r="I265" s="14"/>
      <c r="J265" s="14"/>
      <c r="K265" s="14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33">
        <f t="array" ref="A266">IF(ROWS(A$4:A266)&lt;=$B$2,INDEX(data!C$3:C$16128,SMALL(IF(data!$D$3:$D$16128='Люлин'!$B$1,ROW(data!$A$3:$A$16128)-ROW($A$3)+1),ROWS(A$4:A266))),"")</f>
        <v>46225</v>
      </c>
      <c r="B266" s="19" t="str">
        <f t="array" ref="B266">IF(ROWS(B$4:B266)&lt;=$B$2,INDEX(data!A$3:A$16128,SMALL(IF(data!$D$3:$D$16128='Люлин'!$B$1,ROW(data!$A$3:$A$16128)-ROW($A$3)+1),ROWS(B$4:B266))),"")</f>
        <v>КАСОВА КНИГА</v>
      </c>
      <c r="C266" s="19">
        <f t="array" ref="C266">IF(ROWS(C$4:C266)&lt;=$B$2,INDEX(data!B$3:B$16128,SMALL(IF(data!$D$3:$D$16128='Люлин'!$B$1,ROW(data!$A$3:$A$16128)-ROW($A$3)+1),ROWS(C$4:C266))),"")</f>
        <v>-500</v>
      </c>
      <c r="D266" s="7" t="str">
        <f t="array" ref="D266">IF(ROWS(D$4:D266)&lt;=$B$2,INDEX(data!E$3:E$16128,SMALL(IF(data!$D$3:$D$16128='Люлин'!$B$1,ROW(data!$A$3:$A$16128)-ROW($A$3)+1),ROWS(D$4:D266))),"")</f>
        <v/>
      </c>
      <c r="E266" s="11"/>
      <c r="F266" s="11"/>
      <c r="G266" s="11"/>
      <c r="H266" s="14"/>
      <c r="I266" s="14"/>
      <c r="J266" s="14"/>
      <c r="K266" s="14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33">
        <f t="array" ref="A267">IF(ROWS(A$4:A267)&lt;=$B$2,INDEX(data!C$3:C$16128,SMALL(IF(data!$D$3:$D$16128='Люлин'!$B$1,ROW(data!$A$3:$A$16128)-ROW($A$3)+1),ROWS(A$4:A267))),"")</f>
        <v>46225</v>
      </c>
      <c r="B267" s="19" t="str">
        <f t="array" ref="B267">IF(ROWS(B$4:B267)&lt;=$B$2,INDEX(data!A$3:A$16128,SMALL(IF(data!$D$3:$D$16128='Люлин'!$B$1,ROW(data!$A$3:$A$16128)-ROW($A$3)+1),ROWS(B$4:B267))),"")</f>
        <v>каса ФИКТИВНА</v>
      </c>
      <c r="C267" s="19">
        <f t="array" ref="C267">IF(ROWS(C$4:C267)&lt;=$B$2,INDEX(data!B$3:B$16128,SMALL(IF(data!$D$3:$D$16128='Люлин'!$B$1,ROW(data!$A$3:$A$16128)-ROW($A$3)+1),ROWS(C$4:C267))),"")</f>
        <v>-137.5</v>
      </c>
      <c r="D267" s="7" t="str">
        <f t="array" ref="D267">IF(ROWS(D$4:D267)&lt;=$B$2,INDEX(data!E$3:E$16128,SMALL(IF(data!$D$3:$D$16128='Люлин'!$B$1,ROW(data!$A$3:$A$16128)-ROW($A$3)+1),ROWS(D$4:D267))),"")</f>
        <v>пазар шефа</v>
      </c>
      <c r="E267" s="11"/>
      <c r="F267" s="11"/>
      <c r="G267" s="11"/>
      <c r="H267" s="14"/>
      <c r="I267" s="14"/>
      <c r="J267" s="14"/>
      <c r="K267" s="14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33">
        <f t="array" ref="A268">IF(ROWS(A$4:A268)&lt;=$B$2,INDEX(data!C$3:C$16128,SMALL(IF(data!$D$3:$D$16128='Люлин'!$B$1,ROW(data!$A$3:$A$16128)-ROW($A$3)+1),ROWS(A$4:A268))),"")</f>
        <v>46225</v>
      </c>
      <c r="B268" s="19" t="str">
        <f t="array" ref="B268">IF(ROWS(B$4:B268)&lt;=$B$2,INDEX(data!A$3:A$16128,SMALL(IF(data!$D$3:$D$16128='Люлин'!$B$1,ROW(data!$A$3:$A$16128)-ROW($A$3)+1),ROWS(B$4:B268))),"")</f>
        <v>каса ФИКТИВНА</v>
      </c>
      <c r="C268" s="19">
        <f t="array" ref="C268">IF(ROWS(C$4:C268)&lt;=$B$2,INDEX(data!B$3:B$16128,SMALL(IF(data!$D$3:$D$16128='Люлин'!$B$1,ROW(data!$A$3:$A$16128)-ROW($A$3)+1),ROWS(C$4:C268))),"")</f>
        <v>-86.5</v>
      </c>
      <c r="D268" s="7" t="str">
        <f t="array" ref="D268">IF(ROWS(D$4:D268)&lt;=$B$2,INDEX(data!E$3:E$16128,SMALL(IF(data!$D$3:$D$16128='Люлин'!$B$1,ROW(data!$A$3:$A$16128)-ROW($A$3)+1),ROWS(D$4:D268))),"")</f>
        <v>пазар шефа 20.07</v>
      </c>
      <c r="E268" s="11"/>
      <c r="F268" s="11"/>
      <c r="G268" s="11"/>
      <c r="H268" s="14"/>
      <c r="I268" s="14"/>
      <c r="J268" s="14"/>
      <c r="K268" s="14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33">
        <f t="array" ref="A269">IF(ROWS(A$4:A269)&lt;=$B$2,INDEX(data!C$3:C$16128,SMALL(IF(data!$D$3:$D$16128='Люлин'!$B$1,ROW(data!$A$3:$A$16128)-ROW($A$3)+1),ROWS(A$4:A269))),"")</f>
        <v>46226</v>
      </c>
      <c r="B269" s="19" t="str">
        <f t="array" ref="B269">IF(ROWS(B$4:B269)&lt;=$B$2,INDEX(data!A$3:A$16128,SMALL(IF(data!$D$3:$D$16128='Люлин'!$B$1,ROW(data!$A$3:$A$16128)-ROW($A$3)+1),ROWS(B$4:B269))),"")</f>
        <v>КАСОВА КНИГА</v>
      </c>
      <c r="C269" s="19">
        <f t="array" ref="C269">IF(ROWS(C$4:C269)&lt;=$B$2,INDEX(data!B$3:B$16128,SMALL(IF(data!$D$3:$D$16128='Люлин'!$B$1,ROW(data!$A$3:$A$16128)-ROW($A$3)+1),ROWS(C$4:C269))),"")</f>
        <v>-500</v>
      </c>
      <c r="D269" s="7" t="str">
        <f t="array" ref="D269">IF(ROWS(D$4:D269)&lt;=$B$2,INDEX(data!E$3:E$16128,SMALL(IF(data!$D$3:$D$16128='Люлин'!$B$1,ROW(data!$A$3:$A$16128)-ROW($A$3)+1),ROWS(D$4:D269))),"")</f>
        <v/>
      </c>
      <c r="E269" s="11"/>
      <c r="F269" s="11"/>
      <c r="G269" s="11"/>
      <c r="H269" s="14"/>
      <c r="I269" s="14"/>
      <c r="J269" s="14"/>
      <c r="K269" s="14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33">
        <f t="array" ref="A270">IF(ROWS(A$4:A270)&lt;=$B$2,INDEX(data!C$3:C$16128,SMALL(IF(data!$D$3:$D$16128='Люлин'!$B$1,ROW(data!$A$3:$A$16128)-ROW($A$3)+1),ROWS(A$4:A270))),"")</f>
        <v>46226</v>
      </c>
      <c r="B270" s="19" t="str">
        <f t="array" ref="B270">IF(ROWS(B$4:B270)&lt;=$B$2,INDEX(data!A$3:A$16128,SMALL(IF(data!$D$3:$D$16128='Люлин'!$B$1,ROW(data!$A$3:$A$16128)-ROW($A$3)+1),ROWS(B$4:B270))),"")</f>
        <v>Каса ВАУЧЕРИ</v>
      </c>
      <c r="C270" s="19">
        <f t="array" ref="C270">IF(ROWS(C$4:C270)&lt;=$B$2,INDEX(data!B$3:B$16128,SMALL(IF(data!$D$3:$D$16128='Люлин'!$B$1,ROW(data!$A$3:$A$16128)-ROW($A$3)+1),ROWS(C$4:C270))),"")</f>
        <v>-77.36</v>
      </c>
      <c r="D270" s="7" t="str">
        <f t="array" ref="D270">IF(ROWS(D$4:D270)&lt;=$B$2,INDEX(data!E$3:E$16128,SMALL(IF(data!$D$3:$D$16128='Люлин'!$B$1,ROW(data!$A$3:$A$16128)-ROW($A$3)+1),ROWS(D$4:D270))),"")</f>
        <v>към 13.07</v>
      </c>
      <c r="E270" s="11"/>
      <c r="F270" s="11"/>
      <c r="G270" s="11"/>
      <c r="H270" s="14"/>
      <c r="I270" s="14"/>
      <c r="J270" s="14"/>
      <c r="K270" s="14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33">
        <f t="array" ref="A271">IF(ROWS(A$4:A271)&lt;=$B$2,INDEX(data!C$3:C$16128,SMALL(IF(data!$D$3:$D$16128='Люлин'!$B$1,ROW(data!$A$3:$A$16128)-ROW($A$3)+1),ROWS(A$4:A271))),"")</f>
        <v>46226</v>
      </c>
      <c r="B271" s="19" t="str">
        <f t="array" ref="B271">IF(ROWS(B$4:B271)&lt;=$B$2,INDEX(data!A$3:A$16128,SMALL(IF(data!$D$3:$D$16128='Люлин'!$B$1,ROW(data!$A$3:$A$16128)-ROW($A$3)+1),ROWS(B$4:B271))),"")</f>
        <v>каса ФИКТИВНА</v>
      </c>
      <c r="C271" s="19">
        <f t="array" ref="C271">IF(ROWS(C$4:C271)&lt;=$B$2,INDEX(data!B$3:B$16128,SMALL(IF(data!$D$3:$D$16128='Люлин'!$B$1,ROW(data!$A$3:$A$16128)-ROW($A$3)+1),ROWS(C$4:C271))),"")</f>
        <v>-280</v>
      </c>
      <c r="D271" s="7" t="str">
        <f t="array" ref="D271">IF(ROWS(D$4:D271)&lt;=$B$2,INDEX(data!E$3:E$16128,SMALL(IF(data!$D$3:$D$16128='Люлин'!$B$1,ROW(data!$A$3:$A$16128)-ROW($A$3)+1),ROWS(D$4:D271))),"")</f>
        <v>пазар шефа</v>
      </c>
      <c r="E271" s="11"/>
      <c r="F271" s="11"/>
      <c r="G271" s="11"/>
      <c r="H271" s="14"/>
      <c r="I271" s="14"/>
      <c r="J271" s="14"/>
      <c r="K271" s="14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33">
        <f t="array" ref="A272">IF(ROWS(A$4:A272)&lt;=$B$2,INDEX(data!C$3:C$16128,SMALL(IF(data!$D$3:$D$16128='Люлин'!$B$1,ROW(data!$A$3:$A$16128)-ROW($A$3)+1),ROWS(A$4:A272))),"")</f>
        <v>46227</v>
      </c>
      <c r="B272" s="19" t="str">
        <f t="array" ref="B272">IF(ROWS(B$4:B272)&lt;=$B$2,INDEX(data!A$3:A$16128,SMALL(IF(data!$D$3:$D$16128='Люлин'!$B$1,ROW(data!$A$3:$A$16128)-ROW($A$3)+1),ROWS(B$4:B272))),"")</f>
        <v>КАСОВА КНИГА</v>
      </c>
      <c r="C272" s="19">
        <f t="array" ref="C272">IF(ROWS(C$4:C272)&lt;=$B$2,INDEX(data!B$3:B$16128,SMALL(IF(data!$D$3:$D$16128='Люлин'!$B$1,ROW(data!$A$3:$A$16128)-ROW($A$3)+1),ROWS(C$4:C272))),"")</f>
        <v>-500</v>
      </c>
      <c r="D272" s="7" t="str">
        <f t="array" ref="D272">IF(ROWS(D$4:D272)&lt;=$B$2,INDEX(data!E$3:E$16128,SMALL(IF(data!$D$3:$D$16128='Люлин'!$B$1,ROW(data!$A$3:$A$16128)-ROW($A$3)+1),ROWS(D$4:D272))),"")</f>
        <v/>
      </c>
      <c r="E272" s="11"/>
      <c r="F272" s="11"/>
      <c r="G272" s="11"/>
      <c r="H272" s="14"/>
      <c r="I272" s="14"/>
      <c r="J272" s="14"/>
      <c r="K272" s="14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33">
        <f t="array" ref="A273">IF(ROWS(A$4:A273)&lt;=$B$2,INDEX(data!C$3:C$16128,SMALL(IF(data!$D$3:$D$16128='Люлин'!$B$1,ROW(data!$A$3:$A$16128)-ROW($A$3)+1),ROWS(A$4:A273))),"")</f>
        <v>46230</v>
      </c>
      <c r="B273" s="19" t="str">
        <f t="array" ref="B273">IF(ROWS(B$4:B273)&lt;=$B$2,INDEX(data!A$3:A$16128,SMALL(IF(data!$D$3:$D$16128='Люлин'!$B$1,ROW(data!$A$3:$A$16128)-ROW($A$3)+1),ROWS(B$4:B273))),"")</f>
        <v>КАСОВА КНИГА</v>
      </c>
      <c r="C273" s="19">
        <f t="array" ref="C273">IF(ROWS(C$4:C273)&lt;=$B$2,INDEX(data!B$3:B$16128,SMALL(IF(data!$D$3:$D$16128='Люлин'!$B$1,ROW(data!$A$3:$A$16128)-ROW($A$3)+1),ROWS(C$4:C273))),"")</f>
        <v>-2000</v>
      </c>
      <c r="D273" s="7" t="str">
        <f t="array" ref="D273">IF(ROWS(D$4:D273)&lt;=$B$2,INDEX(data!E$3:E$16128,SMALL(IF(data!$D$3:$D$16128='Люлин'!$B$1,ROW(data!$A$3:$A$16128)-ROW($A$3)+1),ROWS(D$4:D273))),"")</f>
        <v/>
      </c>
      <c r="E273" s="11"/>
      <c r="F273" s="11"/>
      <c r="G273" s="11"/>
      <c r="H273" s="14"/>
      <c r="I273" s="14"/>
      <c r="J273" s="14"/>
      <c r="K273" s="14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33">
        <f t="array" ref="A274">IF(ROWS(A$4:A274)&lt;=$B$2,INDEX(data!C$3:C$16128,SMALL(IF(data!$D$3:$D$16128='Люлин'!$B$1,ROW(data!$A$3:$A$16128)-ROW($A$3)+1),ROWS(A$4:A274))),"")</f>
        <v>46231</v>
      </c>
      <c r="B274" s="19" t="str">
        <f t="array" ref="B274">IF(ROWS(B$4:B274)&lt;=$B$2,INDEX(data!A$3:A$16128,SMALL(IF(data!$D$3:$D$16128='Люлин'!$B$1,ROW(data!$A$3:$A$16128)-ROW($A$3)+1),ROWS(B$4:B274))),"")</f>
        <v>MYPOS Бакалия</v>
      </c>
      <c r="C274" s="19">
        <f t="array" ref="C274">IF(ROWS(C$4:C274)&lt;=$B$2,INDEX(data!B$3:B$16128,SMALL(IF(data!$D$3:$D$16128='Люлин'!$B$1,ROW(data!$A$3:$A$16128)-ROW($A$3)+1),ROWS(C$4:C274))),"")</f>
        <v>-8698.49</v>
      </c>
      <c r="D274" s="7" t="str">
        <f t="array" ref="D274">IF(ROWS(D$4:D274)&lt;=$B$2,INDEX(data!E$3:E$16128,SMALL(IF(data!$D$3:$D$16128='Люлин'!$B$1,ROW(data!$A$3:$A$16128)-ROW($A$3)+1),ROWS(D$4:D274))),"")</f>
        <v/>
      </c>
      <c r="E274" s="11"/>
      <c r="F274" s="11"/>
      <c r="G274" s="11"/>
      <c r="H274" s="14"/>
      <c r="I274" s="14"/>
      <c r="J274" s="14"/>
      <c r="K274" s="14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3">
        <f t="array" ref="A275">IF(ROWS(A$4:A275)&lt;=$B$2,INDEX(data!C$3:C$16128,SMALL(IF(data!$D$3:$D$16128='Люлин'!$B$1,ROW(data!$A$3:$A$16128)-ROW($A$3)+1),ROWS(A$4:A275))),"")</f>
        <v>46231</v>
      </c>
      <c r="B275" s="19" t="str">
        <f t="array" ref="B275">IF(ROWS(B$4:B275)&lt;=$B$2,INDEX(data!A$3:A$16128,SMALL(IF(data!$D$3:$D$16128='Люлин'!$B$1,ROW(data!$A$3:$A$16128)-ROW($A$3)+1),ROWS(B$4:B275))),"")</f>
        <v>каса ФИКТИВНА</v>
      </c>
      <c r="C275" s="19">
        <f t="array" ref="C275">IF(ROWS(C$4:C275)&lt;=$B$2,INDEX(data!B$3:B$16128,SMALL(IF(data!$D$3:$D$16128='Люлин'!$B$1,ROW(data!$A$3:$A$16128)-ROW($A$3)+1),ROWS(C$4:C275))),"")</f>
        <v>-27</v>
      </c>
      <c r="D275" s="7" t="str">
        <f t="array" ref="D275">IF(ROWS(D$4:D275)&lt;=$B$2,INDEX(data!E$3:E$16128,SMALL(IF(data!$D$3:$D$16128='Люлин'!$B$1,ROW(data!$A$3:$A$16128)-ROW($A$3)+1),ROWS(D$4:D275))),"")</f>
        <v>Вода Милена</v>
      </c>
      <c r="E275" s="11"/>
      <c r="F275" s="11"/>
      <c r="G275" s="11"/>
      <c r="H275" s="14"/>
      <c r="I275" s="14"/>
      <c r="J275" s="14"/>
      <c r="K275" s="14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33">
        <f t="array" ref="A276">IF(ROWS(A$4:A276)&lt;=$B$2,INDEX(data!C$3:C$16128,SMALL(IF(data!$D$3:$D$16128='Люлин'!$B$1,ROW(data!$A$3:$A$16128)-ROW($A$3)+1),ROWS(A$4:A276))),"")</f>
        <v>46234</v>
      </c>
      <c r="B276" s="19" t="str">
        <f t="array" ref="B276">IF(ROWS(B$4:B276)&lt;=$B$2,INDEX(data!A$3:A$16128,SMALL(IF(data!$D$3:$D$16128='Люлин'!$B$1,ROW(data!$A$3:$A$16128)-ROW($A$3)+1),ROWS(B$4:B276))),"")</f>
        <v>Каса ВАУЧЕРИ</v>
      </c>
      <c r="C276" s="19">
        <f t="array" ref="C276">IF(ROWS(C$4:C276)&lt;=$B$2,INDEX(data!B$3:B$16128,SMALL(IF(data!$D$3:$D$16128='Люлин'!$B$1,ROW(data!$A$3:$A$16128)-ROW($A$3)+1),ROWS(C$4:C276))),"")</f>
        <v>-150.2</v>
      </c>
      <c r="D276" s="7" t="str">
        <f t="array" ref="D276">IF(ROWS(D$4:D276)&lt;=$B$2,INDEX(data!E$3:E$16128,SMALL(IF(data!$D$3:$D$16128='Люлин'!$B$1,ROW(data!$A$3:$A$16128)-ROW($A$3)+1),ROWS(D$4:D276))),"")</f>
        <v/>
      </c>
      <c r="E276" s="11"/>
      <c r="F276" s="11"/>
      <c r="G276" s="11"/>
      <c r="H276" s="14"/>
      <c r="I276" s="14"/>
      <c r="J276" s="14"/>
      <c r="K276" s="14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33">
        <f t="array" ref="A277">IF(ROWS(A$4:A277)&lt;=$B$2,INDEX(data!C$3:C$16128,SMALL(IF(data!$D$3:$D$16128='Люлин'!$B$1,ROW(data!$A$3:$A$16128)-ROW($A$3)+1),ROWS(A$4:A277))),"")</f>
        <v>46237</v>
      </c>
      <c r="B277" s="19" t="str">
        <f t="array" ref="B277">IF(ROWS(B$4:B277)&lt;=$B$2,INDEX(data!A$3:A$16128,SMALL(IF(data!$D$3:$D$16128='Люлин'!$B$1,ROW(data!$A$3:$A$16128)-ROW($A$3)+1),ROWS(B$4:B277))),"")</f>
        <v>MYPOS Бакалия</v>
      </c>
      <c r="C277" s="19">
        <f t="array" ref="C277">IF(ROWS(C$4:C277)&lt;=$B$2,INDEX(data!B$3:B$16128,SMALL(IF(data!$D$3:$D$16128='Люлин'!$B$1,ROW(data!$A$3:$A$16128)-ROW($A$3)+1),ROWS(C$4:C277))),"")</f>
        <v>-8339.88</v>
      </c>
      <c r="D277" s="7" t="str">
        <f t="array" ref="D277">IF(ROWS(D$4:D277)&lt;=$B$2,INDEX(data!E$3:E$16128,SMALL(IF(data!$D$3:$D$16128='Люлин'!$B$1,ROW(data!$A$3:$A$16128)-ROW($A$3)+1),ROWS(D$4:D277))),"")</f>
        <v/>
      </c>
      <c r="E277" s="11"/>
      <c r="F277" s="11"/>
      <c r="G277" s="11"/>
      <c r="H277" s="14"/>
      <c r="I277" s="14"/>
      <c r="J277" s="14"/>
      <c r="K277" s="14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33">
        <f t="array" ref="A278">IF(ROWS(A$4:A278)&lt;=$B$2,INDEX(data!C$3:C$16128,SMALL(IF(data!$D$3:$D$16128='Люлин'!$B$1,ROW(data!$A$3:$A$16128)-ROW($A$3)+1),ROWS(A$4:A278))),"")</f>
        <v>46237</v>
      </c>
      <c r="B278" s="19" t="str">
        <f t="array" ref="B278">IF(ROWS(B$4:B278)&lt;=$B$2,INDEX(data!A$3:A$16128,SMALL(IF(data!$D$3:$D$16128='Люлин'!$B$1,ROW(data!$A$3:$A$16128)-ROW($A$3)+1),ROWS(B$4:B278))),"")</f>
        <v>каса ФИКТИВНА</v>
      </c>
      <c r="C278" s="19">
        <f t="array" ref="C278">IF(ROWS(C$4:C278)&lt;=$B$2,INDEX(data!B$3:B$16128,SMALL(IF(data!$D$3:$D$16128='Люлин'!$B$1,ROW(data!$A$3:$A$16128)-ROW($A$3)+1),ROWS(C$4:C278))),"")</f>
        <v>-109</v>
      </c>
      <c r="D278" s="7" t="str">
        <f t="array" ref="D278">IF(ROWS(D$4:D278)&lt;=$B$2,INDEX(data!E$3:E$16128,SMALL(IF(data!$D$3:$D$16128='Люлин'!$B$1,ROW(data!$A$3:$A$16128)-ROW($A$3)+1),ROWS(D$4:D278))),"")</f>
        <v>пазар шефа</v>
      </c>
      <c r="E278" s="11"/>
      <c r="F278" s="11"/>
      <c r="G278" s="11"/>
      <c r="H278" s="14"/>
      <c r="I278" s="14"/>
      <c r="J278" s="14"/>
      <c r="K278" s="14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3">
        <f t="array" ref="A279">IF(ROWS(A$4:A279)&lt;=$B$2,INDEX(data!C$3:C$16128,SMALL(IF(data!$D$3:$D$16128='Люлин'!$B$1,ROW(data!$A$3:$A$16128)-ROW($A$3)+1),ROWS(A$4:A279))),"")</f>
        <v>46238</v>
      </c>
      <c r="B279" s="19" t="str">
        <f t="array" ref="B279">IF(ROWS(B$4:B279)&lt;=$B$2,INDEX(data!A$3:A$16128,SMALL(IF(data!$D$3:$D$16128='Люлин'!$B$1,ROW(data!$A$3:$A$16128)-ROW($A$3)+1),ROWS(B$4:B279))),"")</f>
        <v>каса ФИКТИВНА</v>
      </c>
      <c r="C279" s="19">
        <f t="array" ref="C279">IF(ROWS(C$4:C279)&lt;=$B$2,INDEX(data!B$3:B$16128,SMALL(IF(data!$D$3:$D$16128='Люлин'!$B$1,ROW(data!$A$3:$A$16128)-ROW($A$3)+1),ROWS(C$4:C279))),"")</f>
        <v>-42.5</v>
      </c>
      <c r="D279" s="7" t="str">
        <f t="array" ref="D279">IF(ROWS(D$4:D279)&lt;=$B$2,INDEX(data!E$3:E$16128,SMALL(IF(data!$D$3:$D$16128='Люлин'!$B$1,ROW(data!$A$3:$A$16128)-ROW($A$3)+1),ROWS(D$4:D279))),"")</f>
        <v>пазар шефа</v>
      </c>
      <c r="E279" s="11"/>
      <c r="F279" s="11"/>
      <c r="G279" s="11"/>
      <c r="H279" s="14"/>
      <c r="I279" s="14"/>
      <c r="J279" s="14"/>
      <c r="K279" s="14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33">
        <f t="array" ref="A280">IF(ROWS(A$4:A280)&lt;=$B$2,INDEX(data!C$3:C$16128,SMALL(IF(data!$D$3:$D$16128='Люлин'!$B$1,ROW(data!$A$3:$A$16128)-ROW($A$3)+1),ROWS(A$4:A280))),"")</f>
        <v>46239</v>
      </c>
      <c r="B280" s="19" t="str">
        <f t="array" ref="B280">IF(ROWS(B$4:B280)&lt;=$B$2,INDEX(data!A$3:A$16128,SMALL(IF(data!$D$3:$D$16128='Люлин'!$B$1,ROW(data!$A$3:$A$16128)-ROW($A$3)+1),ROWS(B$4:B280))),"")</f>
        <v>КАСОВА КНИГА</v>
      </c>
      <c r="C280" s="19">
        <f t="array" ref="C280">IF(ROWS(C$4:C280)&lt;=$B$2,INDEX(data!B$3:B$16128,SMALL(IF(data!$D$3:$D$16128='Люлин'!$B$1,ROW(data!$A$3:$A$16128)-ROW($A$3)+1),ROWS(C$4:C280))),"")</f>
        <v>-1000</v>
      </c>
      <c r="D280" s="7" t="str">
        <f t="array" ref="D280">IF(ROWS(D$4:D280)&lt;=$B$2,INDEX(data!E$3:E$16128,SMALL(IF(data!$D$3:$D$16128='Люлин'!$B$1,ROW(data!$A$3:$A$16128)-ROW($A$3)+1),ROWS(D$4:D280))),"")</f>
        <v/>
      </c>
      <c r="E280" s="11"/>
      <c r="F280" s="11"/>
      <c r="G280" s="11"/>
      <c r="H280" s="14"/>
      <c r="I280" s="14"/>
      <c r="J280" s="14"/>
      <c r="K280" s="14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33">
        <f t="array" ref="A281">IF(ROWS(A$4:A281)&lt;=$B$2,INDEX(data!C$3:C$16128,SMALL(IF(data!$D$3:$D$16128='Люлин'!$B$1,ROW(data!$A$3:$A$16128)-ROW($A$3)+1),ROWS(A$4:A281))),"")</f>
        <v>46239</v>
      </c>
      <c r="B281" s="19" t="str">
        <f t="array" ref="B281">IF(ROWS(B$4:B281)&lt;=$B$2,INDEX(data!A$3:A$16128,SMALL(IF(data!$D$3:$D$16128='Люлин'!$B$1,ROW(data!$A$3:$A$16128)-ROW($A$3)+1),ROWS(B$4:B281))),"")</f>
        <v>каса ФИКТИВНА</v>
      </c>
      <c r="C281" s="19">
        <f t="array" ref="C281">IF(ROWS(C$4:C281)&lt;=$B$2,INDEX(data!B$3:B$16128,SMALL(IF(data!$D$3:$D$16128='Люлин'!$B$1,ROW(data!$A$3:$A$16128)-ROW($A$3)+1),ROWS(C$4:C281))),"")</f>
        <v>-33</v>
      </c>
      <c r="D281" s="7" t="str">
        <f t="array" ref="D281">IF(ROWS(D$4:D281)&lt;=$B$2,INDEX(data!E$3:E$16128,SMALL(IF(data!$D$3:$D$16128='Люлин'!$B$1,ROW(data!$A$3:$A$16128)-ROW($A$3)+1),ROWS(D$4:D281))),"")</f>
        <v>пазар шефа</v>
      </c>
      <c r="E281" s="11"/>
      <c r="F281" s="11"/>
      <c r="G281" s="11"/>
      <c r="H281" s="14"/>
      <c r="I281" s="14"/>
      <c r="J281" s="14"/>
      <c r="K281" s="14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33">
        <f t="array" ref="A282">IF(ROWS(A$4:A282)&lt;=$B$2,INDEX(data!C$3:C$16128,SMALL(IF(data!$D$3:$D$16128='Люлин'!$B$1,ROW(data!$A$3:$A$16128)-ROW($A$3)+1),ROWS(A$4:A282))),"")</f>
        <v>46244</v>
      </c>
      <c r="B282" s="19" t="str">
        <f t="array" ref="B282">IF(ROWS(B$4:B282)&lt;=$B$2,INDEX(data!A$3:A$16128,SMALL(IF(data!$D$3:$D$16128='Люлин'!$B$1,ROW(data!$A$3:$A$16128)-ROW($A$3)+1),ROWS(B$4:B282))),"")</f>
        <v>MYPOS Бакалия</v>
      </c>
      <c r="C282" s="19">
        <f t="array" ref="C282">IF(ROWS(C$4:C282)&lt;=$B$2,INDEX(data!B$3:B$16128,SMALL(IF(data!$D$3:$D$16128='Люлин'!$B$1,ROW(data!$A$3:$A$16128)-ROW($A$3)+1),ROWS(C$4:C282))),"")</f>
        <v>-8965.73</v>
      </c>
      <c r="D282" s="7" t="str">
        <f t="array" ref="D282">IF(ROWS(D$4:D282)&lt;=$B$2,INDEX(data!E$3:E$16128,SMALL(IF(data!$D$3:$D$16128='Люлин'!$B$1,ROW(data!$A$3:$A$16128)-ROW($A$3)+1),ROWS(D$4:D282))),"")</f>
        <v/>
      </c>
      <c r="E282" s="11"/>
      <c r="F282" s="11"/>
      <c r="G282" s="11"/>
      <c r="H282" s="14"/>
      <c r="I282" s="14"/>
      <c r="J282" s="14"/>
      <c r="K282" s="1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33">
        <f t="array" ref="A283">IF(ROWS(A$4:A283)&lt;=$B$2,INDEX(data!C$3:C$16128,SMALL(IF(data!$D$3:$D$16128='Люлин'!$B$1,ROW(data!$A$3:$A$16128)-ROW($A$3)+1),ROWS(A$4:A283))),"")</f>
        <v>46244</v>
      </c>
      <c r="B283" s="19" t="str">
        <f t="array" ref="B283">IF(ROWS(B$4:B283)&lt;=$B$2,INDEX(data!A$3:A$16128,SMALL(IF(data!$D$3:$D$16128='Люлин'!$B$1,ROW(data!$A$3:$A$16128)-ROW($A$3)+1),ROWS(B$4:B283))),"")</f>
        <v>КАСОВА КНИГА</v>
      </c>
      <c r="C283" s="19">
        <f t="array" ref="C283">IF(ROWS(C$4:C283)&lt;=$B$2,INDEX(data!B$3:B$16128,SMALL(IF(data!$D$3:$D$16128='Люлин'!$B$1,ROW(data!$A$3:$A$16128)-ROW($A$3)+1),ROWS(C$4:C283))),"")</f>
        <v>-1500</v>
      </c>
      <c r="D283" s="7" t="str">
        <f t="array" ref="D283">IF(ROWS(D$4:D283)&lt;=$B$2,INDEX(data!E$3:E$16128,SMALL(IF(data!$D$3:$D$16128='Люлин'!$B$1,ROW(data!$A$3:$A$16128)-ROW($A$3)+1),ROWS(D$4:D283))),"")</f>
        <v/>
      </c>
      <c r="E283" s="11"/>
      <c r="F283" s="11"/>
      <c r="G283" s="11"/>
      <c r="H283" s="14"/>
      <c r="I283" s="14"/>
      <c r="J283" s="14"/>
      <c r="K283" s="14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33">
        <f t="array" ref="A284">IF(ROWS(A$4:A284)&lt;=$B$2,INDEX(data!C$3:C$16128,SMALL(IF(data!$D$3:$D$16128='Люлин'!$B$1,ROW(data!$A$3:$A$16128)-ROW($A$3)+1),ROWS(A$4:A284))),"")</f>
        <v>46244</v>
      </c>
      <c r="B284" s="19" t="str">
        <f t="array" ref="B284">IF(ROWS(B$4:B284)&lt;=$B$2,INDEX(data!A$3:A$16128,SMALL(IF(data!$D$3:$D$16128='Люлин'!$B$1,ROW(data!$A$3:$A$16128)-ROW($A$3)+1),ROWS(B$4:B284))),"")</f>
        <v>КАСОВА КНИГА</v>
      </c>
      <c r="C284" s="19">
        <f t="array" ref="C284">IF(ROWS(C$4:C284)&lt;=$B$2,INDEX(data!B$3:B$16128,SMALL(IF(data!$D$3:$D$16128='Люлин'!$B$1,ROW(data!$A$3:$A$16128)-ROW($A$3)+1),ROWS(C$4:C284))),"")</f>
        <v>-1000</v>
      </c>
      <c r="D284" s="7" t="str">
        <f t="array" ref="D284">IF(ROWS(D$4:D284)&lt;=$B$2,INDEX(data!E$3:E$16128,SMALL(IF(data!$D$3:$D$16128='Люлин'!$B$1,ROW(data!$A$3:$A$16128)-ROW($A$3)+1),ROWS(D$4:D284))),"")</f>
        <v>1000 от 08.08</v>
      </c>
      <c r="E284" s="11"/>
      <c r="F284" s="11"/>
      <c r="G284" s="11"/>
      <c r="H284" s="14"/>
      <c r="I284" s="14"/>
      <c r="J284" s="14"/>
      <c r="K284" s="14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33">
        <f t="array" ref="A285">IF(ROWS(A$4:A285)&lt;=$B$2,INDEX(data!C$3:C$16128,SMALL(IF(data!$D$3:$D$16128='Люлин'!$B$1,ROW(data!$A$3:$A$16128)-ROW($A$3)+1),ROWS(A$4:A285))),"")</f>
        <v>46244</v>
      </c>
      <c r="B285" s="19" t="str">
        <f t="array" ref="B285">IF(ROWS(B$4:B285)&lt;=$B$2,INDEX(data!A$3:A$16128,SMALL(IF(data!$D$3:$D$16128='Люлин'!$B$1,ROW(data!$A$3:$A$16128)-ROW($A$3)+1),ROWS(B$4:B285))),"")</f>
        <v>каса ФИКТИВНА</v>
      </c>
      <c r="C285" s="19">
        <f t="array" ref="C285">IF(ROWS(C$4:C285)&lt;=$B$2,INDEX(data!B$3:B$16128,SMALL(IF(data!$D$3:$D$16128='Люлин'!$B$1,ROW(data!$A$3:$A$16128)-ROW($A$3)+1),ROWS(C$4:C285))),"")</f>
        <v>-15.4</v>
      </c>
      <c r="D285" s="7" t="str">
        <f t="array" ref="D285">IF(ROWS(D$4:D285)&lt;=$B$2,INDEX(data!E$3:E$16128,SMALL(IF(data!$D$3:$D$16128='Люлин'!$B$1,ROW(data!$A$3:$A$16128)-ROW($A$3)+1),ROWS(D$4:D285))),"")</f>
        <v>пазар Ния</v>
      </c>
      <c r="E285" s="11"/>
      <c r="F285" s="11"/>
      <c r="G285" s="11"/>
      <c r="H285" s="14"/>
      <c r="I285" s="14"/>
      <c r="J285" s="14"/>
      <c r="K285" s="14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33">
        <f t="array" ref="A286">IF(ROWS(A$4:A286)&lt;=$B$2,INDEX(data!C$3:C$16128,SMALL(IF(data!$D$3:$D$16128='Люлин'!$B$1,ROW(data!$A$3:$A$16128)-ROW($A$3)+1),ROWS(A$4:A286))),"")</f>
        <v>46244</v>
      </c>
      <c r="B286" s="19" t="str">
        <f t="array" ref="B286">IF(ROWS(B$4:B286)&lt;=$B$2,INDEX(data!A$3:A$16128,SMALL(IF(data!$D$3:$D$16128='Люлин'!$B$1,ROW(data!$A$3:$A$16128)-ROW($A$3)+1),ROWS(B$4:B286))),"")</f>
        <v>каса ФИКТИВНА</v>
      </c>
      <c r="C286" s="19">
        <f t="array" ref="C286">IF(ROWS(C$4:C286)&lt;=$B$2,INDEX(data!B$3:B$16128,SMALL(IF(data!$D$3:$D$16128='Люлин'!$B$1,ROW(data!$A$3:$A$16128)-ROW($A$3)+1),ROWS(C$4:C286))),"")</f>
        <v>-134</v>
      </c>
      <c r="D286" s="7" t="str">
        <f t="array" ref="D286">IF(ROWS(D$4:D286)&lt;=$B$2,INDEX(data!E$3:E$16128,SMALL(IF(data!$D$3:$D$16128='Люлин'!$B$1,ROW(data!$A$3:$A$16128)-ROW($A$3)+1),ROWS(D$4:D286))),"")</f>
        <v>пазар Тихомир</v>
      </c>
      <c r="E286" s="11"/>
      <c r="F286" s="11"/>
      <c r="G286" s="11"/>
      <c r="H286" s="14"/>
      <c r="I286" s="14"/>
      <c r="J286" s="14"/>
      <c r="K286" s="14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33">
        <f t="array" ref="A287">IF(ROWS(A$4:A287)&lt;=$B$2,INDEX(data!C$3:C$16128,SMALL(IF(data!$D$3:$D$16128='Люлин'!$B$1,ROW(data!$A$3:$A$16128)-ROW($A$3)+1),ROWS(A$4:A287))),"")</f>
        <v>46245</v>
      </c>
      <c r="B287" s="19" t="str">
        <f t="array" ref="B287">IF(ROWS(B$4:B287)&lt;=$B$2,INDEX(data!A$3:A$16128,SMALL(IF(data!$D$3:$D$16128='Люлин'!$B$1,ROW(data!$A$3:$A$16128)-ROW($A$3)+1),ROWS(B$4:B287))),"")</f>
        <v>КАСОВА КНИГА</v>
      </c>
      <c r="C287" s="19">
        <f t="array" ref="C287">IF(ROWS(C$4:C287)&lt;=$B$2,INDEX(data!B$3:B$16128,SMALL(IF(data!$D$3:$D$16128='Люлин'!$B$1,ROW(data!$A$3:$A$16128)-ROW($A$3)+1),ROWS(C$4:C287))),"")</f>
        <v>-1000</v>
      </c>
      <c r="D287" s="7" t="str">
        <f t="array" ref="D287">IF(ROWS(D$4:D287)&lt;=$B$2,INDEX(data!E$3:E$16128,SMALL(IF(data!$D$3:$D$16128='Люлин'!$B$1,ROW(data!$A$3:$A$16128)-ROW($A$3)+1),ROWS(D$4:D287))),"")</f>
        <v/>
      </c>
      <c r="E287" s="11"/>
      <c r="F287" s="11"/>
      <c r="G287" s="11"/>
      <c r="H287" s="14"/>
      <c r="I287" s="14"/>
      <c r="J287" s="14"/>
      <c r="K287" s="14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33">
        <f t="array" ref="A288">IF(ROWS(A$4:A288)&lt;=$B$2,INDEX(data!C$3:C$16128,SMALL(IF(data!$D$3:$D$16128='Люлин'!$B$1,ROW(data!$A$3:$A$16128)-ROW($A$3)+1),ROWS(A$4:A288))),"")</f>
        <v>46245</v>
      </c>
      <c r="B288" s="19" t="str">
        <f t="array" ref="B288">IF(ROWS(B$4:B288)&lt;=$B$2,INDEX(data!A$3:A$16128,SMALL(IF(data!$D$3:$D$16128='Люлин'!$B$1,ROW(data!$A$3:$A$16128)-ROW($A$3)+1),ROWS(B$4:B288))),"")</f>
        <v>каса ФИКТИВНА</v>
      </c>
      <c r="C288" s="19">
        <f t="array" ref="C288">IF(ROWS(C$4:C288)&lt;=$B$2,INDEX(data!B$3:B$16128,SMALL(IF(data!$D$3:$D$16128='Люлин'!$B$1,ROW(data!$A$3:$A$16128)-ROW($A$3)+1),ROWS(C$4:C288))),"")</f>
        <v>-21</v>
      </c>
      <c r="D288" s="7" t="str">
        <f t="array" ref="D288">IF(ROWS(D$4:D288)&lt;=$B$2,INDEX(data!E$3:E$16128,SMALL(IF(data!$D$3:$D$16128='Люлин'!$B$1,ROW(data!$A$3:$A$16128)-ROW($A$3)+1),ROWS(D$4:D288))),"")</f>
        <v>пазар Стаси</v>
      </c>
      <c r="E288" s="11"/>
      <c r="F288" s="11"/>
      <c r="G288" s="11"/>
      <c r="H288" s="14"/>
      <c r="I288" s="14"/>
      <c r="J288" s="14"/>
      <c r="K288" s="14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3">
        <f t="array" ref="A289">IF(ROWS(A$4:A289)&lt;=$B$2,INDEX(data!C$3:C$16128,SMALL(IF(data!$D$3:$D$16128='Люлин'!$B$1,ROW(data!$A$3:$A$16128)-ROW($A$3)+1),ROWS(A$4:A289))),"")</f>
        <v>46246</v>
      </c>
      <c r="B289" s="19" t="str">
        <f t="array" ref="B289">IF(ROWS(B$4:B289)&lt;=$B$2,INDEX(data!A$3:A$16128,SMALL(IF(data!$D$3:$D$16128='Люлин'!$B$1,ROW(data!$A$3:$A$16128)-ROW($A$3)+1),ROWS(B$4:B289))),"")</f>
        <v>КАСОВА КНИГА</v>
      </c>
      <c r="C289" s="19">
        <f t="array" ref="C289">IF(ROWS(C$4:C289)&lt;=$B$2,INDEX(data!B$3:B$16128,SMALL(IF(data!$D$3:$D$16128='Люлин'!$B$1,ROW(data!$A$3:$A$16128)-ROW($A$3)+1),ROWS(C$4:C289))),"")</f>
        <v>-500</v>
      </c>
      <c r="D289" s="7" t="str">
        <f t="array" ref="D289">IF(ROWS(D$4:D289)&lt;=$B$2,INDEX(data!E$3:E$16128,SMALL(IF(data!$D$3:$D$16128='Люлин'!$B$1,ROW(data!$A$3:$A$16128)-ROW($A$3)+1),ROWS(D$4:D289))),"")</f>
        <v/>
      </c>
      <c r="E289" s="11"/>
      <c r="F289" s="11"/>
      <c r="G289" s="11"/>
      <c r="H289" s="14"/>
      <c r="I289" s="14"/>
      <c r="J289" s="14"/>
      <c r="K289" s="14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33">
        <f t="array" ref="A290">IF(ROWS(A$4:A290)&lt;=$B$2,INDEX(data!C$3:C$16128,SMALL(IF(data!$D$3:$D$16128='Люлин'!$B$1,ROW(data!$A$3:$A$16128)-ROW($A$3)+1),ROWS(A$4:A290))),"")</f>
        <v>46246</v>
      </c>
      <c r="B290" s="19" t="str">
        <f t="array" ref="B290">IF(ROWS(B$4:B290)&lt;=$B$2,INDEX(data!A$3:A$16128,SMALL(IF(data!$D$3:$D$16128='Люлин'!$B$1,ROW(data!$A$3:$A$16128)-ROW($A$3)+1),ROWS(B$4:B290))),"")</f>
        <v>каса ФИКТИВНА</v>
      </c>
      <c r="C290" s="19">
        <f t="array" ref="C290">IF(ROWS(C$4:C290)&lt;=$B$2,INDEX(data!B$3:B$16128,SMALL(IF(data!$D$3:$D$16128='Люлин'!$B$1,ROW(data!$A$3:$A$16128)-ROW($A$3)+1),ROWS(C$4:C290))),"")</f>
        <v>-14</v>
      </c>
      <c r="D290" s="7" t="str">
        <f t="array" ref="D290">IF(ROWS(D$4:D290)&lt;=$B$2,INDEX(data!E$3:E$16128,SMALL(IF(data!$D$3:$D$16128='Люлин'!$B$1,ROW(data!$A$3:$A$16128)-ROW($A$3)+1),ROWS(D$4:D290))),"")</f>
        <v>галони Милена</v>
      </c>
      <c r="E290" s="11"/>
      <c r="F290" s="11"/>
      <c r="G290" s="11"/>
      <c r="H290" s="14"/>
      <c r="I290" s="14"/>
      <c r="J290" s="14"/>
      <c r="K290" s="14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33">
        <f t="array" ref="A291">IF(ROWS(A$4:A291)&lt;=$B$2,INDEX(data!C$3:C$16128,SMALL(IF(data!$D$3:$D$16128='Люлин'!$B$1,ROW(data!$A$3:$A$16128)-ROW($A$3)+1),ROWS(A$4:A291))),"")</f>
        <v>46246</v>
      </c>
      <c r="B291" s="19" t="str">
        <f t="array" ref="B291">IF(ROWS(B$4:B291)&lt;=$B$2,INDEX(data!A$3:A$16128,SMALL(IF(data!$D$3:$D$16128='Люлин'!$B$1,ROW(data!$A$3:$A$16128)-ROW($A$3)+1),ROWS(B$4:B291))),"")</f>
        <v>каса ФИКТИВНА</v>
      </c>
      <c r="C291" s="19">
        <f t="array" ref="C291">IF(ROWS(C$4:C291)&lt;=$B$2,INDEX(data!B$3:B$16128,SMALL(IF(data!$D$3:$D$16128='Люлин'!$B$1,ROW(data!$A$3:$A$16128)-ROW($A$3)+1),ROWS(C$4:C291))),"")</f>
        <v>-64</v>
      </c>
      <c r="D291" s="7" t="str">
        <f t="array" ref="D291">IF(ROWS(D$4:D291)&lt;=$B$2,INDEX(data!E$3:E$16128,SMALL(IF(data!$D$3:$D$16128='Люлин'!$B$1,ROW(data!$A$3:$A$16128)-ROW($A$3)+1),ROWS(D$4:D291))),"")</f>
        <v>пазар шефа</v>
      </c>
      <c r="E291" s="11"/>
      <c r="F291" s="11"/>
      <c r="G291" s="11"/>
      <c r="H291" s="14"/>
      <c r="I291" s="14"/>
      <c r="J291" s="14"/>
      <c r="K291" s="14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33">
        <f t="array" ref="A292">IF(ROWS(A$4:A292)&lt;=$B$2,INDEX(data!C$3:C$16128,SMALL(IF(data!$D$3:$D$16128='Люлин'!$B$1,ROW(data!$A$3:$A$16128)-ROW($A$3)+1),ROWS(A$4:A292))),"")</f>
        <v>46247</v>
      </c>
      <c r="B292" s="19" t="str">
        <f t="array" ref="B292">IF(ROWS(B$4:B292)&lt;=$B$2,INDEX(data!A$3:A$16128,SMALL(IF(data!$D$3:$D$16128='Люлин'!$B$1,ROW(data!$A$3:$A$16128)-ROW($A$3)+1),ROWS(B$4:B292))),"")</f>
        <v>каса ФИКТИВНА</v>
      </c>
      <c r="C292" s="19">
        <f t="array" ref="C292">IF(ROWS(C$4:C292)&lt;=$B$2,INDEX(data!B$3:B$16128,SMALL(IF(data!$D$3:$D$16128='Люлин'!$B$1,ROW(data!$A$3:$A$16128)-ROW($A$3)+1),ROWS(C$4:C292))),"")</f>
        <v>-205</v>
      </c>
      <c r="D292" s="7" t="str">
        <f t="array" ref="D292">IF(ROWS(D$4:D292)&lt;=$B$2,INDEX(data!E$3:E$16128,SMALL(IF(data!$D$3:$D$16128='Люлин'!$B$1,ROW(data!$A$3:$A$16128)-ROW($A$3)+1),ROWS(D$4:D292))),"")</f>
        <v>пазар шефа</v>
      </c>
      <c r="E292" s="11"/>
      <c r="F292" s="11"/>
      <c r="G292" s="11"/>
      <c r="H292" s="14"/>
      <c r="I292" s="14"/>
      <c r="J292" s="14"/>
      <c r="K292" s="14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33">
        <f t="array" ref="A293">IF(ROWS(A$4:A293)&lt;=$B$2,INDEX(data!C$3:C$16128,SMALL(IF(data!$D$3:$D$16128='Люлин'!$B$1,ROW(data!$A$3:$A$16128)-ROW($A$3)+1),ROWS(A$4:A293))),"")</f>
        <v>46248</v>
      </c>
      <c r="B293" s="19" t="str">
        <f t="array" ref="B293">IF(ROWS(B$4:B293)&lt;=$B$2,INDEX(data!A$3:A$16128,SMALL(IF(data!$D$3:$D$16128='Люлин'!$B$1,ROW(data!$A$3:$A$16128)-ROW($A$3)+1),ROWS(B$4:B293))),"")</f>
        <v>КАСОВА КНИГА</v>
      </c>
      <c r="C293" s="19">
        <f t="array" ref="C293">IF(ROWS(C$4:C293)&lt;=$B$2,INDEX(data!B$3:B$16128,SMALL(IF(data!$D$3:$D$16128='Люлин'!$B$1,ROW(data!$A$3:$A$16128)-ROW($A$3)+1),ROWS(C$4:C293))),"")</f>
        <v>-500</v>
      </c>
      <c r="D293" s="7" t="str">
        <f t="array" ref="D293">IF(ROWS(D$4:D293)&lt;=$B$2,INDEX(data!E$3:E$16128,SMALL(IF(data!$D$3:$D$16128='Люлин'!$B$1,ROW(data!$A$3:$A$16128)-ROW($A$3)+1),ROWS(D$4:D293))),"")</f>
        <v/>
      </c>
      <c r="E293" s="11"/>
      <c r="F293" s="11"/>
      <c r="G293" s="11"/>
      <c r="H293" s="14"/>
      <c r="I293" s="14"/>
      <c r="J293" s="14"/>
      <c r="K293" s="14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33">
        <f t="array" ref="A294">IF(ROWS(A$4:A294)&lt;=$B$2,INDEX(data!C$3:C$16128,SMALL(IF(data!$D$3:$D$16128='Люлин'!$B$1,ROW(data!$A$3:$A$16128)-ROW($A$3)+1),ROWS(A$4:A294))),"")</f>
        <v>46248</v>
      </c>
      <c r="B294" s="19" t="str">
        <f t="array" ref="B294">IF(ROWS(B$4:B294)&lt;=$B$2,INDEX(data!A$3:A$16128,SMALL(IF(data!$D$3:$D$16128='Люлин'!$B$1,ROW(data!$A$3:$A$16128)-ROW($A$3)+1),ROWS(B$4:B294))),"")</f>
        <v>Каса ВАУЧЕРИ</v>
      </c>
      <c r="C294" s="19">
        <f t="array" ref="C294">IF(ROWS(C$4:C294)&lt;=$B$2,INDEX(data!B$3:B$16128,SMALL(IF(data!$D$3:$D$16128='Люлин'!$B$1,ROW(data!$A$3:$A$16128)-ROW($A$3)+1),ROWS(C$4:C294))),"")</f>
        <v>-78</v>
      </c>
      <c r="D294" s="7" t="str">
        <f t="array" ref="D294">IF(ROWS(D$4:D294)&lt;=$B$2,INDEX(data!E$3:E$16128,SMALL(IF(data!$D$3:$D$16128='Люлин'!$B$1,ROW(data!$A$3:$A$16128)-ROW($A$3)+1),ROWS(D$4:D294))),"")</f>
        <v>към 29.07</v>
      </c>
      <c r="E294" s="11"/>
      <c r="F294" s="11"/>
      <c r="G294" s="11"/>
      <c r="H294" s="14"/>
      <c r="I294" s="14"/>
      <c r="J294" s="14"/>
      <c r="K294" s="14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33">
        <f t="array" ref="A295">IF(ROWS(A$4:A295)&lt;=$B$2,INDEX(data!C$3:C$16128,SMALL(IF(data!$D$3:$D$16128='Люлин'!$B$1,ROW(data!$A$3:$A$16128)-ROW($A$3)+1),ROWS(A$4:A295))),"")</f>
        <v>46248</v>
      </c>
      <c r="B295" s="19" t="str">
        <f t="array" ref="B295">IF(ROWS(B$4:B295)&lt;=$B$2,INDEX(data!A$3:A$16128,SMALL(IF(data!$D$3:$D$16128='Люлин'!$B$1,ROW(data!$A$3:$A$16128)-ROW($A$3)+1),ROWS(B$4:B295))),"")</f>
        <v>Каса ВАУЧЕРИ</v>
      </c>
      <c r="C295" s="19">
        <f t="array" ref="C295">IF(ROWS(C$4:C295)&lt;=$B$2,INDEX(data!B$3:B$16128,SMALL(IF(data!$D$3:$D$16128='Люлин'!$B$1,ROW(data!$A$3:$A$16128)-ROW($A$3)+1),ROWS(C$4:C295))),"")</f>
        <v>-25</v>
      </c>
      <c r="D295" s="7" t="str">
        <f t="array" ref="D295">IF(ROWS(D$4:D295)&lt;=$B$2,INDEX(data!E$3:E$16128,SMALL(IF(data!$D$3:$D$16128='Люлин'!$B$1,ROW(data!$A$3:$A$16128)-ROW($A$3)+1),ROWS(D$4:D295))),"")</f>
        <v>към 03.08</v>
      </c>
      <c r="E295" s="11"/>
      <c r="F295" s="11"/>
      <c r="G295" s="11"/>
      <c r="H295" s="14"/>
      <c r="I295" s="14"/>
      <c r="J295" s="14"/>
      <c r="K295" s="14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33">
        <f t="array" ref="A296">IF(ROWS(A$4:A296)&lt;=$B$2,INDEX(data!C$3:C$16128,SMALL(IF(data!$D$3:$D$16128='Люлин'!$B$1,ROW(data!$A$3:$A$16128)-ROW($A$3)+1),ROWS(A$4:A296))),"")</f>
        <v>46249</v>
      </c>
      <c r="B296" s="19" t="str">
        <f t="array" ref="B296">IF(ROWS(B$4:B296)&lt;=$B$2,INDEX(data!A$3:A$16128,SMALL(IF(data!$D$3:$D$16128='Люлин'!$B$1,ROW(data!$A$3:$A$16128)-ROW($A$3)+1),ROWS(B$4:B296))),"")</f>
        <v>КАСОВА КНИГА</v>
      </c>
      <c r="C296" s="19">
        <f t="array" ref="C296">IF(ROWS(C$4:C296)&lt;=$B$2,INDEX(data!B$3:B$16128,SMALL(IF(data!$D$3:$D$16128='Люлин'!$B$1,ROW(data!$A$3:$A$16128)-ROW($A$3)+1),ROWS(C$4:C296))),"")</f>
        <v>-1000</v>
      </c>
      <c r="D296" s="7" t="str">
        <f t="array" ref="D296">IF(ROWS(D$4:D296)&lt;=$B$2,INDEX(data!E$3:E$16128,SMALL(IF(data!$D$3:$D$16128='Люлин'!$B$1,ROW(data!$A$3:$A$16128)-ROW($A$3)+1),ROWS(D$4:D296))),"")</f>
        <v/>
      </c>
      <c r="E296" s="11"/>
      <c r="F296" s="11"/>
      <c r="G296" s="11"/>
      <c r="H296" s="14"/>
      <c r="I296" s="14"/>
      <c r="J296" s="14"/>
      <c r="K296" s="14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33">
        <f t="array" ref="A297">IF(ROWS(A$4:A297)&lt;=$B$2,INDEX(data!C$3:C$16128,SMALL(IF(data!$D$3:$D$16128='Люлин'!$B$1,ROW(data!$A$3:$A$16128)-ROW($A$3)+1),ROWS(A$4:A297))),"")</f>
        <v>46251</v>
      </c>
      <c r="B297" s="19" t="str">
        <f t="array" ref="B297">IF(ROWS(B$4:B297)&lt;=$B$2,INDEX(data!A$3:A$16128,SMALL(IF(data!$D$3:$D$16128='Люлин'!$B$1,ROW(data!$A$3:$A$16128)-ROW($A$3)+1),ROWS(B$4:B297))),"")</f>
        <v>MYPOS Бакалия</v>
      </c>
      <c r="C297" s="19">
        <f t="array" ref="C297">IF(ROWS(C$4:C297)&lt;=$B$2,INDEX(data!B$3:B$16128,SMALL(IF(data!$D$3:$D$16128='Люлин'!$B$1,ROW(data!$A$3:$A$16128)-ROW($A$3)+1),ROWS(C$4:C297))),"")</f>
        <v>-8398.66</v>
      </c>
      <c r="D297" s="7" t="str">
        <f t="array" ref="D297">IF(ROWS(D$4:D297)&lt;=$B$2,INDEX(data!E$3:E$16128,SMALL(IF(data!$D$3:$D$16128='Люлин'!$B$1,ROW(data!$A$3:$A$16128)-ROW($A$3)+1),ROWS(D$4:D297))),"")</f>
        <v/>
      </c>
      <c r="E297" s="11"/>
      <c r="F297" s="11"/>
      <c r="G297" s="11"/>
      <c r="H297" s="14"/>
      <c r="I297" s="14"/>
      <c r="J297" s="14"/>
      <c r="K297" s="14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33">
        <f t="array" ref="A298">IF(ROWS(A$4:A298)&lt;=$B$2,INDEX(data!C$3:C$16128,SMALL(IF(data!$D$3:$D$16128='Люлин'!$B$1,ROW(data!$A$3:$A$16128)-ROW($A$3)+1),ROWS(A$4:A298))),"")</f>
        <v>46253</v>
      </c>
      <c r="B298" s="19" t="str">
        <f t="array" ref="B298">IF(ROWS(B$4:B298)&lt;=$B$2,INDEX(data!A$3:A$16128,SMALL(IF(data!$D$3:$D$16128='Люлин'!$B$1,ROW(data!$A$3:$A$16128)-ROW($A$3)+1),ROWS(B$4:B298))),"")</f>
        <v>КАСОВА КНИГА</v>
      </c>
      <c r="C298" s="19">
        <f t="array" ref="C298">IF(ROWS(C$4:C298)&lt;=$B$2,INDEX(data!B$3:B$16128,SMALL(IF(data!$D$3:$D$16128='Люлин'!$B$1,ROW(data!$A$3:$A$16128)-ROW($A$3)+1),ROWS(C$4:C298))),"")</f>
        <v>-1000</v>
      </c>
      <c r="D298" s="7" t="str">
        <f t="array" ref="D298">IF(ROWS(D$4:D298)&lt;=$B$2,INDEX(data!E$3:E$16128,SMALL(IF(data!$D$3:$D$16128='Люлин'!$B$1,ROW(data!$A$3:$A$16128)-ROW($A$3)+1),ROWS(D$4:D298))),"")</f>
        <v/>
      </c>
      <c r="E298" s="11"/>
      <c r="F298" s="11"/>
      <c r="G298" s="11"/>
      <c r="H298" s="14"/>
      <c r="I298" s="14"/>
      <c r="J298" s="14"/>
      <c r="K298" s="14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33">
        <f t="array" ref="A299">IF(ROWS(A$4:A299)&lt;=$B$2,INDEX(data!C$3:C$16128,SMALL(IF(data!$D$3:$D$16128='Люлин'!$B$1,ROW(data!$A$3:$A$16128)-ROW($A$3)+1),ROWS(A$4:A299))),"")</f>
        <v>46254</v>
      </c>
      <c r="B299" s="19" t="str">
        <f t="array" ref="B299">IF(ROWS(B$4:B299)&lt;=$B$2,INDEX(data!A$3:A$16128,SMALL(IF(data!$D$3:$D$16128='Люлин'!$B$1,ROW(data!$A$3:$A$16128)-ROW($A$3)+1),ROWS(B$4:B299))),"")</f>
        <v>каса ФИКТИВНА</v>
      </c>
      <c r="C299" s="19">
        <f t="array" ref="C299">IF(ROWS(C$4:C299)&lt;=$B$2,INDEX(data!B$3:B$16128,SMALL(IF(data!$D$3:$D$16128='Люлин'!$B$1,ROW(data!$A$3:$A$16128)-ROW($A$3)+1),ROWS(C$4:C299))),"")</f>
        <v>-49.93</v>
      </c>
      <c r="D299" s="7" t="str">
        <f t="array" ref="D299">IF(ROWS(D$4:D299)&lt;=$B$2,INDEX(data!E$3:E$16128,SMALL(IF(data!$D$3:$D$16128='Люлин'!$B$1,ROW(data!$A$3:$A$16128)-ROW($A$3)+1),ROWS(D$4:D299))),"")</f>
        <v>пазар шефа</v>
      </c>
      <c r="E299" s="11"/>
      <c r="F299" s="11"/>
      <c r="G299" s="11"/>
      <c r="H299" s="14"/>
      <c r="I299" s="14"/>
      <c r="J299" s="14"/>
      <c r="K299" s="14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33">
        <f t="array" ref="A300">IF(ROWS(A$4:A300)&lt;=$B$2,INDEX(data!C$3:C$16128,SMALL(IF(data!$D$3:$D$16128='Люлин'!$B$1,ROW(data!$A$3:$A$16128)-ROW($A$3)+1),ROWS(A$4:A300))),"")</f>
        <v>46255</v>
      </c>
      <c r="B300" s="19" t="str">
        <f t="array" ref="B300">IF(ROWS(B$4:B300)&lt;=$B$2,INDEX(data!A$3:A$16128,SMALL(IF(data!$D$3:$D$16128='Люлин'!$B$1,ROW(data!$A$3:$A$16128)-ROW($A$3)+1),ROWS(B$4:B300))),"")</f>
        <v>КАСОВА КНИГА</v>
      </c>
      <c r="C300" s="19">
        <f t="array" ref="C300">IF(ROWS(C$4:C300)&lt;=$B$2,INDEX(data!B$3:B$16128,SMALL(IF(data!$D$3:$D$16128='Люлин'!$B$1,ROW(data!$A$3:$A$16128)-ROW($A$3)+1),ROWS(C$4:C300))),"")</f>
        <v>-1500</v>
      </c>
      <c r="D300" s="7" t="str">
        <f t="array" ref="D300">IF(ROWS(D$4:D300)&lt;=$B$2,INDEX(data!E$3:E$16128,SMALL(IF(data!$D$3:$D$16128='Люлин'!$B$1,ROW(data!$A$3:$A$16128)-ROW($A$3)+1),ROWS(D$4:D300))),"")</f>
        <v/>
      </c>
      <c r="E300" s="11"/>
      <c r="F300" s="11"/>
      <c r="G300" s="11"/>
      <c r="H300" s="14"/>
      <c r="I300" s="14"/>
      <c r="J300" s="14"/>
      <c r="K300" s="14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33">
        <f t="array" ref="A301">IF(ROWS(A$4:A301)&lt;=$B$2,INDEX(data!C$3:C$16128,SMALL(IF(data!$D$3:$D$16128='Люлин'!$B$1,ROW(data!$A$3:$A$16128)-ROW($A$3)+1),ROWS(A$4:A301))),"")</f>
        <v>46255</v>
      </c>
      <c r="B301" s="19" t="str">
        <f t="array" ref="B301">IF(ROWS(B$4:B301)&lt;=$B$2,INDEX(data!A$3:A$16128,SMALL(IF(data!$D$3:$D$16128='Люлин'!$B$1,ROW(data!$A$3:$A$16128)-ROW($A$3)+1),ROWS(B$4:B301))),"")</f>
        <v>Каса ВАУЧЕРИ</v>
      </c>
      <c r="C301" s="19">
        <f t="array" ref="C301">IF(ROWS(C$4:C301)&lt;=$B$2,INDEX(data!B$3:B$16128,SMALL(IF(data!$D$3:$D$16128='Люлин'!$B$1,ROW(data!$A$3:$A$16128)-ROW($A$3)+1),ROWS(C$4:C301))),"")</f>
        <v>600</v>
      </c>
      <c r="D301" s="7" t="str">
        <f t="array" ref="D301">IF(ROWS(D$4:D301)&lt;=$B$2,INDEX(data!E$3:E$16128,SMALL(IF(data!$D$3:$D$16128='Люлин'!$B$1,ROW(data!$A$3:$A$16128)-ROW($A$3)+1),ROWS(D$4:D301))),"")</f>
        <v>ваучери персонал</v>
      </c>
      <c r="E301" s="11"/>
      <c r="F301" s="11"/>
      <c r="G301" s="11"/>
      <c r="H301" s="14"/>
      <c r="I301" s="14"/>
      <c r="J301" s="14"/>
      <c r="K301" s="14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3">
        <f t="array" ref="A302">IF(ROWS(A$4:A302)&lt;=$B$2,INDEX(data!C$3:C$16128,SMALL(IF(data!$D$3:$D$16128='Люлин'!$B$1,ROW(data!$A$3:$A$16128)-ROW($A$3)+1),ROWS(A$4:A302))),"")</f>
        <v>46255</v>
      </c>
      <c r="B302" s="19" t="str">
        <f t="array" ref="B302">IF(ROWS(B$4:B302)&lt;=$B$2,INDEX(data!A$3:A$16128,SMALL(IF(data!$D$3:$D$16128='Люлин'!$B$1,ROW(data!$A$3:$A$16128)-ROW($A$3)+1),ROWS(B$4:B302))),"")</f>
        <v>каса ФИКТИВНА</v>
      </c>
      <c r="C302" s="19">
        <f t="array" ref="C302">IF(ROWS(C$4:C302)&lt;=$B$2,INDEX(data!B$3:B$16128,SMALL(IF(data!$D$3:$D$16128='Люлин'!$B$1,ROW(data!$A$3:$A$16128)-ROW($A$3)+1),ROWS(C$4:C302))),"")</f>
        <v>-134.87</v>
      </c>
      <c r="D302" s="7" t="str">
        <f t="array" ref="D302">IF(ROWS(D$4:D302)&lt;=$B$2,INDEX(data!E$3:E$16128,SMALL(IF(data!$D$3:$D$16128='Люлин'!$B$1,ROW(data!$A$3:$A$16128)-ROW($A$3)+1),ROWS(D$4:D302))),"")</f>
        <v>пазар шефа</v>
      </c>
      <c r="E302" s="11"/>
      <c r="F302" s="11"/>
      <c r="G302" s="11"/>
      <c r="H302" s="14"/>
      <c r="I302" s="14"/>
      <c r="J302" s="14"/>
      <c r="K302" s="14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33">
        <f t="array" ref="A303">IF(ROWS(A$4:A303)&lt;=$B$2,INDEX(data!C$3:C$16128,SMALL(IF(data!$D$3:$D$16128='Люлин'!$B$1,ROW(data!$A$3:$A$16128)-ROW($A$3)+1),ROWS(A$4:A303))),"")</f>
        <v>46258</v>
      </c>
      <c r="B303" s="19" t="str">
        <f t="array" ref="B303">IF(ROWS(B$4:B303)&lt;=$B$2,INDEX(data!A$3:A$16128,SMALL(IF(data!$D$3:$D$16128='Люлин'!$B$1,ROW(data!$A$3:$A$16128)-ROW($A$3)+1),ROWS(B$4:B303))),"")</f>
        <v>MYPOS Бакалия</v>
      </c>
      <c r="C303" s="19">
        <f t="array" ref="C303">IF(ROWS(C$4:C303)&lt;=$B$2,INDEX(data!B$3:B$16128,SMALL(IF(data!$D$3:$D$16128='Люлин'!$B$1,ROW(data!$A$3:$A$16128)-ROW($A$3)+1),ROWS(C$4:C303))),"")</f>
        <v>-9921.93</v>
      </c>
      <c r="D303" s="7" t="str">
        <f t="array" ref="D303">IF(ROWS(D$4:D303)&lt;=$B$2,INDEX(data!E$3:E$16128,SMALL(IF(data!$D$3:$D$16128='Люлин'!$B$1,ROW(data!$A$3:$A$16128)-ROW($A$3)+1),ROWS(D$4:D303))),"")</f>
        <v/>
      </c>
      <c r="E303" s="11"/>
      <c r="F303" s="11"/>
      <c r="G303" s="11"/>
      <c r="H303" s="14"/>
      <c r="I303" s="14"/>
      <c r="J303" s="14"/>
      <c r="K303" s="14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33">
        <f t="array" ref="A304">IF(ROWS(A$4:A304)&lt;=$B$2,INDEX(data!C$3:C$16128,SMALL(IF(data!$D$3:$D$16128='Люлин'!$B$1,ROW(data!$A$3:$A$16128)-ROW($A$3)+1),ROWS(A$4:A304))),"")</f>
        <v>46258</v>
      </c>
      <c r="B304" s="19" t="str">
        <f t="array" ref="B304">IF(ROWS(B$4:B304)&lt;=$B$2,INDEX(data!A$3:A$16128,SMALL(IF(data!$D$3:$D$16128='Люлин'!$B$1,ROW(data!$A$3:$A$16128)-ROW($A$3)+1),ROWS(B$4:B304))),"")</f>
        <v>КАСОВА КНИГА</v>
      </c>
      <c r="C304" s="19">
        <f t="array" ref="C304">IF(ROWS(C$4:C304)&lt;=$B$2,INDEX(data!B$3:B$16128,SMALL(IF(data!$D$3:$D$16128='Люлин'!$B$1,ROW(data!$A$3:$A$16128)-ROW($A$3)+1),ROWS(C$4:C304))),"")</f>
        <v>-1000</v>
      </c>
      <c r="D304" s="7" t="str">
        <f t="array" ref="D304">IF(ROWS(D$4:D304)&lt;=$B$2,INDEX(data!E$3:E$16128,SMALL(IF(data!$D$3:$D$16128='Люлин'!$B$1,ROW(data!$A$3:$A$16128)-ROW($A$3)+1),ROWS(D$4:D304))),"")</f>
        <v/>
      </c>
      <c r="E304" s="11"/>
      <c r="F304" s="11"/>
      <c r="G304" s="11"/>
      <c r="H304" s="14"/>
      <c r="I304" s="14"/>
      <c r="J304" s="14"/>
      <c r="K304" s="14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33">
        <f t="array" ref="A305">IF(ROWS(A$4:A305)&lt;=$B$2,INDEX(data!C$3:C$16128,SMALL(IF(data!$D$3:$D$16128='Люлин'!$B$1,ROW(data!$A$3:$A$16128)-ROW($A$3)+1),ROWS(A$4:A305))),"")</f>
        <v>46258</v>
      </c>
      <c r="B305" s="19" t="str">
        <f t="array" ref="B305">IF(ROWS(B$4:B305)&lt;=$B$2,INDEX(data!A$3:A$16128,SMALL(IF(data!$D$3:$D$16128='Люлин'!$B$1,ROW(data!$A$3:$A$16128)-ROW($A$3)+1),ROWS(B$4:B305))),"")</f>
        <v>КАСОВА КНИГА</v>
      </c>
      <c r="C305" s="19">
        <f t="array" ref="C305">IF(ROWS(C$4:C305)&lt;=$B$2,INDEX(data!B$3:B$16128,SMALL(IF(data!$D$3:$D$16128='Люлин'!$B$1,ROW(data!$A$3:$A$16128)-ROW($A$3)+1),ROWS(C$4:C305))),"")</f>
        <v>-1000</v>
      </c>
      <c r="D305" s="7" t="str">
        <f t="array" ref="D305">IF(ROWS(D$4:D305)&lt;=$B$2,INDEX(data!E$3:E$16128,SMALL(IF(data!$D$3:$D$16128='Люлин'!$B$1,ROW(data!$A$3:$A$16128)-ROW($A$3)+1),ROWS(D$4:D305))),"")</f>
        <v>1000 от 22.08</v>
      </c>
      <c r="E305" s="11"/>
      <c r="F305" s="11"/>
      <c r="G305" s="11"/>
      <c r="H305" s="14"/>
      <c r="I305" s="14"/>
      <c r="J305" s="14"/>
      <c r="K305" s="14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33">
        <f t="array" ref="A306">IF(ROWS(A$4:A306)&lt;=$B$2,INDEX(data!C$3:C$16128,SMALL(IF(data!$D$3:$D$16128='Люлин'!$B$1,ROW(data!$A$3:$A$16128)-ROW($A$3)+1),ROWS(A$4:A306))),"")</f>
        <v>46258</v>
      </c>
      <c r="B306" s="19" t="str">
        <f t="array" ref="B306">IF(ROWS(B$4:B306)&lt;=$B$2,INDEX(data!A$3:A$16128,SMALL(IF(data!$D$3:$D$16128='Люлин'!$B$1,ROW(data!$A$3:$A$16128)-ROW($A$3)+1),ROWS(B$4:B306))),"")</f>
        <v>каса ФИКТИВНА</v>
      </c>
      <c r="C306" s="19">
        <f t="array" ref="C306">IF(ROWS(C$4:C306)&lt;=$B$2,INDEX(data!B$3:B$16128,SMALL(IF(data!$D$3:$D$16128='Люлин'!$B$1,ROW(data!$A$3:$A$16128)-ROW($A$3)+1),ROWS(C$4:C306))),"")</f>
        <v>-101.5</v>
      </c>
      <c r="D306" s="7" t="str">
        <f t="array" ref="D306">IF(ROWS(D$4:D306)&lt;=$B$2,INDEX(data!E$3:E$16128,SMALL(IF(data!$D$3:$D$16128='Люлин'!$B$1,ROW(data!$A$3:$A$16128)-ROW($A$3)+1),ROWS(D$4:D306))),"")</f>
        <v>пазар шефа</v>
      </c>
      <c r="E306" s="11"/>
      <c r="F306" s="11"/>
      <c r="G306" s="11"/>
      <c r="H306" s="14"/>
      <c r="I306" s="14"/>
      <c r="J306" s="14"/>
      <c r="K306" s="14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33" t="str">
        <f t="array" ref="A307">IF(ROWS(A$4:A307)&lt;=$B$2,INDEX(data!C$3:C$16128,SMALL(IF(data!$D$3:$D$16128='Люлин'!$B$1,ROW(data!$A$3:$A$16128)-ROW($A$3)+1),ROWS(A$4:A307))),"")</f>
        <v/>
      </c>
      <c r="B307" s="19" t="str">
        <f t="array" ref="B307">IF(ROWS(B$4:B307)&lt;=$B$2,INDEX(data!A$3:A$16128,SMALL(IF(data!$D$3:$D$16128='Люлин'!$B$1,ROW(data!$A$3:$A$16128)-ROW($A$3)+1),ROWS(B$4:B307))),"")</f>
        <v/>
      </c>
      <c r="C307" s="19" t="str">
        <f t="array" ref="C307">IF(ROWS(C$4:C307)&lt;=$B$2,INDEX(data!B$3:B$16128,SMALL(IF(data!$D$3:$D$16128='Люлин'!$B$1,ROW(data!$A$3:$A$16128)-ROW($A$3)+1),ROWS(C$4:C307))),"")</f>
        <v/>
      </c>
      <c r="D307" s="7" t="str">
        <f t="array" ref="D307">IF(ROWS(D$4:D307)&lt;=$B$2,INDEX(data!E$3:E$16128,SMALL(IF(data!$D$3:$D$16128='Люлин'!$B$1,ROW(data!$A$3:$A$16128)-ROW($A$3)+1),ROWS(D$4:D307))),"")</f>
        <v/>
      </c>
      <c r="E307" s="11"/>
      <c r="F307" s="11"/>
      <c r="G307" s="11"/>
      <c r="H307" s="14"/>
      <c r="I307" s="14"/>
      <c r="J307" s="14"/>
      <c r="K307" s="14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33" t="str">
        <f t="array" ref="A308">IF(ROWS(A$4:A308)&lt;=$B$2,INDEX(data!C$3:C$16128,SMALL(IF(data!$D$3:$D$16128='Люлин'!$B$1,ROW(data!$A$3:$A$16128)-ROW($A$3)+1),ROWS(A$4:A308))),"")</f>
        <v/>
      </c>
      <c r="B308" s="19" t="str">
        <f t="array" ref="B308">IF(ROWS(B$4:B308)&lt;=$B$2,INDEX(data!A$3:A$16128,SMALL(IF(data!$D$3:$D$16128='Люлин'!$B$1,ROW(data!$A$3:$A$16128)-ROW($A$3)+1),ROWS(B$4:B308))),"")</f>
        <v/>
      </c>
      <c r="C308" s="19" t="str">
        <f t="array" ref="C308">IF(ROWS(C$4:C308)&lt;=$B$2,INDEX(data!B$3:B$16128,SMALL(IF(data!$D$3:$D$16128='Люлин'!$B$1,ROW(data!$A$3:$A$16128)-ROW($A$3)+1),ROWS(C$4:C308))),"")</f>
        <v/>
      </c>
      <c r="D308" s="7" t="str">
        <f t="array" ref="D308">IF(ROWS(D$4:D308)&lt;=$B$2,INDEX(data!E$3:E$16128,SMALL(IF(data!$D$3:$D$16128='Люлин'!$B$1,ROW(data!$A$3:$A$16128)-ROW($A$3)+1),ROWS(D$4:D308))),"")</f>
        <v/>
      </c>
      <c r="E308" s="11"/>
      <c r="F308" s="11"/>
      <c r="G308" s="11"/>
      <c r="H308" s="14"/>
      <c r="I308" s="14"/>
      <c r="J308" s="14"/>
      <c r="K308" s="14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33" t="str">
        <f t="array" ref="A309">IF(ROWS(A$4:A309)&lt;=$B$2,INDEX(data!C$3:C$16128,SMALL(IF(data!$D$3:$D$16128='Люлин'!$B$1,ROW(data!$A$3:$A$16128)-ROW($A$3)+1),ROWS(A$4:A309))),"")</f>
        <v/>
      </c>
      <c r="B309" s="19" t="str">
        <f t="array" ref="B309">IF(ROWS(B$4:B309)&lt;=$B$2,INDEX(data!A$3:A$16128,SMALL(IF(data!$D$3:$D$16128='Люлин'!$B$1,ROW(data!$A$3:$A$16128)-ROW($A$3)+1),ROWS(B$4:B309))),"")</f>
        <v/>
      </c>
      <c r="C309" s="19" t="str">
        <f t="array" ref="C309">IF(ROWS(C$4:C309)&lt;=$B$2,INDEX(data!B$3:B$16128,SMALL(IF(data!$D$3:$D$16128='Люлин'!$B$1,ROW(data!$A$3:$A$16128)-ROW($A$3)+1),ROWS(C$4:C309))),"")</f>
        <v/>
      </c>
      <c r="D309" s="7" t="str">
        <f t="array" ref="D309">IF(ROWS(D$4:D309)&lt;=$B$2,INDEX(data!E$3:E$16128,SMALL(IF(data!$D$3:$D$16128='Люлин'!$B$1,ROW(data!$A$3:$A$16128)-ROW($A$3)+1),ROWS(D$4:D309))),"")</f>
        <v/>
      </c>
      <c r="E309" s="11"/>
      <c r="F309" s="11"/>
      <c r="G309" s="11"/>
      <c r="H309" s="14"/>
      <c r="I309" s="14"/>
      <c r="J309" s="14"/>
      <c r="K309" s="14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33" t="str">
        <f t="array" ref="A310">IF(ROWS(A$4:A310)&lt;=$B$2,INDEX(data!C$3:C$16128,SMALL(IF(data!$D$3:$D$16128='Люлин'!$B$1,ROW(data!$A$3:$A$16128)-ROW($A$3)+1),ROWS(A$4:A310))),"")</f>
        <v/>
      </c>
      <c r="B310" s="19" t="str">
        <f t="array" ref="B310">IF(ROWS(B$4:B310)&lt;=$B$2,INDEX(data!A$3:A$16128,SMALL(IF(data!$D$3:$D$16128='Люлин'!$B$1,ROW(data!$A$3:$A$16128)-ROW($A$3)+1),ROWS(B$4:B310))),"")</f>
        <v/>
      </c>
      <c r="C310" s="19" t="str">
        <f t="array" ref="C310">IF(ROWS(C$4:C310)&lt;=$B$2,INDEX(data!B$3:B$16128,SMALL(IF(data!$D$3:$D$16128='Люлин'!$B$1,ROW(data!$A$3:$A$16128)-ROW($A$3)+1),ROWS(C$4:C310))),"")</f>
        <v/>
      </c>
      <c r="D310" s="7" t="str">
        <f t="array" ref="D310">IF(ROWS(D$4:D310)&lt;=$B$2,INDEX(data!E$3:E$16128,SMALL(IF(data!$D$3:$D$16128='Люлин'!$B$1,ROW(data!$A$3:$A$16128)-ROW($A$3)+1),ROWS(D$4:D310))),"")</f>
        <v/>
      </c>
      <c r="E310" s="11"/>
      <c r="F310" s="11"/>
      <c r="G310" s="11"/>
      <c r="H310" s="14"/>
      <c r="I310" s="14"/>
      <c r="J310" s="14"/>
      <c r="K310" s="14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39"/>
      <c r="B311" s="40"/>
      <c r="C311" s="40"/>
      <c r="D311" s="40"/>
      <c r="E311" s="11"/>
      <c r="F311" s="11"/>
      <c r="G311" s="11"/>
      <c r="H311" s="14"/>
      <c r="I311" s="14"/>
      <c r="J311" s="14"/>
      <c r="K311" s="14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39"/>
      <c r="B312" s="40"/>
      <c r="C312" s="40"/>
      <c r="D312" s="40"/>
      <c r="E312" s="11"/>
      <c r="F312" s="11"/>
      <c r="G312" s="11"/>
      <c r="H312" s="14"/>
      <c r="I312" s="14"/>
      <c r="J312" s="14"/>
      <c r="K312" s="14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39"/>
      <c r="B313" s="40"/>
      <c r="C313" s="40"/>
      <c r="D313" s="40"/>
      <c r="E313" s="11"/>
      <c r="F313" s="11"/>
      <c r="G313" s="11"/>
      <c r="H313" s="14"/>
      <c r="I313" s="14"/>
      <c r="J313" s="14"/>
      <c r="K313" s="14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39"/>
      <c r="B314" s="40"/>
      <c r="C314" s="40"/>
      <c r="D314" s="40"/>
      <c r="E314" s="11"/>
      <c r="F314" s="11"/>
      <c r="G314" s="11"/>
      <c r="H314" s="14"/>
      <c r="I314" s="14"/>
      <c r="J314" s="14"/>
      <c r="K314" s="14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39"/>
      <c r="B315" s="40"/>
      <c r="C315" s="40"/>
      <c r="D315" s="40"/>
      <c r="E315" s="11"/>
      <c r="F315" s="11"/>
      <c r="G315" s="11"/>
      <c r="H315" s="14"/>
      <c r="I315" s="14"/>
      <c r="J315" s="14"/>
      <c r="K315" s="14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39"/>
      <c r="B316" s="40"/>
      <c r="C316" s="40"/>
      <c r="D316" s="40"/>
      <c r="E316" s="11"/>
      <c r="F316" s="11"/>
      <c r="G316" s="11"/>
      <c r="H316" s="14"/>
      <c r="I316" s="14"/>
      <c r="J316" s="14"/>
      <c r="K316" s="1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39"/>
      <c r="B317" s="40"/>
      <c r="C317" s="40"/>
      <c r="D317" s="40"/>
      <c r="E317" s="11"/>
      <c r="F317" s="11"/>
      <c r="G317" s="11"/>
      <c r="H317" s="14"/>
      <c r="I317" s="14"/>
      <c r="J317" s="14"/>
      <c r="K317" s="14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39"/>
      <c r="B318" s="40"/>
      <c r="C318" s="40"/>
      <c r="D318" s="40"/>
      <c r="E318" s="11"/>
      <c r="F318" s="11"/>
      <c r="G318" s="11"/>
      <c r="H318" s="14"/>
      <c r="I318" s="14"/>
      <c r="J318" s="14"/>
      <c r="K318" s="14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39"/>
      <c r="B319" s="40"/>
      <c r="C319" s="40"/>
      <c r="D319" s="40"/>
      <c r="E319" s="11"/>
      <c r="F319" s="11"/>
      <c r="G319" s="11"/>
      <c r="H319" s="14"/>
      <c r="I319" s="14"/>
      <c r="J319" s="14"/>
      <c r="K319" s="14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39"/>
      <c r="B320" s="40"/>
      <c r="C320" s="40"/>
      <c r="D320" s="40"/>
      <c r="E320" s="11"/>
      <c r="F320" s="11"/>
      <c r="G320" s="11"/>
      <c r="H320" s="14"/>
      <c r="I320" s="14"/>
      <c r="J320" s="14"/>
      <c r="K320" s="14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39"/>
      <c r="B321" s="40"/>
      <c r="C321" s="40"/>
      <c r="D321" s="40"/>
      <c r="E321" s="11"/>
      <c r="F321" s="11"/>
      <c r="G321" s="11"/>
      <c r="H321" s="14"/>
      <c r="I321" s="14"/>
      <c r="J321" s="14"/>
      <c r="K321" s="14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39"/>
      <c r="B322" s="40"/>
      <c r="C322" s="40"/>
      <c r="D322" s="40"/>
      <c r="E322" s="11"/>
      <c r="F322" s="11"/>
      <c r="G322" s="11"/>
      <c r="H322" s="14"/>
      <c r="I322" s="14"/>
      <c r="J322" s="14"/>
      <c r="K322" s="14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39"/>
      <c r="B323" s="40"/>
      <c r="C323" s="40"/>
      <c r="D323" s="40"/>
      <c r="E323" s="11"/>
      <c r="F323" s="11"/>
      <c r="G323" s="11"/>
      <c r="H323" s="14"/>
      <c r="I323" s="14"/>
      <c r="J323" s="14"/>
      <c r="K323" s="14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39"/>
      <c r="B324" s="40"/>
      <c r="C324" s="40"/>
      <c r="D324" s="40"/>
      <c r="E324" s="11"/>
      <c r="F324" s="11"/>
      <c r="G324" s="11"/>
      <c r="H324" s="14"/>
      <c r="I324" s="14"/>
      <c r="J324" s="14"/>
      <c r="K324" s="14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39"/>
      <c r="B325" s="40"/>
      <c r="C325" s="40"/>
      <c r="D325" s="40"/>
      <c r="E325" s="11"/>
      <c r="F325" s="11"/>
      <c r="G325" s="11"/>
      <c r="H325" s="14"/>
      <c r="I325" s="14"/>
      <c r="J325" s="14"/>
      <c r="K325" s="14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39"/>
      <c r="B326" s="40"/>
      <c r="C326" s="40"/>
      <c r="D326" s="40"/>
      <c r="E326" s="11"/>
      <c r="F326" s="11"/>
      <c r="G326" s="11"/>
      <c r="H326" s="14"/>
      <c r="I326" s="14"/>
      <c r="J326" s="14"/>
      <c r="K326" s="14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39"/>
      <c r="B327" s="40"/>
      <c r="C327" s="40"/>
      <c r="D327" s="40"/>
      <c r="E327" s="11"/>
      <c r="F327" s="11"/>
      <c r="G327" s="11"/>
      <c r="H327" s="14"/>
      <c r="I327" s="14"/>
      <c r="J327" s="14"/>
      <c r="K327" s="14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39"/>
      <c r="B328" s="40"/>
      <c r="C328" s="40"/>
      <c r="D328" s="40"/>
      <c r="E328" s="11"/>
      <c r="F328" s="11"/>
      <c r="G328" s="11"/>
      <c r="H328" s="14"/>
      <c r="I328" s="14"/>
      <c r="J328" s="14"/>
      <c r="K328" s="14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39"/>
      <c r="B329" s="40"/>
      <c r="C329" s="40"/>
      <c r="D329" s="40"/>
      <c r="E329" s="11"/>
      <c r="F329" s="11"/>
      <c r="G329" s="11"/>
      <c r="H329" s="14"/>
      <c r="I329" s="14"/>
      <c r="J329" s="14"/>
      <c r="K329" s="14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39"/>
      <c r="B330" s="40"/>
      <c r="C330" s="40"/>
      <c r="D330" s="40"/>
      <c r="E330" s="11"/>
      <c r="F330" s="11"/>
      <c r="G330" s="11"/>
      <c r="H330" s="14"/>
      <c r="I330" s="14"/>
      <c r="J330" s="14"/>
      <c r="K330" s="14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39"/>
      <c r="B331" s="40"/>
      <c r="C331" s="40"/>
      <c r="D331" s="40"/>
      <c r="E331" s="11"/>
      <c r="F331" s="11"/>
      <c r="G331" s="11"/>
      <c r="H331" s="14"/>
      <c r="I331" s="14"/>
      <c r="J331" s="14"/>
      <c r="K331" s="14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9"/>
      <c r="B332" s="40"/>
      <c r="C332" s="40"/>
      <c r="D332" s="40"/>
      <c r="E332" s="11"/>
      <c r="F332" s="11"/>
      <c r="G332" s="11"/>
      <c r="H332" s="14"/>
      <c r="I332" s="14"/>
      <c r="J332" s="14"/>
      <c r="K332" s="14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39"/>
      <c r="B333" s="40"/>
      <c r="C333" s="40"/>
      <c r="D333" s="40"/>
      <c r="E333" s="11"/>
      <c r="F333" s="11"/>
      <c r="G333" s="11"/>
      <c r="H333" s="14"/>
      <c r="I333" s="14"/>
      <c r="J333" s="14"/>
      <c r="K333" s="14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39"/>
      <c r="B334" s="40"/>
      <c r="C334" s="40"/>
      <c r="D334" s="40"/>
      <c r="E334" s="11"/>
      <c r="F334" s="11"/>
      <c r="G334" s="11"/>
      <c r="H334" s="14"/>
      <c r="I334" s="14"/>
      <c r="J334" s="14"/>
      <c r="K334" s="14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39"/>
      <c r="B335" s="40"/>
      <c r="C335" s="40"/>
      <c r="D335" s="40"/>
      <c r="E335" s="11"/>
      <c r="F335" s="11"/>
      <c r="G335" s="11"/>
      <c r="H335" s="14"/>
      <c r="I335" s="14"/>
      <c r="J335" s="14"/>
      <c r="K335" s="14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39"/>
      <c r="B336" s="40"/>
      <c r="C336" s="40"/>
      <c r="D336" s="40"/>
      <c r="E336" s="11"/>
      <c r="F336" s="11"/>
      <c r="G336" s="11"/>
      <c r="H336" s="14"/>
      <c r="I336" s="14"/>
      <c r="J336" s="14"/>
      <c r="K336" s="14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39"/>
      <c r="B337" s="40"/>
      <c r="C337" s="40"/>
      <c r="D337" s="40"/>
      <c r="E337" s="11"/>
      <c r="F337" s="11"/>
      <c r="G337" s="11"/>
      <c r="H337" s="14"/>
      <c r="I337" s="14"/>
      <c r="J337" s="14"/>
      <c r="K337" s="14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39"/>
      <c r="B338" s="40"/>
      <c r="C338" s="40"/>
      <c r="D338" s="40"/>
      <c r="E338" s="11"/>
      <c r="F338" s="11"/>
      <c r="G338" s="11"/>
      <c r="H338" s="14"/>
      <c r="I338" s="14"/>
      <c r="J338" s="14"/>
      <c r="K338" s="14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39"/>
      <c r="B339" s="40"/>
      <c r="C339" s="40"/>
      <c r="D339" s="40"/>
      <c r="E339" s="11"/>
      <c r="F339" s="11"/>
      <c r="G339" s="11"/>
      <c r="H339" s="14"/>
      <c r="I339" s="14"/>
      <c r="J339" s="14"/>
      <c r="K339" s="14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39"/>
      <c r="B340" s="40"/>
      <c r="C340" s="40"/>
      <c r="D340" s="40"/>
      <c r="E340" s="11"/>
      <c r="F340" s="11"/>
      <c r="G340" s="11"/>
      <c r="H340" s="14"/>
      <c r="I340" s="14"/>
      <c r="J340" s="14"/>
      <c r="K340" s="14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39"/>
      <c r="B341" s="40"/>
      <c r="C341" s="40"/>
      <c r="D341" s="40"/>
      <c r="E341" s="11"/>
      <c r="F341" s="11"/>
      <c r="G341" s="11"/>
      <c r="H341" s="14"/>
      <c r="I341" s="14"/>
      <c r="J341" s="14"/>
      <c r="K341" s="14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39"/>
      <c r="B342" s="40"/>
      <c r="C342" s="40"/>
      <c r="D342" s="40"/>
      <c r="E342" s="11"/>
      <c r="F342" s="11"/>
      <c r="G342" s="11"/>
      <c r="H342" s="14"/>
      <c r="I342" s="14"/>
      <c r="J342" s="14"/>
      <c r="K342" s="14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39"/>
      <c r="B343" s="40"/>
      <c r="C343" s="40"/>
      <c r="D343" s="40"/>
      <c r="E343" s="11"/>
      <c r="F343" s="11"/>
      <c r="G343" s="11"/>
      <c r="H343" s="14"/>
      <c r="I343" s="14"/>
      <c r="J343" s="14"/>
      <c r="K343" s="14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39"/>
      <c r="B344" s="40"/>
      <c r="C344" s="40"/>
      <c r="D344" s="40"/>
      <c r="E344" s="11"/>
      <c r="F344" s="11"/>
      <c r="G344" s="11"/>
      <c r="H344" s="14"/>
      <c r="I344" s="14"/>
      <c r="J344" s="14"/>
      <c r="K344" s="14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39"/>
      <c r="B345" s="40"/>
      <c r="C345" s="40"/>
      <c r="D345" s="40"/>
      <c r="E345" s="11"/>
      <c r="F345" s="11"/>
      <c r="G345" s="11"/>
      <c r="H345" s="14"/>
      <c r="I345" s="14"/>
      <c r="J345" s="14"/>
      <c r="K345" s="14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39"/>
      <c r="B346" s="40"/>
      <c r="C346" s="40"/>
      <c r="D346" s="40"/>
      <c r="E346" s="11"/>
      <c r="F346" s="11"/>
      <c r="G346" s="11"/>
      <c r="H346" s="14"/>
      <c r="I346" s="14"/>
      <c r="J346" s="14"/>
      <c r="K346" s="14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39"/>
      <c r="B347" s="40"/>
      <c r="C347" s="40"/>
      <c r="D347" s="40"/>
      <c r="E347" s="11"/>
      <c r="F347" s="11"/>
      <c r="G347" s="11"/>
      <c r="H347" s="14"/>
      <c r="I347" s="14"/>
      <c r="J347" s="14"/>
      <c r="K347" s="14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39"/>
      <c r="B348" s="40"/>
      <c r="C348" s="40"/>
      <c r="D348" s="40"/>
      <c r="E348" s="11"/>
      <c r="F348" s="11"/>
      <c r="G348" s="11"/>
      <c r="H348" s="14"/>
      <c r="I348" s="14"/>
      <c r="J348" s="14"/>
      <c r="K348" s="14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39"/>
      <c r="B349" s="40"/>
      <c r="C349" s="40"/>
      <c r="D349" s="40"/>
      <c r="E349" s="11"/>
      <c r="F349" s="11"/>
      <c r="G349" s="11"/>
      <c r="H349" s="14"/>
      <c r="I349" s="14"/>
      <c r="J349" s="14"/>
      <c r="K349" s="14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39"/>
      <c r="B350" s="40"/>
      <c r="C350" s="40"/>
      <c r="D350" s="40"/>
      <c r="E350" s="11"/>
      <c r="F350" s="11"/>
      <c r="G350" s="11"/>
      <c r="H350" s="14"/>
      <c r="I350" s="14"/>
      <c r="J350" s="14"/>
      <c r="K350" s="14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39"/>
      <c r="B351" s="40"/>
      <c r="C351" s="40"/>
      <c r="D351" s="40"/>
      <c r="E351" s="11"/>
      <c r="F351" s="11"/>
      <c r="G351" s="11"/>
      <c r="H351" s="14"/>
      <c r="I351" s="14"/>
      <c r="J351" s="14"/>
      <c r="K351" s="14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39"/>
      <c r="B352" s="40"/>
      <c r="C352" s="40"/>
      <c r="D352" s="40"/>
      <c r="E352" s="11"/>
      <c r="F352" s="11"/>
      <c r="G352" s="11"/>
      <c r="H352" s="14"/>
      <c r="I352" s="14"/>
      <c r="J352" s="14"/>
      <c r="K352" s="14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39"/>
      <c r="B353" s="40"/>
      <c r="C353" s="40"/>
      <c r="D353" s="40"/>
      <c r="E353" s="11"/>
      <c r="F353" s="11"/>
      <c r="G353" s="11"/>
      <c r="H353" s="14"/>
      <c r="I353" s="14"/>
      <c r="J353" s="14"/>
      <c r="K353" s="14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39"/>
      <c r="B354" s="40"/>
      <c r="C354" s="40"/>
      <c r="D354" s="40"/>
      <c r="E354" s="11"/>
      <c r="F354" s="11"/>
      <c r="G354" s="11"/>
      <c r="H354" s="14"/>
      <c r="I354" s="14"/>
      <c r="J354" s="14"/>
      <c r="K354" s="14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39"/>
      <c r="B355" s="40"/>
      <c r="C355" s="40"/>
      <c r="D355" s="40"/>
      <c r="E355" s="11"/>
      <c r="F355" s="11"/>
      <c r="G355" s="11"/>
      <c r="H355" s="14"/>
      <c r="I355" s="14"/>
      <c r="J355" s="14"/>
      <c r="K355" s="14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39"/>
      <c r="B356" s="40"/>
      <c r="C356" s="40"/>
      <c r="D356" s="40"/>
      <c r="E356" s="11"/>
      <c r="F356" s="11"/>
      <c r="G356" s="11"/>
      <c r="H356" s="14"/>
      <c r="I356" s="14"/>
      <c r="J356" s="14"/>
      <c r="K356" s="14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39"/>
      <c r="B357" s="40"/>
      <c r="C357" s="40"/>
      <c r="D357" s="40"/>
      <c r="E357" s="11"/>
      <c r="F357" s="11"/>
      <c r="G357" s="11"/>
      <c r="H357" s="14"/>
      <c r="I357" s="14"/>
      <c r="J357" s="14"/>
      <c r="K357" s="14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39"/>
      <c r="B358" s="40"/>
      <c r="C358" s="40"/>
      <c r="D358" s="40"/>
      <c r="E358" s="11"/>
      <c r="F358" s="11"/>
      <c r="G358" s="11"/>
      <c r="H358" s="14"/>
      <c r="I358" s="14"/>
      <c r="J358" s="14"/>
      <c r="K358" s="14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39"/>
      <c r="B359" s="40"/>
      <c r="C359" s="40"/>
      <c r="D359" s="40"/>
      <c r="E359" s="11"/>
      <c r="F359" s="11"/>
      <c r="G359" s="11"/>
      <c r="H359" s="14"/>
      <c r="I359" s="14"/>
      <c r="J359" s="14"/>
      <c r="K359" s="14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39"/>
      <c r="B360" s="40"/>
      <c r="C360" s="40"/>
      <c r="D360" s="40"/>
      <c r="E360" s="11"/>
      <c r="F360" s="11"/>
      <c r="G360" s="11"/>
      <c r="H360" s="14"/>
      <c r="I360" s="14"/>
      <c r="J360" s="14"/>
      <c r="K360" s="14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39"/>
      <c r="B361" s="40"/>
      <c r="C361" s="40"/>
      <c r="D361" s="40"/>
      <c r="E361" s="11"/>
      <c r="F361" s="11"/>
      <c r="G361" s="11"/>
      <c r="H361" s="14"/>
      <c r="I361" s="14"/>
      <c r="J361" s="14"/>
      <c r="K361" s="14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39"/>
      <c r="B362" s="40"/>
      <c r="C362" s="40"/>
      <c r="D362" s="40"/>
      <c r="E362" s="11"/>
      <c r="F362" s="11"/>
      <c r="G362" s="11"/>
      <c r="H362" s="14"/>
      <c r="I362" s="14"/>
      <c r="J362" s="14"/>
      <c r="K362" s="14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39"/>
      <c r="B363" s="40"/>
      <c r="C363" s="40"/>
      <c r="D363" s="40"/>
      <c r="E363" s="11"/>
      <c r="F363" s="11"/>
      <c r="G363" s="11"/>
      <c r="H363" s="14"/>
      <c r="I363" s="14"/>
      <c r="J363" s="14"/>
      <c r="K363" s="14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39"/>
      <c r="B364" s="40"/>
      <c r="C364" s="40"/>
      <c r="D364" s="40"/>
      <c r="E364" s="11"/>
      <c r="F364" s="11"/>
      <c r="G364" s="11"/>
      <c r="H364" s="14"/>
      <c r="I364" s="14"/>
      <c r="J364" s="14"/>
      <c r="K364" s="14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39"/>
      <c r="B365" s="40"/>
      <c r="C365" s="40"/>
      <c r="D365" s="40"/>
      <c r="E365" s="11"/>
      <c r="F365" s="11"/>
      <c r="G365" s="11"/>
      <c r="H365" s="14"/>
      <c r="I365" s="14"/>
      <c r="J365" s="14"/>
      <c r="K365" s="14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39"/>
      <c r="B366" s="40"/>
      <c r="C366" s="40"/>
      <c r="D366" s="40"/>
      <c r="E366" s="11"/>
      <c r="F366" s="11"/>
      <c r="G366" s="11"/>
      <c r="H366" s="14"/>
      <c r="I366" s="14"/>
      <c r="J366" s="14"/>
      <c r="K366" s="14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39"/>
      <c r="B367" s="40"/>
      <c r="C367" s="40"/>
      <c r="D367" s="40"/>
      <c r="E367" s="11"/>
      <c r="F367" s="11"/>
      <c r="G367" s="11"/>
      <c r="H367" s="14"/>
      <c r="I367" s="14"/>
      <c r="J367" s="14"/>
      <c r="K367" s="14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39"/>
      <c r="B368" s="40"/>
      <c r="C368" s="40"/>
      <c r="D368" s="40"/>
      <c r="E368" s="11"/>
      <c r="F368" s="11"/>
      <c r="G368" s="11"/>
      <c r="H368" s="14"/>
      <c r="I368" s="14"/>
      <c r="J368" s="14"/>
      <c r="K368" s="14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39"/>
      <c r="B369" s="40"/>
      <c r="C369" s="40"/>
      <c r="D369" s="40"/>
      <c r="E369" s="11"/>
      <c r="F369" s="11"/>
      <c r="G369" s="11"/>
      <c r="H369" s="14"/>
      <c r="I369" s="14"/>
      <c r="J369" s="14"/>
      <c r="K369" s="14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39"/>
      <c r="B370" s="40"/>
      <c r="C370" s="40"/>
      <c r="D370" s="40"/>
      <c r="E370" s="11"/>
      <c r="F370" s="11"/>
      <c r="G370" s="11"/>
      <c r="H370" s="14"/>
      <c r="I370" s="14"/>
      <c r="J370" s="14"/>
      <c r="K370" s="14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39"/>
      <c r="B371" s="40"/>
      <c r="C371" s="40"/>
      <c r="D371" s="40"/>
      <c r="E371" s="11"/>
      <c r="F371" s="11"/>
      <c r="G371" s="11"/>
      <c r="H371" s="14"/>
      <c r="I371" s="14"/>
      <c r="J371" s="14"/>
      <c r="K371" s="14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39"/>
      <c r="B372" s="40"/>
      <c r="C372" s="40"/>
      <c r="D372" s="40"/>
      <c r="E372" s="11"/>
      <c r="F372" s="11"/>
      <c r="G372" s="11"/>
      <c r="H372" s="14"/>
      <c r="I372" s="14"/>
      <c r="J372" s="14"/>
      <c r="K372" s="14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39"/>
      <c r="B373" s="40"/>
      <c r="C373" s="40"/>
      <c r="D373" s="40"/>
      <c r="E373" s="11"/>
      <c r="F373" s="11"/>
      <c r="G373" s="11"/>
      <c r="H373" s="14"/>
      <c r="I373" s="14"/>
      <c r="J373" s="14"/>
      <c r="K373" s="14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39"/>
      <c r="B374" s="40"/>
      <c r="C374" s="40"/>
      <c r="D374" s="40"/>
      <c r="E374" s="11"/>
      <c r="F374" s="11"/>
      <c r="G374" s="11"/>
      <c r="H374" s="14"/>
      <c r="I374" s="14"/>
      <c r="J374" s="14"/>
      <c r="K374" s="14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39"/>
      <c r="B375" s="40"/>
      <c r="C375" s="40"/>
      <c r="D375" s="40"/>
      <c r="E375" s="11"/>
      <c r="F375" s="11"/>
      <c r="G375" s="11"/>
      <c r="H375" s="14"/>
      <c r="I375" s="14"/>
      <c r="J375" s="14"/>
      <c r="K375" s="14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39"/>
      <c r="B376" s="40"/>
      <c r="C376" s="40"/>
      <c r="D376" s="40"/>
      <c r="E376" s="11"/>
      <c r="F376" s="11"/>
      <c r="G376" s="11"/>
      <c r="H376" s="14"/>
      <c r="I376" s="14"/>
      <c r="J376" s="14"/>
      <c r="K376" s="14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39"/>
      <c r="B377" s="40"/>
      <c r="C377" s="40"/>
      <c r="D377" s="40"/>
      <c r="E377" s="11"/>
      <c r="F377" s="11"/>
      <c r="G377" s="11"/>
      <c r="H377" s="14"/>
      <c r="I377" s="14"/>
      <c r="J377" s="14"/>
      <c r="K377" s="14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39"/>
      <c r="B378" s="40"/>
      <c r="C378" s="40"/>
      <c r="D378" s="40"/>
      <c r="E378" s="11"/>
      <c r="F378" s="11"/>
      <c r="G378" s="11"/>
      <c r="H378" s="14"/>
      <c r="I378" s="14"/>
      <c r="J378" s="14"/>
      <c r="K378" s="14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39"/>
      <c r="B379" s="40"/>
      <c r="C379" s="40"/>
      <c r="D379" s="40"/>
      <c r="E379" s="11"/>
      <c r="F379" s="11"/>
      <c r="G379" s="11"/>
      <c r="H379" s="14"/>
      <c r="I379" s="14"/>
      <c r="J379" s="14"/>
      <c r="K379" s="14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</sheetData>
  <conditionalFormatting sqref="A4:D379">
    <cfRule type="cellIs" dxfId="0" priority="1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43"/>
    <col customWidth="1" min="3" max="3" width="10.14"/>
    <col customWidth="1" min="4" max="4" width="29.71"/>
    <col customWidth="1" min="5" max="5" width="10.14"/>
    <col customWidth="1" min="6" max="6" width="9.71"/>
    <col customWidth="1" min="7" max="7" width="13.29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19" t="s">
        <v>15</v>
      </c>
      <c r="C1" s="6"/>
      <c r="D1" s="7"/>
      <c r="E1" s="8" t="s">
        <v>4</v>
      </c>
      <c r="F1" s="11">
        <f>SUM(C:C)</f>
        <v>-19601.589</v>
      </c>
      <c r="G1" s="13" t="s">
        <v>6</v>
      </c>
      <c r="H1" s="14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115</v>
      </c>
      <c r="C2" s="6"/>
      <c r="D2" s="7"/>
      <c r="E2" s="21" t="s">
        <v>8</v>
      </c>
      <c r="F2" s="22">
        <v>88852.23</v>
      </c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21">
        <f>F1+F2</f>
        <v>69250.641</v>
      </c>
      <c r="G3" s="30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IF(ROWS(A$4:A4)&lt;=$B$2,INDEX(data!C$3:C$16128,SMALL(IF(data!$D$3:$D$16128='Манастирски'!$B$1,ROW(data!$A$3:$A$16128)-ROW($A$3)+1),ROWS(A$4:A4))),"")</f>
        <v>44557</v>
      </c>
      <c r="B4" s="19" t="str">
        <f t="array" ref="B4">IF(ROWS(B$4:B4)&lt;=$B$2,INDEX(data!A$3:A$16128,SMALL(IF(data!$D$3:$D$16128='Манастирски'!$B$1,ROW(data!$A$3:$A$16128)-ROW($A$3)+1),ROWS(B$4:B4))),"")</f>
        <v>MYPOS Бакалия</v>
      </c>
      <c r="C4" s="19">
        <f t="array" ref="C4">IF(ROWS(C$4:C4)&lt;=$B$2,INDEX(data!B$3:B$16128,SMALL(IF(data!$D$3:$D$16128='Манастирски'!$B$1,ROW(data!$A$3:$A$16128)-ROW($A$3)+1),ROWS(C$4:C4))),"")</f>
        <v>-0.01</v>
      </c>
      <c r="D4" s="7" t="str">
        <f t="array" ref="D4">IF(ROWS(D$4:D4)&lt;=$B$2,INDEX(data!E$3:E$16128,SMALL(IF(data!$D$3:$D$16128='Манастирски'!$B$1,ROW(data!$A$3:$A$16128)-ROW($A$3)+1),ROWS(D$4:D4))),"")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IF(ROWS(A$4:A5)&lt;=$B$2,INDEX(data!C$3:C$16128,SMALL(IF(data!$D$3:$D$16128='Манастирски'!$B$1,ROW(data!$A$3:$A$16128)-ROW($A$3)+1),ROWS(A$4:A5))),"")</f>
        <v>46025</v>
      </c>
      <c r="B5" s="19" t="str">
        <f t="array" ref="B5">IF(ROWS(B$4:B5)&lt;=$B$2,INDEX(data!A$3:A$16128,SMALL(IF(data!$D$3:$D$16128='Манастирски'!$B$1,ROW(data!$A$3:$A$16128)-ROW($A$3)+1),ROWS(B$4:B5))),"")</f>
        <v>ЗАЕМ</v>
      </c>
      <c r="C5" s="19">
        <f t="array" ref="C5">IF(ROWS(C$4:C5)&lt;=$B$2,INDEX(data!B$3:B$16128,SMALL(IF(data!$D$3:$D$16128='Манастирски'!$B$1,ROW(data!$A$3:$A$16128)-ROW($A$3)+1),ROWS(C$4:C5))),"")</f>
        <v>7756.37</v>
      </c>
      <c r="D5" s="7" t="str">
        <f t="array" ref="D5">IF(ROWS(D$4:D5)&lt;=$B$2,INDEX(data!E$3:E$16128,SMALL(IF(data!$D$3:$D$16128='Манастирски'!$B$1,ROW(data!$A$3:$A$16128)-ROW($A$3)+1),ROWS(D$4:D5))),"")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IF(ROWS(A$4:A6)&lt;=$B$2,INDEX(data!C$3:C$16128,SMALL(IF(data!$D$3:$D$16128='Манастирски'!$B$1,ROW(data!$A$3:$A$16128)-ROW($A$3)+1),ROWS(A$4:A6))),"")</f>
        <v>46027</v>
      </c>
      <c r="B6" s="19" t="str">
        <f t="array" ref="B6">IF(ROWS(B$4:B6)&lt;=$B$2,INDEX(data!A$3:A$16128,SMALL(IF(data!$D$3:$D$16128='Манастирски'!$B$1,ROW(data!$A$3:$A$16128)-ROW($A$3)+1),ROWS(B$4:B6))),"")</f>
        <v>КАСОВА КНИГА</v>
      </c>
      <c r="C6" s="19">
        <f t="array" ref="C6">IF(ROWS(C$4:C6)&lt;=$B$2,INDEX(data!B$3:B$16128,SMALL(IF(data!$D$3:$D$16128='Манастирски'!$B$1,ROW(data!$A$3:$A$16128)-ROW($A$3)+1),ROWS(C$4:C6))),"")</f>
        <v>-511.29</v>
      </c>
      <c r="D6" s="7" t="str">
        <f t="array" ref="D6">IF(ROWS(D$4:D6)&lt;=$B$2,INDEX(data!E$3:E$16128,SMALL(IF(data!$D$3:$D$16128='Манастирски'!$B$1,ROW(data!$A$3:$A$16128)-ROW($A$3)+1),ROWS(D$4:D6))),"")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IF(ROWS(A$4:A7)&lt;=$B$2,INDEX(data!C$3:C$16128,SMALL(IF(data!$D$3:$D$16128='Манастирски'!$B$1,ROW(data!$A$3:$A$16128)-ROW($A$3)+1),ROWS(A$4:A7))),"")</f>
        <v>46027</v>
      </c>
      <c r="B7" s="19" t="str">
        <f t="array" ref="B7">IF(ROWS(B$4:B7)&lt;=$B$2,INDEX(data!A$3:A$16128,SMALL(IF(data!$D$3:$D$16128='Манастирски'!$B$1,ROW(data!$A$3:$A$16128)-ROW($A$3)+1),ROWS(B$4:B7))),"")</f>
        <v>MYPOS Бакалия</v>
      </c>
      <c r="C7" s="19">
        <f t="array" ref="C7">IF(ROWS(C$4:C7)&lt;=$B$2,INDEX(data!B$3:B$16128,SMALL(IF(data!$D$3:$D$16128='Манастирски'!$B$1,ROW(data!$A$3:$A$16128)-ROW($A$3)+1),ROWS(C$4:C7))),"")</f>
        <v>-2263.17</v>
      </c>
      <c r="D7" s="7" t="str">
        <f t="array" ref="D7">IF(ROWS(D$4:D7)&lt;=$B$2,INDEX(data!E$3:E$16128,SMALL(IF(data!$D$3:$D$16128='Манастирски'!$B$1,ROW(data!$A$3:$A$16128)-ROW($A$3)+1),ROWS(D$4:D7))),"")</f>
        <v/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IF(ROWS(A$4:A8)&lt;=$B$2,INDEX(data!C$3:C$16128,SMALL(IF(data!$D$3:$D$16128='Манастирски'!$B$1,ROW(data!$A$3:$A$16128)-ROW($A$3)+1),ROWS(A$4:A8))),"")</f>
        <v>46027</v>
      </c>
      <c r="B8" s="19" t="str">
        <f t="array" ref="B8">IF(ROWS(B$4:B8)&lt;=$B$2,INDEX(data!A$3:A$16128,SMALL(IF(data!$D$3:$D$16128='Манастирски'!$B$1,ROW(data!$A$3:$A$16128)-ROW($A$3)+1),ROWS(B$4:B8))),"")</f>
        <v>КАСОВА КНИГА</v>
      </c>
      <c r="C8" s="19">
        <f t="array" ref="C8">IF(ROWS(C$4:C8)&lt;=$B$2,INDEX(data!B$3:B$16128,SMALL(IF(data!$D$3:$D$16128='Манастирски'!$B$1,ROW(data!$A$3:$A$16128)-ROW($A$3)+1),ROWS(C$4:C8))),"")</f>
        <v>-1022.58</v>
      </c>
      <c r="D8" s="7" t="str">
        <f t="array" ref="D8">IF(ROWS(D$4:D8)&lt;=$B$2,INDEX(data!E$3:E$16128,SMALL(IF(data!$D$3:$D$16128='Манастирски'!$B$1,ROW(data!$A$3:$A$16128)-ROW($A$3)+1),ROWS(D$4:D8))),"")</f>
        <v/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IF(ROWS(A$4:A9)&lt;=$B$2,INDEX(data!C$3:C$16128,SMALL(IF(data!$D$3:$D$16128='Манастирски'!$B$1,ROW(data!$A$3:$A$16128)-ROW($A$3)+1),ROWS(A$4:A9))),"")</f>
        <v>46027</v>
      </c>
      <c r="B9" s="19" t="str">
        <f t="array" ref="B9">IF(ROWS(B$4:B9)&lt;=$B$2,INDEX(data!A$3:A$16128,SMALL(IF(data!$D$3:$D$16128='Манастирски'!$B$1,ROW(data!$A$3:$A$16128)-ROW($A$3)+1),ROWS(B$4:B9))),"")</f>
        <v>MYPOS Бакалия</v>
      </c>
      <c r="C9" s="19">
        <f t="array" ref="C9">IF(ROWS(C$4:C9)&lt;=$B$2,INDEX(data!B$3:B$16128,SMALL(IF(data!$D$3:$D$16128='Манастирски'!$B$1,ROW(data!$A$3:$A$16128)-ROW($A$3)+1),ROWS(C$4:C9))),"")</f>
        <v>-1649.87</v>
      </c>
      <c r="D9" s="7" t="str">
        <f t="array" ref="D9">IF(ROWS(D$4:D9)&lt;=$B$2,INDEX(data!E$3:E$16128,SMALL(IF(data!$D$3:$D$16128='Манастирски'!$B$1,ROW(data!$A$3:$A$16128)-ROW($A$3)+1),ROWS(D$4:D9))),"")</f>
        <v>29-31,12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IF(ROWS(A$4:A10)&lt;=$B$2,INDEX(data!C$3:C$16128,SMALL(IF(data!$D$3:$D$16128='Манастирски'!$B$1,ROW(data!$A$3:$A$16128)-ROW($A$3)+1),ROWS(A$4:A10))),"")</f>
        <v>46027</v>
      </c>
      <c r="B10" s="19" t="str">
        <f t="array" ref="B10">IF(ROWS(B$4:B10)&lt;=$B$2,INDEX(data!A$3:A$16128,SMALL(IF(data!$D$3:$D$16128='Манастирски'!$B$1,ROW(data!$A$3:$A$16128)-ROW($A$3)+1),ROWS(B$4:B10))),"")</f>
        <v>КАСОВА КНИГА</v>
      </c>
      <c r="C10" s="19">
        <f t="array" ref="C10">IF(ROWS(C$4:C10)&lt;=$B$2,INDEX(data!B$3:B$16128,SMALL(IF(data!$D$3:$D$16128='Манастирски'!$B$1,ROW(data!$A$3:$A$16128)-ROW($A$3)+1),ROWS(C$4:C10))),"")</f>
        <v>3110</v>
      </c>
      <c r="D10" s="7" t="str">
        <f t="array" ref="D10">IF(ROWS(D$4:D10)&lt;=$B$2,INDEX(data!E$3:E$16128,SMALL(IF(data!$D$3:$D$16128='Манастирски'!$B$1,ROW(data!$A$3:$A$16128)-ROW($A$3)+1),ROWS(D$4:D10))),"")</f>
        <v>евро</v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IF(ROWS(A$4:A11)&lt;=$B$2,INDEX(data!C$3:C$16128,SMALL(IF(data!$D$3:$D$16128='Манастирски'!$B$1,ROW(data!$A$3:$A$16128)-ROW($A$3)+1),ROWS(A$4:A11))),"")</f>
        <v>46029</v>
      </c>
      <c r="B11" s="19" t="str">
        <f t="array" ref="B11">IF(ROWS(B$4:B11)&lt;=$B$2,INDEX(data!A$3:A$16128,SMALL(IF(data!$D$3:$D$16128='Манастирски'!$B$1,ROW(data!$A$3:$A$16128)-ROW($A$3)+1),ROWS(B$4:B11))),"")</f>
        <v>каса ФИКТИВНА</v>
      </c>
      <c r="C11" s="19">
        <f t="array" ref="C11">IF(ROWS(C$4:C11)&lt;=$B$2,INDEX(data!B$3:B$16128,SMALL(IF(data!$D$3:$D$16128='Манастирски'!$B$1,ROW(data!$A$3:$A$16128)-ROW($A$3)+1),ROWS(C$4:C11))),"")</f>
        <v>-260</v>
      </c>
      <c r="D11" s="7" t="str">
        <f t="array" ref="D11">IF(ROWS(D$4:D11)&lt;=$B$2,INDEX(data!E$3:E$16128,SMALL(IF(data!$D$3:$D$16128='Манастирски'!$B$1,ROW(data!$A$3:$A$16128)-ROW($A$3)+1),ROWS(D$4:D11))),"")</f>
        <v>Краси от премиите</v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IF(ROWS(A$4:A12)&lt;=$B$2,INDEX(data!C$3:C$16128,SMALL(IF(data!$D$3:$D$16128='Манастирски'!$B$1,ROW(data!$A$3:$A$16128)-ROW($A$3)+1),ROWS(A$4:A12))),"")</f>
        <v>46034</v>
      </c>
      <c r="B12" s="19" t="str">
        <f t="array" ref="B12">IF(ROWS(B$4:B12)&lt;=$B$2,INDEX(data!A$3:A$16128,SMALL(IF(data!$D$3:$D$16128='Манастирски'!$B$1,ROW(data!$A$3:$A$16128)-ROW($A$3)+1),ROWS(B$4:B12))),"")</f>
        <v>КАСОВА КНИГА</v>
      </c>
      <c r="C12" s="19">
        <f t="array" ref="C12">IF(ROWS(C$4:C12)&lt;=$B$2,INDEX(data!B$3:B$16128,SMALL(IF(data!$D$3:$D$16128='Манастирски'!$B$1,ROW(data!$A$3:$A$16128)-ROW($A$3)+1),ROWS(C$4:C12))),"")</f>
        <v>-1000.65</v>
      </c>
      <c r="D12" s="7" t="str">
        <f t="array" ref="D12">IF(ROWS(D$4:D12)&lt;=$B$2,INDEX(data!E$3:E$16128,SMALL(IF(data!$D$3:$D$16128='Манастирски'!$B$1,ROW(data!$A$3:$A$16128)-ROW($A$3)+1),ROWS(D$4:D12))),"")</f>
        <v/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IF(ROWS(A$4:A13)&lt;=$B$2,INDEX(data!C$3:C$16128,SMALL(IF(data!$D$3:$D$16128='Манастирски'!$B$1,ROW(data!$A$3:$A$16128)-ROW($A$3)+1),ROWS(A$4:A13))),"")</f>
        <v>46035</v>
      </c>
      <c r="B13" s="19" t="str">
        <f t="array" ref="B13">IF(ROWS(B$4:B13)&lt;=$B$2,INDEX(data!A$3:A$16128,SMALL(IF(data!$D$3:$D$16128='Манастирски'!$B$1,ROW(data!$A$3:$A$16128)-ROW($A$3)+1),ROWS(B$4:B13))),"")</f>
        <v>MYPOS Бакалия</v>
      </c>
      <c r="C13" s="19">
        <f t="array" ref="C13">IF(ROWS(C$4:C13)&lt;=$B$2,INDEX(data!B$3:B$16128,SMALL(IF(data!$D$3:$D$16128='Манастирски'!$B$1,ROW(data!$A$3:$A$16128)-ROW($A$3)+1),ROWS(C$4:C13))),"")</f>
        <v>-4456.32</v>
      </c>
      <c r="D13" s="7" t="str">
        <f t="array" ref="D13">IF(ROWS(D$4:D13)&lt;=$B$2,INDEX(data!E$3:E$16128,SMALL(IF(data!$D$3:$D$16128='Манастирски'!$B$1,ROW(data!$A$3:$A$16128)-ROW($A$3)+1),ROWS(D$4:D13))),"")</f>
        <v/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IF(ROWS(A$4:A14)&lt;=$B$2,INDEX(data!C$3:C$16128,SMALL(IF(data!$D$3:$D$16128='Манастирски'!$B$1,ROW(data!$A$3:$A$16128)-ROW($A$3)+1),ROWS(A$4:A14))),"")</f>
        <v>46036</v>
      </c>
      <c r="B14" s="19" t="str">
        <f t="array" ref="B14">IF(ROWS(B$4:B14)&lt;=$B$2,INDEX(data!A$3:A$16128,SMALL(IF(data!$D$3:$D$16128='Манастирски'!$B$1,ROW(data!$A$3:$A$16128)-ROW($A$3)+1),ROWS(B$4:B14))),"")</f>
        <v>КАСОВА КНИГА</v>
      </c>
      <c r="C14" s="19">
        <f t="array" ref="C14">IF(ROWS(C$4:C14)&lt;=$B$2,INDEX(data!B$3:B$16128,SMALL(IF(data!$D$3:$D$16128='Манастирски'!$B$1,ROW(data!$A$3:$A$16128)-ROW($A$3)+1),ROWS(C$4:C14))),"")</f>
        <v>-600</v>
      </c>
      <c r="D14" s="7" t="str">
        <f t="array" ref="D14">IF(ROWS(D$4:D14)&lt;=$B$2,INDEX(data!E$3:E$16128,SMALL(IF(data!$D$3:$D$16128='Манастирски'!$B$1,ROW(data!$A$3:$A$16128)-ROW($A$3)+1),ROWS(D$4:D14))),"")</f>
        <v/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IF(ROWS(A$4:A15)&lt;=$B$2,INDEX(data!C$3:C$16128,SMALL(IF(data!$D$3:$D$16128='Манастирски'!$B$1,ROW(data!$A$3:$A$16128)-ROW($A$3)+1),ROWS(A$4:A15))),"")</f>
        <v>46038</v>
      </c>
      <c r="B15" s="19" t="str">
        <f t="array" ref="B15">IF(ROWS(B$4:B15)&lt;=$B$2,INDEX(data!A$3:A$16128,SMALL(IF(data!$D$3:$D$16128='Манастирски'!$B$1,ROW(data!$A$3:$A$16128)-ROW($A$3)+1),ROWS(B$4:B15))),"")</f>
        <v>КАСОВА КНИГА</v>
      </c>
      <c r="C15" s="19">
        <f t="array" ref="C15">IF(ROWS(C$4:C15)&lt;=$B$2,INDEX(data!B$3:B$16128,SMALL(IF(data!$D$3:$D$16128='Манастирски'!$B$1,ROW(data!$A$3:$A$16128)-ROW($A$3)+1),ROWS(C$4:C15))),"")</f>
        <v>-255.65</v>
      </c>
      <c r="D15" s="7" t="str">
        <f t="array" ref="D15">IF(ROWS(D$4:D15)&lt;=$B$2,INDEX(data!E$3:E$16128,SMALL(IF(data!$D$3:$D$16128='Манастирски'!$B$1,ROW(data!$A$3:$A$16128)-ROW($A$3)+1),ROWS(D$4:D15))),"")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IF(ROWS(A$4:A16)&lt;=$B$2,INDEX(data!C$3:C$16128,SMALL(IF(data!$D$3:$D$16128='Манастирски'!$B$1,ROW(data!$A$3:$A$16128)-ROW($A$3)+1),ROWS(A$4:A16))),"")</f>
        <v>46041</v>
      </c>
      <c r="B16" s="19" t="str">
        <f t="array" ref="B16">IF(ROWS(B$4:B16)&lt;=$B$2,INDEX(data!A$3:A$16128,SMALL(IF(data!$D$3:$D$16128='Манастирски'!$B$1,ROW(data!$A$3:$A$16128)-ROW($A$3)+1),ROWS(B$4:B16))),"")</f>
        <v>MYPOS Бакалия</v>
      </c>
      <c r="C16" s="19">
        <f t="array" ref="C16">IF(ROWS(C$4:C16)&lt;=$B$2,INDEX(data!B$3:B$16128,SMALL(IF(data!$D$3:$D$16128='Манастирски'!$B$1,ROW(data!$A$3:$A$16128)-ROW($A$3)+1),ROWS(C$4:C16))),"")</f>
        <v>-5082.64</v>
      </c>
      <c r="D16" s="7" t="str">
        <f t="array" ref="D16">IF(ROWS(D$4:D16)&lt;=$B$2,INDEX(data!E$3:E$16128,SMALL(IF(data!$D$3:$D$16128='Манастирски'!$B$1,ROW(data!$A$3:$A$16128)-ROW($A$3)+1),ROWS(D$4:D16))),"")</f>
        <v/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IF(ROWS(A$4:A17)&lt;=$B$2,INDEX(data!C$3:C$16128,SMALL(IF(data!$D$3:$D$16128='Манастирски'!$B$1,ROW(data!$A$3:$A$16128)-ROW($A$3)+1),ROWS(A$4:A17))),"")</f>
        <v>46041</v>
      </c>
      <c r="B17" s="19" t="str">
        <f t="array" ref="B17">IF(ROWS(B$4:B17)&lt;=$B$2,INDEX(data!A$3:A$16128,SMALL(IF(data!$D$3:$D$16128='Манастирски'!$B$1,ROW(data!$A$3:$A$16128)-ROW($A$3)+1),ROWS(B$4:B17))),"")</f>
        <v>КАСОВА КНИГА</v>
      </c>
      <c r="C17" s="19">
        <f t="array" ref="C17">IF(ROWS(C$4:C17)&lt;=$B$2,INDEX(data!B$3:B$16128,SMALL(IF(data!$D$3:$D$16128='Манастирски'!$B$1,ROW(data!$A$3:$A$16128)-ROW($A$3)+1),ROWS(C$4:C17))),"")</f>
        <v>-999.997</v>
      </c>
      <c r="D17" s="7" t="str">
        <f t="array" ref="D17">IF(ROWS(D$4:D17)&lt;=$B$2,INDEX(data!E$3:E$16128,SMALL(IF(data!$D$3:$D$16128='Манастирски'!$B$1,ROW(data!$A$3:$A$16128)-ROW($A$3)+1),ROWS(D$4:D17))),"")</f>
        <v/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IF(ROWS(A$4:A18)&lt;=$B$2,INDEX(data!C$3:C$16128,SMALL(IF(data!$D$3:$D$16128='Манастирски'!$B$1,ROW(data!$A$3:$A$16128)-ROW($A$3)+1),ROWS(A$4:A18))),"")</f>
        <v>46043</v>
      </c>
      <c r="B18" s="19" t="str">
        <f t="array" ref="B18">IF(ROWS(B$4:B18)&lt;=$B$2,INDEX(data!A$3:A$16128,SMALL(IF(data!$D$3:$D$16128='Манастирски'!$B$1,ROW(data!$A$3:$A$16128)-ROW($A$3)+1),ROWS(B$4:B18))),"")</f>
        <v>КАСОВА КНИГА</v>
      </c>
      <c r="C18" s="19">
        <f t="array" ref="C18">IF(ROWS(C$4:C18)&lt;=$B$2,INDEX(data!B$3:B$16128,SMALL(IF(data!$D$3:$D$16128='Манастирски'!$B$1,ROW(data!$A$3:$A$16128)-ROW($A$3)+1),ROWS(C$4:C18))),"")</f>
        <v>-255.65</v>
      </c>
      <c r="D18" s="7" t="str">
        <f t="array" ref="D18">IF(ROWS(D$4:D18)&lt;=$B$2,INDEX(data!E$3:E$16128,SMALL(IF(data!$D$3:$D$16128='Манастирски'!$B$1,ROW(data!$A$3:$A$16128)-ROW($A$3)+1),ROWS(D$4:D18))),"")</f>
        <v/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IF(ROWS(A$4:A19)&lt;=$B$2,INDEX(data!C$3:C$16128,SMALL(IF(data!$D$3:$D$16128='Манастирски'!$B$1,ROW(data!$A$3:$A$16128)-ROW($A$3)+1),ROWS(A$4:A19))),"")</f>
        <v>46043</v>
      </c>
      <c r="B19" s="19" t="str">
        <f t="array" ref="B19">IF(ROWS(B$4:B19)&lt;=$B$2,INDEX(data!A$3:A$16128,SMALL(IF(data!$D$3:$D$16128='Манастирски'!$B$1,ROW(data!$A$3:$A$16128)-ROW($A$3)+1),ROWS(B$4:B19))),"")</f>
        <v>Каса ВАУЧЕРИ</v>
      </c>
      <c r="C19" s="19">
        <f t="array" ref="C19">IF(ROWS(C$4:C19)&lt;=$B$2,INDEX(data!B$3:B$16128,SMALL(IF(data!$D$3:$D$16128='Манастирски'!$B$1,ROW(data!$A$3:$A$16128)-ROW($A$3)+1),ROWS(C$4:C19))),"")</f>
        <v>511.29</v>
      </c>
      <c r="D19" s="7" t="str">
        <f t="array" ref="D19">IF(ROWS(D$4:D19)&lt;=$B$2,INDEX(data!E$3:E$16128,SMALL(IF(data!$D$3:$D$16128='Манастирски'!$B$1,ROW(data!$A$3:$A$16128)-ROW($A$3)+1),ROWS(D$4:D19))),"")</f>
        <v>ваучери персонал</v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IF(ROWS(A$4:A20)&lt;=$B$2,INDEX(data!C$3:C$16128,SMALL(IF(data!$D$3:$D$16128='Манастирски'!$B$1,ROW(data!$A$3:$A$16128)-ROW($A$3)+1),ROWS(A$4:A20))),"")</f>
        <v>46048</v>
      </c>
      <c r="B20" s="19" t="str">
        <f t="array" ref="B20">IF(ROWS(B$4:B20)&lt;=$B$2,INDEX(data!A$3:A$16128,SMALL(IF(data!$D$3:$D$16128='Манастирски'!$B$1,ROW(data!$A$3:$A$16128)-ROW($A$3)+1),ROWS(B$4:B20))),"")</f>
        <v>MYPOS Бакалия</v>
      </c>
      <c r="C20" s="19">
        <f t="array" ref="C20">IF(ROWS(C$4:C20)&lt;=$B$2,INDEX(data!B$3:B$16128,SMALL(IF(data!$D$3:$D$16128='Манастирски'!$B$1,ROW(data!$A$3:$A$16128)-ROW($A$3)+1),ROWS(C$4:C20))),"")</f>
        <v>-5375.43</v>
      </c>
      <c r="D20" s="7" t="str">
        <f t="array" ref="D20">IF(ROWS(D$4:D20)&lt;=$B$2,INDEX(data!E$3:E$16128,SMALL(IF(data!$D$3:$D$16128='Манастирски'!$B$1,ROW(data!$A$3:$A$16128)-ROW($A$3)+1),ROWS(D$4:D20))),"")</f>
        <v/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IF(ROWS(A$4:A21)&lt;=$B$2,INDEX(data!C$3:C$16128,SMALL(IF(data!$D$3:$D$16128='Манастирски'!$B$1,ROW(data!$A$3:$A$16128)-ROW($A$3)+1),ROWS(A$4:A21))),"")</f>
        <v>46048</v>
      </c>
      <c r="B21" s="19" t="str">
        <f t="array" ref="B21">IF(ROWS(B$4:B21)&lt;=$B$2,INDEX(data!A$3:A$16128,SMALL(IF(data!$D$3:$D$16128='Манастирски'!$B$1,ROW(data!$A$3:$A$16128)-ROW($A$3)+1),ROWS(B$4:B21))),"")</f>
        <v>КАСОВА КНИГА</v>
      </c>
      <c r="C21" s="19">
        <f t="array" ref="C21">IF(ROWS(C$4:C21)&lt;=$B$2,INDEX(data!B$3:B$16128,SMALL(IF(data!$D$3:$D$16128='Манастирски'!$B$1,ROW(data!$A$3:$A$16128)-ROW($A$3)+1),ROWS(C$4:C21))),"")</f>
        <v>-511.29</v>
      </c>
      <c r="D21" s="7" t="str">
        <f t="array" ref="D21">IF(ROWS(D$4:D21)&lt;=$B$2,INDEX(data!E$3:E$16128,SMALL(IF(data!$D$3:$D$16128='Манастирски'!$B$1,ROW(data!$A$3:$A$16128)-ROW($A$3)+1),ROWS(D$4:D21))),"")</f>
        <v/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IF(ROWS(A$4:A22)&lt;=$B$2,INDEX(data!C$3:C$16128,SMALL(IF(data!$D$3:$D$16128='Манастирски'!$B$1,ROW(data!$A$3:$A$16128)-ROW($A$3)+1),ROWS(A$4:A22))),"")</f>
        <v>46052</v>
      </c>
      <c r="B22" s="19" t="str">
        <f t="array" ref="B22">IF(ROWS(B$4:B22)&lt;=$B$2,INDEX(data!A$3:A$16128,SMALL(IF(data!$D$3:$D$16128='Манастирски'!$B$1,ROW(data!$A$3:$A$16128)-ROW($A$3)+1),ROWS(B$4:B22))),"")</f>
        <v>КАСОВА КНИГА</v>
      </c>
      <c r="C22" s="19">
        <f t="array" ref="C22">IF(ROWS(C$4:C22)&lt;=$B$2,INDEX(data!B$3:B$16128,SMALL(IF(data!$D$3:$D$16128='Манастирски'!$B$1,ROW(data!$A$3:$A$16128)-ROW($A$3)+1),ROWS(C$4:C22))),"")</f>
        <v>-300</v>
      </c>
      <c r="D22" s="7" t="str">
        <f t="array" ref="D22">IF(ROWS(D$4:D22)&lt;=$B$2,INDEX(data!E$3:E$16128,SMALL(IF(data!$D$3:$D$16128='Манастирски'!$B$1,ROW(data!$A$3:$A$16128)-ROW($A$3)+1),ROWS(D$4:D22))),"")</f>
        <v/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IF(ROWS(A$4:A23)&lt;=$B$2,INDEX(data!C$3:C$16128,SMALL(IF(data!$D$3:$D$16128='Манастирски'!$B$1,ROW(data!$A$3:$A$16128)-ROW($A$3)+1),ROWS(A$4:A23))),"")</f>
        <v>46055</v>
      </c>
      <c r="B23" s="19" t="str">
        <f t="array" ref="B23">IF(ROWS(B$4:B23)&lt;=$B$2,INDEX(data!A$3:A$16128,SMALL(IF(data!$D$3:$D$16128='Манастирски'!$B$1,ROW(data!$A$3:$A$16128)-ROW($A$3)+1),ROWS(B$4:B23))),"")</f>
        <v>MYPOS Бакалия</v>
      </c>
      <c r="C23" s="19">
        <f t="array" ref="C23">IF(ROWS(C$4:C23)&lt;=$B$2,INDEX(data!B$3:B$16128,SMALL(IF(data!$D$3:$D$16128='Манастирски'!$B$1,ROW(data!$A$3:$A$16128)-ROW($A$3)+1),ROWS(C$4:C23))),"")</f>
        <v>-2391.17</v>
      </c>
      <c r="D23" s="7" t="str">
        <f t="array" ref="D23">IF(ROWS(D$4:D23)&lt;=$B$2,INDEX(data!E$3:E$16128,SMALL(IF(data!$D$3:$D$16128='Манастирски'!$B$1,ROW(data!$A$3:$A$16128)-ROW($A$3)+1),ROWS(D$4:D23))),"")</f>
        <v/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IF(ROWS(A$4:A24)&lt;=$B$2,INDEX(data!C$3:C$16128,SMALL(IF(data!$D$3:$D$16128='Манастирски'!$B$1,ROW(data!$A$3:$A$16128)-ROW($A$3)+1),ROWS(A$4:A24))),"")</f>
        <v>46055</v>
      </c>
      <c r="B24" s="19" t="str">
        <f t="array" ref="B24">IF(ROWS(B$4:B24)&lt;=$B$2,INDEX(data!A$3:A$16128,SMALL(IF(data!$D$3:$D$16128='Манастирски'!$B$1,ROW(data!$A$3:$A$16128)-ROW($A$3)+1),ROWS(B$4:B24))),"")</f>
        <v>КАСОВА КНИГА</v>
      </c>
      <c r="C24" s="19">
        <f t="array" ref="C24">IF(ROWS(C$4:C24)&lt;=$B$2,INDEX(data!B$3:B$16128,SMALL(IF(data!$D$3:$D$16128='Манастирски'!$B$1,ROW(data!$A$3:$A$16128)-ROW($A$3)+1),ROWS(C$4:C24))),"")</f>
        <v>-350</v>
      </c>
      <c r="D24" s="7" t="str">
        <f t="array" ref="D24">IF(ROWS(D$4:D24)&lt;=$B$2,INDEX(data!E$3:E$16128,SMALL(IF(data!$D$3:$D$16128='Манастирски'!$B$1,ROW(data!$A$3:$A$16128)-ROW($A$3)+1),ROWS(D$4:D24))),"")</f>
        <v/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IF(ROWS(A$4:A25)&lt;=$B$2,INDEX(data!C$3:C$16128,SMALL(IF(data!$D$3:$D$16128='Манастирски'!$B$1,ROW(data!$A$3:$A$16128)-ROW($A$3)+1),ROWS(A$4:A25))),"")</f>
        <v>46059</v>
      </c>
      <c r="B25" s="19" t="str">
        <f t="array" ref="B25">IF(ROWS(B$4:B25)&lt;=$B$2,INDEX(data!A$3:A$16128,SMALL(IF(data!$D$3:$D$16128='Манастирски'!$B$1,ROW(data!$A$3:$A$16128)-ROW($A$3)+1),ROWS(B$4:B25))),"")</f>
        <v>ПОС ДСК Бакалия</v>
      </c>
      <c r="C25" s="19">
        <f t="array" ref="C25">IF(ROWS(C$4:C25)&lt;=$B$2,INDEX(data!B$3:B$16128,SMALL(IF(data!$D$3:$D$16128='Манастирски'!$B$1,ROW(data!$A$3:$A$16128)-ROW($A$3)+1),ROWS(C$4:C25))),"")</f>
        <v>-2788.17</v>
      </c>
      <c r="D25" s="7" t="str">
        <f t="array" ref="D25">IF(ROWS(D$4:D25)&lt;=$B$2,INDEX(data!E$3:E$16128,SMALL(IF(data!$D$3:$D$16128='Манастирски'!$B$1,ROW(data!$A$3:$A$16128)-ROW($A$3)+1),ROWS(D$4:D25))),"")</f>
        <v/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IF(ROWS(A$4:A26)&lt;=$B$2,INDEX(data!C$3:C$16128,SMALL(IF(data!$D$3:$D$16128='Манастирски'!$B$1,ROW(data!$A$3:$A$16128)-ROW($A$3)+1),ROWS(A$4:A26))),"")</f>
        <v>46062</v>
      </c>
      <c r="B26" s="19" t="str">
        <f t="array" ref="B26">IF(ROWS(B$4:B26)&lt;=$B$2,INDEX(data!A$3:A$16128,SMALL(IF(data!$D$3:$D$16128='Манастирски'!$B$1,ROW(data!$A$3:$A$16128)-ROW($A$3)+1),ROWS(B$4:B26))),"")</f>
        <v>MYPOS Бакалия</v>
      </c>
      <c r="C26" s="19">
        <f t="array" ref="C26">IF(ROWS(C$4:C26)&lt;=$B$2,INDEX(data!B$3:B$16128,SMALL(IF(data!$D$3:$D$16128='Манастирски'!$B$1,ROW(data!$A$3:$A$16128)-ROW($A$3)+1),ROWS(C$4:C26))),"")</f>
        <v>-5070.71</v>
      </c>
      <c r="D26" s="7" t="str">
        <f t="array" ref="D26">IF(ROWS(D$4:D26)&lt;=$B$2,INDEX(data!E$3:E$16128,SMALL(IF(data!$D$3:$D$16128='Манастирски'!$B$1,ROW(data!$A$3:$A$16128)-ROW($A$3)+1),ROWS(D$4:D26))),"")</f>
        <v/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IF(ROWS(A$4:A27)&lt;=$B$2,INDEX(data!C$3:C$16128,SMALL(IF(data!$D$3:$D$16128='Манастирски'!$B$1,ROW(data!$A$3:$A$16128)-ROW($A$3)+1),ROWS(A$4:A27))),"")</f>
        <v>46062</v>
      </c>
      <c r="B27" s="19" t="str">
        <f t="array" ref="B27">IF(ROWS(B$4:B27)&lt;=$B$2,INDEX(data!A$3:A$16128,SMALL(IF(data!$D$3:$D$16128='Манастирски'!$B$1,ROW(data!$A$3:$A$16128)-ROW($A$3)+1),ROWS(B$4:B27))),"")</f>
        <v>КАСОВА КНИГА</v>
      </c>
      <c r="C27" s="19">
        <f t="array" ref="C27">IF(ROWS(C$4:C27)&lt;=$B$2,INDEX(data!B$3:B$16128,SMALL(IF(data!$D$3:$D$16128='Манастирски'!$B$1,ROW(data!$A$3:$A$16128)-ROW($A$3)+1),ROWS(C$4:C27))),"")</f>
        <v>-500</v>
      </c>
      <c r="D27" s="7" t="str">
        <f t="array" ref="D27">IF(ROWS(D$4:D27)&lt;=$B$2,INDEX(data!E$3:E$16128,SMALL(IF(data!$D$3:$D$16128='Манастирски'!$B$1,ROW(data!$A$3:$A$16128)-ROW($A$3)+1),ROWS(D$4:D27))),"")</f>
        <v/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IF(ROWS(A$4:A28)&lt;=$B$2,INDEX(data!C$3:C$16128,SMALL(IF(data!$D$3:$D$16128='Манастирски'!$B$1,ROW(data!$A$3:$A$16128)-ROW($A$3)+1),ROWS(A$4:A28))),"")</f>
        <v>46062</v>
      </c>
      <c r="B28" s="19" t="str">
        <f t="array" ref="B28">IF(ROWS(B$4:B28)&lt;=$B$2,INDEX(data!A$3:A$16128,SMALL(IF(data!$D$3:$D$16128='Манастирски'!$B$1,ROW(data!$A$3:$A$16128)-ROW($A$3)+1),ROWS(B$4:B28))),"")</f>
        <v>ЗАЕМ</v>
      </c>
      <c r="C28" s="19">
        <f t="array" ref="C28">IF(ROWS(C$4:C28)&lt;=$B$2,INDEX(data!B$3:B$16128,SMALL(IF(data!$D$3:$D$16128='Манастирски'!$B$1,ROW(data!$A$3:$A$16128)-ROW($A$3)+1),ROWS(C$4:C28))),"")</f>
        <v>25540.71</v>
      </c>
      <c r="D28" s="7" t="str">
        <f t="array" ref="D28">IF(ROWS(D$4:D28)&lt;=$B$2,INDEX(data!E$3:E$16128,SMALL(IF(data!$D$3:$D$16128='Манастирски'!$B$1,ROW(data!$A$3:$A$16128)-ROW($A$3)+1),ROWS(D$4:D28))),"")</f>
        <v>С-до склад + вътр п-не</v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IF(ROWS(A$4:A29)&lt;=$B$2,INDEX(data!C$3:C$16128,SMALL(IF(data!$D$3:$D$16128='Манастирски'!$B$1,ROW(data!$A$3:$A$16128)-ROW($A$3)+1),ROWS(A$4:A29))),"")</f>
        <v>46065</v>
      </c>
      <c r="B29" s="19" t="str">
        <f t="array" ref="B29">IF(ROWS(B$4:B29)&lt;=$B$2,INDEX(data!A$3:A$16128,SMALL(IF(data!$D$3:$D$16128='Манастирски'!$B$1,ROW(data!$A$3:$A$16128)-ROW($A$3)+1),ROWS(B$4:B29))),"")</f>
        <v>ПОС ДСК Бакалия</v>
      </c>
      <c r="C29" s="19">
        <f t="array" ref="C29">IF(ROWS(C$4:C29)&lt;=$B$2,INDEX(data!B$3:B$16128,SMALL(IF(data!$D$3:$D$16128='Манастирски'!$B$1,ROW(data!$A$3:$A$16128)-ROW($A$3)+1),ROWS(C$4:C29))),"")</f>
        <v>-293.45</v>
      </c>
      <c r="D29" s="7" t="str">
        <f t="array" ref="D29">IF(ROWS(D$4:D29)&lt;=$B$2,INDEX(data!E$3:E$16128,SMALL(IF(data!$D$3:$D$16128='Манастирски'!$B$1,ROW(data!$A$3:$A$16128)-ROW($A$3)+1),ROWS(D$4:D29))),"")</f>
        <v/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IF(ROWS(A$4:A30)&lt;=$B$2,INDEX(data!C$3:C$16128,SMALL(IF(data!$D$3:$D$16128='Манастирски'!$B$1,ROW(data!$A$3:$A$16128)-ROW($A$3)+1),ROWS(A$4:A30))),"")</f>
        <v>46066</v>
      </c>
      <c r="B30" s="19" t="str">
        <f t="array" ref="B30">IF(ROWS(B$4:B30)&lt;=$B$2,INDEX(data!A$3:A$16128,SMALL(IF(data!$D$3:$D$16128='Манастирски'!$B$1,ROW(data!$A$3:$A$16128)-ROW($A$3)+1),ROWS(B$4:B30))),"")</f>
        <v>КАСОВА КНИГА</v>
      </c>
      <c r="C30" s="19">
        <f t="array" ref="C30">IF(ROWS(C$4:C30)&lt;=$B$2,INDEX(data!B$3:B$16128,SMALL(IF(data!$D$3:$D$16128='Манастирски'!$B$1,ROW(data!$A$3:$A$16128)-ROW($A$3)+1),ROWS(C$4:C30))),"")</f>
        <v>-300</v>
      </c>
      <c r="D30" s="7" t="str">
        <f t="array" ref="D30">IF(ROWS(D$4:D30)&lt;=$B$2,INDEX(data!E$3:E$16128,SMALL(IF(data!$D$3:$D$16128='Манастирски'!$B$1,ROW(data!$A$3:$A$16128)-ROW($A$3)+1),ROWS(D$4:D30))),"")</f>
        <v/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IF(ROWS(A$4:A31)&lt;=$B$2,INDEX(data!C$3:C$16128,SMALL(IF(data!$D$3:$D$16128='Манастирски'!$B$1,ROW(data!$A$3:$A$16128)-ROW($A$3)+1),ROWS(A$4:A31))),"")</f>
        <v>46069</v>
      </c>
      <c r="B31" s="19" t="str">
        <f t="array" ref="B31">IF(ROWS(B$4:B31)&lt;=$B$2,INDEX(data!A$3:A$16128,SMALL(IF(data!$D$3:$D$16128='Манастирски'!$B$1,ROW(data!$A$3:$A$16128)-ROW($A$3)+1),ROWS(B$4:B31))),"")</f>
        <v>MYPOS Бакалия</v>
      </c>
      <c r="C31" s="19">
        <f t="array" ref="C31">IF(ROWS(C$4:C31)&lt;=$B$2,INDEX(data!B$3:B$16128,SMALL(IF(data!$D$3:$D$16128='Манастирски'!$B$1,ROW(data!$A$3:$A$16128)-ROW($A$3)+1),ROWS(C$4:C31))),"")</f>
        <v>-5608.51</v>
      </c>
      <c r="D31" s="7" t="str">
        <f t="array" ref="D31">IF(ROWS(D$4:D31)&lt;=$B$2,INDEX(data!E$3:E$16128,SMALL(IF(data!$D$3:$D$16128='Манастирски'!$B$1,ROW(data!$A$3:$A$16128)-ROW($A$3)+1),ROWS(D$4:D31))),"")</f>
        <v/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IF(ROWS(A$4:A32)&lt;=$B$2,INDEX(data!C$3:C$16128,SMALL(IF(data!$D$3:$D$16128='Манастирски'!$B$1,ROW(data!$A$3:$A$16128)-ROW($A$3)+1),ROWS(A$4:A32))),"")</f>
        <v>46069</v>
      </c>
      <c r="B32" s="19" t="str">
        <f t="array" ref="B32">IF(ROWS(B$4:B32)&lt;=$B$2,INDEX(data!A$3:A$16128,SMALL(IF(data!$D$3:$D$16128='Манастирски'!$B$1,ROW(data!$A$3:$A$16128)-ROW($A$3)+1),ROWS(B$4:B32))),"")</f>
        <v>КАСОВА КНИГА</v>
      </c>
      <c r="C32" s="19">
        <f t="array" ref="C32">IF(ROWS(C$4:C32)&lt;=$B$2,INDEX(data!B$3:B$16128,SMALL(IF(data!$D$3:$D$16128='Манастирски'!$B$1,ROW(data!$A$3:$A$16128)-ROW($A$3)+1),ROWS(C$4:C32))),"")</f>
        <v>-250</v>
      </c>
      <c r="D32" s="7" t="str">
        <f t="array" ref="D32">IF(ROWS(D$4:D32)&lt;=$B$2,INDEX(data!E$3:E$16128,SMALL(IF(data!$D$3:$D$16128='Манастирски'!$B$1,ROW(data!$A$3:$A$16128)-ROW($A$3)+1),ROWS(D$4:D32))),"")</f>
        <v/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IF(ROWS(A$4:A33)&lt;=$B$2,INDEX(data!C$3:C$16128,SMALL(IF(data!$D$3:$D$16128='Манастирски'!$B$1,ROW(data!$A$3:$A$16128)-ROW($A$3)+1),ROWS(A$4:A33))),"")</f>
        <v>46071</v>
      </c>
      <c r="B33" s="19" t="str">
        <f t="array" ref="B33">IF(ROWS(B$4:B33)&lt;=$B$2,INDEX(data!A$3:A$16128,SMALL(IF(data!$D$3:$D$16128='Манастирски'!$B$1,ROW(data!$A$3:$A$16128)-ROW($A$3)+1),ROWS(B$4:B33))),"")</f>
        <v>КАСОВА КНИГА</v>
      </c>
      <c r="C33" s="19">
        <f t="array" ref="C33">IF(ROWS(C$4:C33)&lt;=$B$2,INDEX(data!B$3:B$16128,SMALL(IF(data!$D$3:$D$16128='Манастирски'!$B$1,ROW(data!$A$3:$A$16128)-ROW($A$3)+1),ROWS(C$4:C33))),"")</f>
        <v>300</v>
      </c>
      <c r="D33" s="7" t="str">
        <f t="array" ref="D33">IF(ROWS(D$4:D33)&lt;=$B$2,INDEX(data!E$3:E$16128,SMALL(IF(data!$D$3:$D$16128='Манастирски'!$B$1,ROW(data!$A$3:$A$16128)-ROW($A$3)+1),ROWS(D$4:D33))),"")</f>
        <v>заем</v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IF(ROWS(A$4:A34)&lt;=$B$2,INDEX(data!C$3:C$16128,SMALL(IF(data!$D$3:$D$16128='Манастирски'!$B$1,ROW(data!$A$3:$A$16128)-ROW($A$3)+1),ROWS(A$4:A34))),"")</f>
        <v>46073</v>
      </c>
      <c r="B34" s="19" t="str">
        <f t="array" ref="B34">IF(ROWS(B$4:B34)&lt;=$B$2,INDEX(data!A$3:A$16128,SMALL(IF(data!$D$3:$D$16128='Манастирски'!$B$1,ROW(data!$A$3:$A$16128)-ROW($A$3)+1),ROWS(B$4:B34))),"")</f>
        <v>КАСОВА КНИГА</v>
      </c>
      <c r="C34" s="19">
        <f t="array" ref="C34">IF(ROWS(C$4:C34)&lt;=$B$2,INDEX(data!B$3:B$16128,SMALL(IF(data!$D$3:$D$16128='Манастирски'!$B$1,ROW(data!$A$3:$A$16128)-ROW($A$3)+1),ROWS(C$4:C34))),"")</f>
        <v>-250</v>
      </c>
      <c r="D34" s="7" t="str">
        <f t="array" ref="D34">IF(ROWS(D$4:D34)&lt;=$B$2,INDEX(data!E$3:E$16128,SMALL(IF(data!$D$3:$D$16128='Манастирски'!$B$1,ROW(data!$A$3:$A$16128)-ROW($A$3)+1),ROWS(D$4:D34))),"")</f>
        <v/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IF(ROWS(A$4:A35)&lt;=$B$2,INDEX(data!C$3:C$16128,SMALL(IF(data!$D$3:$D$16128='Манастирски'!$B$1,ROW(data!$A$3:$A$16128)-ROW($A$3)+1),ROWS(A$4:A35))),"")</f>
        <v>46073</v>
      </c>
      <c r="B35" s="19" t="str">
        <f t="array" ref="B35">IF(ROWS(B$4:B35)&lt;=$B$2,INDEX(data!A$3:A$16128,SMALL(IF(data!$D$3:$D$16128='Манастирски'!$B$1,ROW(data!$A$3:$A$16128)-ROW($A$3)+1),ROWS(B$4:B35))),"")</f>
        <v>Каса ВАУЧЕРИ</v>
      </c>
      <c r="C35" s="19">
        <f t="array" ref="C35">IF(ROWS(C$4:C35)&lt;=$B$2,INDEX(data!B$3:B$16128,SMALL(IF(data!$D$3:$D$16128='Манастирски'!$B$1,ROW(data!$A$3:$A$16128)-ROW($A$3)+1),ROWS(C$4:C35))),"")</f>
        <v>400</v>
      </c>
      <c r="D35" s="7" t="str">
        <f t="array" ref="D35">IF(ROWS(D$4:D35)&lt;=$B$2,INDEX(data!E$3:E$16128,SMALL(IF(data!$D$3:$D$16128='Манастирски'!$B$1,ROW(data!$A$3:$A$16128)-ROW($A$3)+1),ROWS(D$4:D35))),"")</f>
        <v>ваучери персонал</v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IF(ROWS(A$4:A36)&lt;=$B$2,INDEX(data!C$3:C$16128,SMALL(IF(data!$D$3:$D$16128='Манастирски'!$B$1,ROW(data!$A$3:$A$16128)-ROW($A$3)+1),ROWS(A$4:A36))),"")</f>
        <v>46076</v>
      </c>
      <c r="B36" s="19" t="str">
        <f t="array" ref="B36">IF(ROWS(B$4:B36)&lt;=$B$2,INDEX(data!A$3:A$16128,SMALL(IF(data!$D$3:$D$16128='Манастирски'!$B$1,ROW(data!$A$3:$A$16128)-ROW($A$3)+1),ROWS(B$4:B36))),"")</f>
        <v>MYPOS Бакалия</v>
      </c>
      <c r="C36" s="19">
        <f t="array" ref="C36">IF(ROWS(C$4:C36)&lt;=$B$2,INDEX(data!B$3:B$16128,SMALL(IF(data!$D$3:$D$16128='Манастирски'!$B$1,ROW(data!$A$3:$A$16128)-ROW($A$3)+1),ROWS(C$4:C36))),"")</f>
        <v>-5826.66</v>
      </c>
      <c r="D36" s="7" t="str">
        <f t="array" ref="D36">IF(ROWS(D$4:D36)&lt;=$B$2,INDEX(data!E$3:E$16128,SMALL(IF(data!$D$3:$D$16128='Манастирски'!$B$1,ROW(data!$A$3:$A$16128)-ROW($A$3)+1),ROWS(D$4:D36))),"")</f>
        <v/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IF(ROWS(A$4:A37)&lt;=$B$2,INDEX(data!C$3:C$16128,SMALL(IF(data!$D$3:$D$16128='Манастирски'!$B$1,ROW(data!$A$3:$A$16128)-ROW($A$3)+1),ROWS(A$4:A37))),"")</f>
        <v>46076</v>
      </c>
      <c r="B37" s="19" t="str">
        <f t="array" ref="B37">IF(ROWS(B$4:B37)&lt;=$B$2,INDEX(data!A$3:A$16128,SMALL(IF(data!$D$3:$D$16128='Манастирски'!$B$1,ROW(data!$A$3:$A$16128)-ROW($A$3)+1),ROWS(B$4:B37))),"")</f>
        <v>КАСОВА КНИГА</v>
      </c>
      <c r="C37" s="19">
        <f t="array" ref="C37">IF(ROWS(C$4:C37)&lt;=$B$2,INDEX(data!B$3:B$16128,SMALL(IF(data!$D$3:$D$16128='Манастирски'!$B$1,ROW(data!$A$3:$A$16128)-ROW($A$3)+1),ROWS(C$4:C37))),"")</f>
        <v>-350</v>
      </c>
      <c r="D37" s="7" t="str">
        <f t="array" ref="D37">IF(ROWS(D$4:D37)&lt;=$B$2,INDEX(data!E$3:E$16128,SMALL(IF(data!$D$3:$D$16128='Манастирски'!$B$1,ROW(data!$A$3:$A$16128)-ROW($A$3)+1),ROWS(D$4:D37))),"")</f>
        <v/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IF(ROWS(A$4:A38)&lt;=$B$2,INDEX(data!C$3:C$16128,SMALL(IF(data!$D$3:$D$16128='Манастирски'!$B$1,ROW(data!$A$3:$A$16128)-ROW($A$3)+1),ROWS(A$4:A38))),"")</f>
        <v>46080</v>
      </c>
      <c r="B38" s="19" t="str">
        <f t="array" ref="B38">IF(ROWS(B$4:B38)&lt;=$B$2,INDEX(data!A$3:A$16128,SMALL(IF(data!$D$3:$D$16128='Манастирски'!$B$1,ROW(data!$A$3:$A$16128)-ROW($A$3)+1),ROWS(B$4:B38))),"")</f>
        <v>КАСОВА КНИГА</v>
      </c>
      <c r="C38" s="19">
        <f t="array" ref="C38">IF(ROWS(C$4:C38)&lt;=$B$2,INDEX(data!B$3:B$16128,SMALL(IF(data!$D$3:$D$16128='Манастирски'!$B$1,ROW(data!$A$3:$A$16128)-ROW($A$3)+1),ROWS(C$4:C38))),"")</f>
        <v>-250</v>
      </c>
      <c r="D38" s="7" t="str">
        <f t="array" ref="D38">IF(ROWS(D$4:D38)&lt;=$B$2,INDEX(data!E$3:E$16128,SMALL(IF(data!$D$3:$D$16128='Манастирски'!$B$1,ROW(data!$A$3:$A$16128)-ROW($A$3)+1),ROWS(D$4:D38))),"")</f>
        <v/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IF(ROWS(A$4:A39)&lt;=$B$2,INDEX(data!C$3:C$16128,SMALL(IF(data!$D$3:$D$16128='Манастирски'!$B$1,ROW(data!$A$3:$A$16128)-ROW($A$3)+1),ROWS(A$4:A39))),"")</f>
        <v>46083</v>
      </c>
      <c r="B39" s="19" t="str">
        <f t="array" ref="B39">IF(ROWS(B$4:B39)&lt;=$B$2,INDEX(data!A$3:A$16128,SMALL(IF(data!$D$3:$D$16128='Манастирски'!$B$1,ROW(data!$A$3:$A$16128)-ROW($A$3)+1),ROWS(B$4:B39))),"")</f>
        <v>MYPOS Бакалия</v>
      </c>
      <c r="C39" s="19">
        <f t="array" ref="C39">IF(ROWS(C$4:C39)&lt;=$B$2,INDEX(data!B$3:B$16128,SMALL(IF(data!$D$3:$D$16128='Манастирски'!$B$1,ROW(data!$A$3:$A$16128)-ROW($A$3)+1),ROWS(C$4:C39))),"")</f>
        <v>-4164.44</v>
      </c>
      <c r="D39" s="7" t="str">
        <f t="array" ref="D39">IF(ROWS(D$4:D39)&lt;=$B$2,INDEX(data!E$3:E$16128,SMALL(IF(data!$D$3:$D$16128='Манастирски'!$B$1,ROW(data!$A$3:$A$16128)-ROW($A$3)+1),ROWS(D$4:D39))),"")</f>
        <v/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IF(ROWS(A$4:A40)&lt;=$B$2,INDEX(data!C$3:C$16128,SMALL(IF(data!$D$3:$D$16128='Манастирски'!$B$1,ROW(data!$A$3:$A$16128)-ROW($A$3)+1),ROWS(A$4:A40))),"")</f>
        <v>46085</v>
      </c>
      <c r="B40" s="19" t="str">
        <f t="array" ref="B40">IF(ROWS(B$4:B40)&lt;=$B$2,INDEX(data!A$3:A$16128,SMALL(IF(data!$D$3:$D$16128='Манастирски'!$B$1,ROW(data!$A$3:$A$16128)-ROW($A$3)+1),ROWS(B$4:B40))),"")</f>
        <v>КАСОВА КНИГА</v>
      </c>
      <c r="C40" s="19">
        <f t="array" ref="C40">IF(ROWS(C$4:C40)&lt;=$B$2,INDEX(data!B$3:B$16128,SMALL(IF(data!$D$3:$D$16128='Манастирски'!$B$1,ROW(data!$A$3:$A$16128)-ROW($A$3)+1),ROWS(C$4:C40))),"")</f>
        <v>500</v>
      </c>
      <c r="D40" s="7" t="str">
        <f t="array" ref="D40">IF(ROWS(D$4:D40)&lt;=$B$2,INDEX(data!E$3:E$16128,SMALL(IF(data!$D$3:$D$16128='Манастирски'!$B$1,ROW(data!$A$3:$A$16128)-ROW($A$3)+1),ROWS(D$4:D40))),"")</f>
        <v>заем</v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IF(ROWS(A$4:A41)&lt;=$B$2,INDEX(data!C$3:C$16128,SMALL(IF(data!$D$3:$D$16128='Манастирски'!$B$1,ROW(data!$A$3:$A$16128)-ROW($A$3)+1),ROWS(A$4:A41))),"")</f>
        <v>46086</v>
      </c>
      <c r="B41" s="19" t="str">
        <f t="array" ref="B41">IF(ROWS(B$4:B41)&lt;=$B$2,INDEX(data!A$3:A$16128,SMALL(IF(data!$D$3:$D$16128='Манастирски'!$B$1,ROW(data!$A$3:$A$16128)-ROW($A$3)+1),ROWS(B$4:B41))),"")</f>
        <v>ЗАЕМ</v>
      </c>
      <c r="C41" s="19">
        <f t="array" ref="C41">IF(ROWS(C$4:C41)&lt;=$B$2,INDEX(data!B$3:B$16128,SMALL(IF(data!$D$3:$D$16128='Манастирски'!$B$1,ROW(data!$A$3:$A$16128)-ROW($A$3)+1),ROWS(C$4:C41))),"")</f>
        <v>19866.42</v>
      </c>
      <c r="D41" s="7" t="str">
        <f t="array" ref="D41">IF(ROWS(D$4:D41)&lt;=$B$2,INDEX(data!E$3:E$16128,SMALL(IF(data!$D$3:$D$16128='Манастирски'!$B$1,ROW(data!$A$3:$A$16128)-ROW($A$3)+1),ROWS(D$4:D41))),"")</f>
        <v>Салдо склад + вътр. п-не</v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IF(ROWS(A$4:A42)&lt;=$B$2,INDEX(data!C$3:C$16128,SMALL(IF(data!$D$3:$D$16128='Манастирски'!$B$1,ROW(data!$A$3:$A$16128)-ROW($A$3)+1),ROWS(A$4:A42))),"")</f>
        <v>46087</v>
      </c>
      <c r="B42" s="19" t="str">
        <f t="array" ref="B42">IF(ROWS(B$4:B42)&lt;=$B$2,INDEX(data!A$3:A$16128,SMALL(IF(data!$D$3:$D$16128='Манастирски'!$B$1,ROW(data!$A$3:$A$16128)-ROW($A$3)+1),ROWS(B$4:B42))),"")</f>
        <v>КАСОВА КНИГА</v>
      </c>
      <c r="C42" s="19">
        <f t="array" ref="C42">IF(ROWS(C$4:C42)&lt;=$B$2,INDEX(data!B$3:B$16128,SMALL(IF(data!$D$3:$D$16128='Манастирски'!$B$1,ROW(data!$A$3:$A$16128)-ROW($A$3)+1),ROWS(C$4:C42))),"")</f>
        <v>-250</v>
      </c>
      <c r="D42" s="7" t="str">
        <f t="array" ref="D42">IF(ROWS(D$4:D42)&lt;=$B$2,INDEX(data!E$3:E$16128,SMALL(IF(data!$D$3:$D$16128='Манастирски'!$B$1,ROW(data!$A$3:$A$16128)-ROW($A$3)+1),ROWS(D$4:D42))),"")</f>
        <v/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IF(ROWS(A$4:A43)&lt;=$B$2,INDEX(data!C$3:C$16128,SMALL(IF(data!$D$3:$D$16128='Манастирски'!$B$1,ROW(data!$A$3:$A$16128)-ROW($A$3)+1),ROWS(A$4:A43))),"")</f>
        <v>46087</v>
      </c>
      <c r="B43" s="19" t="str">
        <f t="array" ref="B43">IF(ROWS(B$4:B43)&lt;=$B$2,INDEX(data!A$3:A$16128,SMALL(IF(data!$D$3:$D$16128='Манастирски'!$B$1,ROW(data!$A$3:$A$16128)-ROW($A$3)+1),ROWS(B$4:B43))),"")</f>
        <v>Каса ВАУЧЕРИ</v>
      </c>
      <c r="C43" s="19">
        <f t="array" ref="C43">IF(ROWS(C$4:C43)&lt;=$B$2,INDEX(data!B$3:B$16128,SMALL(IF(data!$D$3:$D$16128='Манастирски'!$B$1,ROW(data!$A$3:$A$16128)-ROW($A$3)+1),ROWS(C$4:C43))),"")</f>
        <v>-41</v>
      </c>
      <c r="D43" s="7" t="str">
        <f t="array" ref="D43">IF(ROWS(D$4:D43)&lt;=$B$2,INDEX(data!E$3:E$16128,SMALL(IF(data!$D$3:$D$16128='Манастирски'!$B$1,ROW(data!$A$3:$A$16128)-ROW($A$3)+1),ROWS(D$4:D43))),"")</f>
        <v>за 16-22.02</v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IF(ROWS(A$4:A44)&lt;=$B$2,INDEX(data!C$3:C$16128,SMALL(IF(data!$D$3:$D$16128='Манастирски'!$B$1,ROW(data!$A$3:$A$16128)-ROW($A$3)+1),ROWS(A$4:A44))),"")</f>
        <v>46085</v>
      </c>
      <c r="B44" s="19" t="str">
        <f t="array" ref="B44">IF(ROWS(B$4:B44)&lt;=$B$2,INDEX(data!A$3:A$16128,SMALL(IF(data!$D$3:$D$16128='Манастирски'!$B$1,ROW(data!$A$3:$A$16128)-ROW($A$3)+1),ROWS(B$4:B44))),"")</f>
        <v>ПОС ДСК Бакалия</v>
      </c>
      <c r="C44" s="19">
        <f t="array" ref="C44">IF(ROWS(C$4:C44)&lt;=$B$2,INDEX(data!B$3:B$16128,SMALL(IF(data!$D$3:$D$16128='Манастирски'!$B$1,ROW(data!$A$3:$A$16128)-ROW($A$3)+1),ROWS(C$4:C44))),"")</f>
        <v>-1726.15</v>
      </c>
      <c r="D44" s="7" t="str">
        <f t="array" ref="D44">IF(ROWS(D$4:D44)&lt;=$B$2,INDEX(data!E$3:E$16128,SMALL(IF(data!$D$3:$D$16128='Манастирски'!$B$1,ROW(data!$A$3:$A$16128)-ROW($A$3)+1),ROWS(D$4:D44))),"")</f>
        <v/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IF(ROWS(A$4:A45)&lt;=$B$2,INDEX(data!C$3:C$16128,SMALL(IF(data!$D$3:$D$16128='Манастирски'!$B$1,ROW(data!$A$3:$A$16128)-ROW($A$3)+1),ROWS(A$4:A45))),"")</f>
        <v>46090</v>
      </c>
      <c r="B45" s="19" t="str">
        <f t="array" ref="B45">IF(ROWS(B$4:B45)&lt;=$B$2,INDEX(data!A$3:A$16128,SMALL(IF(data!$D$3:$D$16128='Манастирски'!$B$1,ROW(data!$A$3:$A$16128)-ROW($A$3)+1),ROWS(B$4:B45))),"")</f>
        <v>MYPOS Бакалия</v>
      </c>
      <c r="C45" s="19">
        <f t="array" ref="C45">IF(ROWS(C$4:C45)&lt;=$B$2,INDEX(data!B$3:B$16128,SMALL(IF(data!$D$3:$D$16128='Манастирски'!$B$1,ROW(data!$A$3:$A$16128)-ROW($A$3)+1),ROWS(C$4:C45))),"")</f>
        <v>-3267.56</v>
      </c>
      <c r="D45" s="7" t="str">
        <f t="array" ref="D45">IF(ROWS(D$4:D45)&lt;=$B$2,INDEX(data!E$3:E$16128,SMALL(IF(data!$D$3:$D$16128='Манастирски'!$B$1,ROW(data!$A$3:$A$16128)-ROW($A$3)+1),ROWS(D$4:D45))),"")</f>
        <v/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IF(ROWS(A$4:A46)&lt;=$B$2,INDEX(data!C$3:C$16128,SMALL(IF(data!$D$3:$D$16128='Манастирски'!$B$1,ROW(data!$A$3:$A$16128)-ROW($A$3)+1),ROWS(A$4:A46))),"")</f>
        <v>46090</v>
      </c>
      <c r="B46" s="19" t="str">
        <f t="array" ref="B46">IF(ROWS(B$4:B46)&lt;=$B$2,INDEX(data!A$3:A$16128,SMALL(IF(data!$D$3:$D$16128='Манастирски'!$B$1,ROW(data!$A$3:$A$16128)-ROW($A$3)+1),ROWS(B$4:B46))),"")</f>
        <v>ПроКредит бакал</v>
      </c>
      <c r="C46" s="19">
        <f t="array" ref="C46">IF(ROWS(C$4:C46)&lt;=$B$2,INDEX(data!B$3:B$16128,SMALL(IF(data!$D$3:$D$16128='Манастирски'!$B$1,ROW(data!$A$3:$A$16128)-ROW($A$3)+1),ROWS(C$4:C46))),"")</f>
        <v>-2359</v>
      </c>
      <c r="D46" s="7" t="str">
        <f t="array" ref="D46">IF(ROWS(D$4:D46)&lt;=$B$2,INDEX(data!E$3:E$16128,SMALL(IF(data!$D$3:$D$16128='Манастирски'!$B$1,ROW(data!$A$3:$A$16128)-ROW($A$3)+1),ROWS(D$4:D46))),"")</f>
        <v/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IF(ROWS(A$4:A47)&lt;=$B$2,INDEX(data!C$3:C$16128,SMALL(IF(data!$D$3:$D$16128='Манастирски'!$B$1,ROW(data!$A$3:$A$16128)-ROW($A$3)+1),ROWS(A$4:A47))),"")</f>
        <v>46091</v>
      </c>
      <c r="B47" s="19" t="str">
        <f t="array" ref="B47">IF(ROWS(B$4:B47)&lt;=$B$2,INDEX(data!A$3:A$16128,SMALL(IF(data!$D$3:$D$16128='Манастирски'!$B$1,ROW(data!$A$3:$A$16128)-ROW($A$3)+1),ROWS(B$4:B47))),"")</f>
        <v>каса ФИКТИВНА</v>
      </c>
      <c r="C47" s="19">
        <f t="array" ref="C47">IF(ROWS(C$4:C47)&lt;=$B$2,INDEX(data!B$3:B$16128,SMALL(IF(data!$D$3:$D$16128='Манастирски'!$B$1,ROW(data!$A$3:$A$16128)-ROW($A$3)+1),ROWS(C$4:C47))),"")</f>
        <v>-160</v>
      </c>
      <c r="D47" s="7" t="str">
        <f t="array" ref="D47">IF(ROWS(D$4:D47)&lt;=$B$2,INDEX(data!E$3:E$16128,SMALL(IF(data!$D$3:$D$16128='Манастирски'!$B$1,ROW(data!$A$3:$A$16128)-ROW($A$3)+1),ROWS(D$4:D47))),"")</f>
        <v>Краси от премиите</v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IF(ROWS(A$4:A48)&lt;=$B$2,INDEX(data!C$3:C$16128,SMALL(IF(data!$D$3:$D$16128='Манастирски'!$B$1,ROW(data!$A$3:$A$16128)-ROW($A$3)+1),ROWS(A$4:A48))),"")</f>
        <v>46097</v>
      </c>
      <c r="B48" s="19" t="str">
        <f t="array" ref="B48">IF(ROWS(B$4:B48)&lt;=$B$2,INDEX(data!A$3:A$16128,SMALL(IF(data!$D$3:$D$16128='Манастирски'!$B$1,ROW(data!$A$3:$A$16128)-ROW($A$3)+1),ROWS(B$4:B48))),"")</f>
        <v>MYPOS Бакалия</v>
      </c>
      <c r="C48" s="19">
        <f t="array" ref="C48">IF(ROWS(C$4:C48)&lt;=$B$2,INDEX(data!B$3:B$16128,SMALL(IF(data!$D$3:$D$16128='Манастирски'!$B$1,ROW(data!$A$3:$A$16128)-ROW($A$3)+1),ROWS(C$4:C48))),"")</f>
        <v>-5648.58</v>
      </c>
      <c r="D48" s="7" t="str">
        <f t="array" ref="D48">IF(ROWS(D$4:D48)&lt;=$B$2,INDEX(data!E$3:E$16128,SMALL(IF(data!$D$3:$D$16128='Манастирски'!$B$1,ROW(data!$A$3:$A$16128)-ROW($A$3)+1),ROWS(D$4:D48))),"")</f>
        <v/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IF(ROWS(A$4:A49)&lt;=$B$2,INDEX(data!C$3:C$16128,SMALL(IF(data!$D$3:$D$16128='Манастирски'!$B$1,ROW(data!$A$3:$A$16128)-ROW($A$3)+1),ROWS(A$4:A49))),"")</f>
        <v>46097</v>
      </c>
      <c r="B49" s="19" t="str">
        <f t="array" ref="B49">IF(ROWS(B$4:B49)&lt;=$B$2,INDEX(data!A$3:A$16128,SMALL(IF(data!$D$3:$D$16128='Манастирски'!$B$1,ROW(data!$A$3:$A$16128)-ROW($A$3)+1),ROWS(B$4:B49))),"")</f>
        <v>КАСОВА КНИГА</v>
      </c>
      <c r="C49" s="19">
        <f t="array" ref="C49">IF(ROWS(C$4:C49)&lt;=$B$2,INDEX(data!B$3:B$16128,SMALL(IF(data!$D$3:$D$16128='Манастирски'!$B$1,ROW(data!$A$3:$A$16128)-ROW($A$3)+1),ROWS(C$4:C49))),"")</f>
        <v>-300.002</v>
      </c>
      <c r="D49" s="7" t="str">
        <f t="array" ref="D49">IF(ROWS(D$4:D49)&lt;=$B$2,INDEX(data!E$3:E$16128,SMALL(IF(data!$D$3:$D$16128='Манастирски'!$B$1,ROW(data!$A$3:$A$16128)-ROW($A$3)+1),ROWS(D$4:D49))),"")</f>
        <v/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IF(ROWS(A$4:A50)&lt;=$B$2,INDEX(data!C$3:C$16128,SMALL(IF(data!$D$3:$D$16128='Манастирски'!$B$1,ROW(data!$A$3:$A$16128)-ROW($A$3)+1),ROWS(A$4:A50))),"")</f>
        <v>46101</v>
      </c>
      <c r="B50" s="19" t="str">
        <f t="array" ref="B50">IF(ROWS(B$4:B50)&lt;=$B$2,INDEX(data!A$3:A$16128,SMALL(IF(data!$D$3:$D$16128='Манастирски'!$B$1,ROW(data!$A$3:$A$16128)-ROW($A$3)+1),ROWS(B$4:B50))),"")</f>
        <v>Каса ВАУЧЕРИ</v>
      </c>
      <c r="C50" s="19">
        <f t="array" ref="C50">IF(ROWS(C$4:C50)&lt;=$B$2,INDEX(data!B$3:B$16128,SMALL(IF(data!$D$3:$D$16128='Манастирски'!$B$1,ROW(data!$A$3:$A$16128)-ROW($A$3)+1),ROWS(C$4:C50))),"")</f>
        <v>-5</v>
      </c>
      <c r="D50" s="7" t="str">
        <f t="array" ref="D50">IF(ROWS(D$4:D50)&lt;=$B$2,INDEX(data!E$3:E$16128,SMALL(IF(data!$D$3:$D$16128='Манастирски'!$B$1,ROW(data!$A$3:$A$16128)-ROW($A$3)+1),ROWS(D$4:D50))),"")</f>
        <v>от 02-08.03</v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IF(ROWS(A$4:A51)&lt;=$B$2,INDEX(data!C$3:C$16128,SMALL(IF(data!$D$3:$D$16128='Манастирски'!$B$1,ROW(data!$A$3:$A$16128)-ROW($A$3)+1),ROWS(A$4:A51))),"")</f>
        <v>46104</v>
      </c>
      <c r="B51" s="19" t="str">
        <f t="array" ref="B51">IF(ROWS(B$4:B51)&lt;=$B$2,INDEX(data!A$3:A$16128,SMALL(IF(data!$D$3:$D$16128='Манастирски'!$B$1,ROW(data!$A$3:$A$16128)-ROW($A$3)+1),ROWS(B$4:B51))),"")</f>
        <v>MYPOS Бакалия</v>
      </c>
      <c r="C51" s="19">
        <f t="array" ref="C51">IF(ROWS(C$4:C51)&lt;=$B$2,INDEX(data!B$3:B$16128,SMALL(IF(data!$D$3:$D$16128='Манастирски'!$B$1,ROW(data!$A$3:$A$16128)-ROW($A$3)+1),ROWS(C$4:C51))),"")</f>
        <v>-4746.388</v>
      </c>
      <c r="D51" s="7" t="str">
        <f t="array" ref="D51">IF(ROWS(D$4:D51)&lt;=$B$2,INDEX(data!E$3:E$16128,SMALL(IF(data!$D$3:$D$16128='Манастирски'!$B$1,ROW(data!$A$3:$A$16128)-ROW($A$3)+1),ROWS(D$4:D51))),"")</f>
        <v/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IF(ROWS(A$4:A52)&lt;=$B$2,INDEX(data!C$3:C$16128,SMALL(IF(data!$D$3:$D$16128='Манастирски'!$B$1,ROW(data!$A$3:$A$16128)-ROW($A$3)+1),ROWS(A$4:A52))),"")</f>
        <v>46104</v>
      </c>
      <c r="B52" s="19" t="str">
        <f t="array" ref="B52">IF(ROWS(B$4:B52)&lt;=$B$2,INDEX(data!A$3:A$16128,SMALL(IF(data!$D$3:$D$16128='Манастирски'!$B$1,ROW(data!$A$3:$A$16128)-ROW($A$3)+1),ROWS(B$4:B52))),"")</f>
        <v>КАСОВА КНИГА</v>
      </c>
      <c r="C52" s="19">
        <f t="array" ref="C52">IF(ROWS(C$4:C52)&lt;=$B$2,INDEX(data!B$3:B$16128,SMALL(IF(data!$D$3:$D$16128='Манастирски'!$B$1,ROW(data!$A$3:$A$16128)-ROW($A$3)+1),ROWS(C$4:C52))),"")</f>
        <v>500</v>
      </c>
      <c r="D52" s="7" t="str">
        <f t="array" ref="D52">IF(ROWS(D$4:D52)&lt;=$B$2,INDEX(data!E$3:E$16128,SMALL(IF(data!$D$3:$D$16128='Манастирски'!$B$1,ROW(data!$A$3:$A$16128)-ROW($A$3)+1),ROWS(D$4:D52))),"")</f>
        <v>заем</v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IF(ROWS(A$4:A53)&lt;=$B$2,INDEX(data!C$3:C$16128,SMALL(IF(data!$D$3:$D$16128='Манастирски'!$B$1,ROW(data!$A$3:$A$16128)-ROW($A$3)+1),ROWS(A$4:A53))),"")</f>
        <v>46104</v>
      </c>
      <c r="B53" s="19" t="str">
        <f t="array" ref="B53">IF(ROWS(B$4:B53)&lt;=$B$2,INDEX(data!A$3:A$16128,SMALL(IF(data!$D$3:$D$16128='Манастирски'!$B$1,ROW(data!$A$3:$A$16128)-ROW($A$3)+1),ROWS(B$4:B53))),"")</f>
        <v>Каса ВАУЧЕРИ</v>
      </c>
      <c r="C53" s="19">
        <f t="array" ref="C53">IF(ROWS(C$4:C53)&lt;=$B$2,INDEX(data!B$3:B$16128,SMALL(IF(data!$D$3:$D$16128='Манастирски'!$B$1,ROW(data!$A$3:$A$16128)-ROW($A$3)+1),ROWS(C$4:C53))),"")</f>
        <v>400</v>
      </c>
      <c r="D53" s="7" t="str">
        <f t="array" ref="D53">IF(ROWS(D$4:D53)&lt;=$B$2,INDEX(data!E$3:E$16128,SMALL(IF(data!$D$3:$D$16128='Манастирски'!$B$1,ROW(data!$A$3:$A$16128)-ROW($A$3)+1),ROWS(D$4:D53))),"")</f>
        <v>ваучери персонал</v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IF(ROWS(A$4:A54)&lt;=$B$2,INDEX(data!C$3:C$16128,SMALL(IF(data!$D$3:$D$16128='Манастирски'!$B$1,ROW(data!$A$3:$A$16128)-ROW($A$3)+1),ROWS(A$4:A54))),"")</f>
        <v>46111</v>
      </c>
      <c r="B54" s="19" t="str">
        <f t="array" ref="B54">IF(ROWS(B$4:B54)&lt;=$B$2,INDEX(data!A$3:A$16128,SMALL(IF(data!$D$3:$D$16128='Манастирски'!$B$1,ROW(data!$A$3:$A$16128)-ROW($A$3)+1),ROWS(B$4:B54))),"")</f>
        <v>MYPOS Бакалия</v>
      </c>
      <c r="C54" s="19">
        <f t="array" ref="C54">IF(ROWS(C$4:C54)&lt;=$B$2,INDEX(data!B$3:B$16128,SMALL(IF(data!$D$3:$D$16128='Манастирски'!$B$1,ROW(data!$A$3:$A$16128)-ROW($A$3)+1),ROWS(C$4:C54))),"")</f>
        <v>-4721.57</v>
      </c>
      <c r="D54" s="7" t="str">
        <f t="array" ref="D54">IF(ROWS(D$4:D54)&lt;=$B$2,INDEX(data!E$3:E$16128,SMALL(IF(data!$D$3:$D$16128='Манастирски'!$B$1,ROW(data!$A$3:$A$16128)-ROW($A$3)+1),ROWS(D$4:D54))),"")</f>
        <v/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IF(ROWS(A$4:A55)&lt;=$B$2,INDEX(data!C$3:C$16128,SMALL(IF(data!$D$3:$D$16128='Манастирски'!$B$1,ROW(data!$A$3:$A$16128)-ROW($A$3)+1),ROWS(A$4:A55))),"")</f>
        <v>46111</v>
      </c>
      <c r="B55" s="19" t="str">
        <f t="array" ref="B55">IF(ROWS(B$4:B55)&lt;=$B$2,INDEX(data!A$3:A$16128,SMALL(IF(data!$D$3:$D$16128='Манастирски'!$B$1,ROW(data!$A$3:$A$16128)-ROW($A$3)+1),ROWS(B$4:B55))),"")</f>
        <v>КАСОВА КНИГА</v>
      </c>
      <c r="C55" s="19">
        <f t="array" ref="C55">IF(ROWS(C$4:C55)&lt;=$B$2,INDEX(data!B$3:B$16128,SMALL(IF(data!$D$3:$D$16128='Манастирски'!$B$1,ROW(data!$A$3:$A$16128)-ROW($A$3)+1),ROWS(C$4:C55))),"")</f>
        <v>500</v>
      </c>
      <c r="D55" s="7" t="str">
        <f t="array" ref="D55">IF(ROWS(D$4:D55)&lt;=$B$2,INDEX(data!E$3:E$16128,SMALL(IF(data!$D$3:$D$16128='Манастирски'!$B$1,ROW(data!$A$3:$A$16128)-ROW($A$3)+1),ROWS(D$4:D55))),"")</f>
        <v>заем</v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IF(ROWS(A$4:A56)&lt;=$B$2,INDEX(data!C$3:C$16128,SMALL(IF(data!$D$3:$D$16128='Манастирски'!$B$1,ROW(data!$A$3:$A$16128)-ROW($A$3)+1),ROWS(A$4:A56))),"")</f>
        <v>46112</v>
      </c>
      <c r="B56" s="19" t="str">
        <f t="array" ref="B56">IF(ROWS(B$4:B56)&lt;=$B$2,INDEX(data!A$3:A$16128,SMALL(IF(data!$D$3:$D$16128='Манастирски'!$B$1,ROW(data!$A$3:$A$16128)-ROW($A$3)+1),ROWS(B$4:B56))),"")</f>
        <v>ЗАЕМ</v>
      </c>
      <c r="C56" s="19">
        <f t="array" ref="C56">IF(ROWS(C$4:C56)&lt;=$B$2,INDEX(data!B$3:B$16128,SMALL(IF(data!$D$3:$D$16128='Манастирски'!$B$1,ROW(data!$A$3:$A$16128)-ROW($A$3)+1),ROWS(C$4:C56))),"")</f>
        <v>21823.73</v>
      </c>
      <c r="D56" s="7" t="str">
        <f t="array" ref="D56">IF(ROWS(D$4:D56)&lt;=$B$2,INDEX(data!E$3:E$16128,SMALL(IF(data!$D$3:$D$16128='Манастирски'!$B$1,ROW(data!$A$3:$A$16128)-ROW($A$3)+1),ROWS(D$4:D56))),"")</f>
        <v>Салдо склад + вътр</v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IF(ROWS(A$4:A57)&lt;=$B$2,INDEX(data!C$3:C$16128,SMALL(IF(data!$D$3:$D$16128='Манастирски'!$B$1,ROW(data!$A$3:$A$16128)-ROW($A$3)+1),ROWS(A$4:A57))),"")</f>
        <v>46113</v>
      </c>
      <c r="B57" s="19" t="str">
        <f t="array" ref="B57">IF(ROWS(B$4:B57)&lt;=$B$2,INDEX(data!A$3:A$16128,SMALL(IF(data!$D$3:$D$16128='Манастирски'!$B$1,ROW(data!$A$3:$A$16128)-ROW($A$3)+1),ROWS(B$4:B57))),"")</f>
        <v>КАСОВА КНИГА</v>
      </c>
      <c r="C57" s="19">
        <f t="array" ref="C57">IF(ROWS(C$4:C57)&lt;=$B$2,INDEX(data!B$3:B$16128,SMALL(IF(data!$D$3:$D$16128='Манастирски'!$B$1,ROW(data!$A$3:$A$16128)-ROW($A$3)+1),ROWS(C$4:C57))),"")</f>
        <v>500</v>
      </c>
      <c r="D57" s="7" t="str">
        <f t="array" ref="D57">IF(ROWS(D$4:D57)&lt;=$B$2,INDEX(data!E$3:E$16128,SMALL(IF(data!$D$3:$D$16128='Манастирски'!$B$1,ROW(data!$A$3:$A$16128)-ROW($A$3)+1),ROWS(D$4:D57))),"")</f>
        <v>заем</v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IF(ROWS(A$4:A58)&lt;=$B$2,INDEX(data!C$3:C$16128,SMALL(IF(data!$D$3:$D$16128='Манастирски'!$B$1,ROW(data!$A$3:$A$16128)-ROW($A$3)+1),ROWS(A$4:A58))),"")</f>
        <v>46115</v>
      </c>
      <c r="B58" s="19" t="str">
        <f t="array" ref="B58">IF(ROWS(B$4:B58)&lt;=$B$2,INDEX(data!A$3:A$16128,SMALL(IF(data!$D$3:$D$16128='Манастирски'!$B$1,ROW(data!$A$3:$A$16128)-ROW($A$3)+1),ROWS(B$4:B58))),"")</f>
        <v>каса ФИКТИВНА</v>
      </c>
      <c r="C58" s="19">
        <f t="array" ref="C58">IF(ROWS(C$4:C58)&lt;=$B$2,INDEX(data!B$3:B$16128,SMALL(IF(data!$D$3:$D$16128='Манастирски'!$B$1,ROW(data!$A$3:$A$16128)-ROW($A$3)+1),ROWS(C$4:C58))),"")</f>
        <v>-250</v>
      </c>
      <c r="D58" s="7" t="str">
        <f t="array" ref="D58">IF(ROWS(D$4:D58)&lt;=$B$2,INDEX(data!E$3:E$16128,SMALL(IF(data!$D$3:$D$16128='Манастирски'!$B$1,ROW(data!$A$3:$A$16128)-ROW($A$3)+1),ROWS(D$4:D58))),"")</f>
        <v>Краси от премиите</v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IF(ROWS(A$4:A59)&lt;=$B$2,INDEX(data!C$3:C$16128,SMALL(IF(data!$D$3:$D$16128='Манастирски'!$B$1,ROW(data!$A$3:$A$16128)-ROW($A$3)+1),ROWS(A$4:A59))),"")</f>
        <v>46118</v>
      </c>
      <c r="B59" s="19" t="str">
        <f t="array" ref="B59">IF(ROWS(B$4:B59)&lt;=$B$2,INDEX(data!A$3:A$16128,SMALL(IF(data!$D$3:$D$16128='Манастирски'!$B$1,ROW(data!$A$3:$A$16128)-ROW($A$3)+1),ROWS(B$4:B59))),"")</f>
        <v>MYPOS Бакалия</v>
      </c>
      <c r="C59" s="19">
        <f t="array" ref="C59">IF(ROWS(C$4:C59)&lt;=$B$2,INDEX(data!B$3:B$16128,SMALL(IF(data!$D$3:$D$16128='Манастирски'!$B$1,ROW(data!$A$3:$A$16128)-ROW($A$3)+1),ROWS(C$4:C59))),"")</f>
        <v>-6251.21</v>
      </c>
      <c r="D59" s="7" t="str">
        <f t="array" ref="D59">IF(ROWS(D$4:D59)&lt;=$B$2,INDEX(data!E$3:E$16128,SMALL(IF(data!$D$3:$D$16128='Манастирски'!$B$1,ROW(data!$A$3:$A$16128)-ROW($A$3)+1),ROWS(D$4:D59))),"")</f>
        <v/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IF(ROWS(A$4:A60)&lt;=$B$2,INDEX(data!C$3:C$16128,SMALL(IF(data!$D$3:$D$16128='Манастирски'!$B$1,ROW(data!$A$3:$A$16128)-ROW($A$3)+1),ROWS(A$4:A60))),"")</f>
        <v>46118</v>
      </c>
      <c r="B60" s="19" t="str">
        <f t="array" ref="B60">IF(ROWS(B$4:B60)&lt;=$B$2,INDEX(data!A$3:A$16128,SMALL(IF(data!$D$3:$D$16128='Манастирски'!$B$1,ROW(data!$A$3:$A$16128)-ROW($A$3)+1),ROWS(B$4:B60))),"")</f>
        <v>КАСОВА КНИГА</v>
      </c>
      <c r="C60" s="19">
        <f t="array" ref="C60">IF(ROWS(C$4:C60)&lt;=$B$2,INDEX(data!B$3:B$16128,SMALL(IF(data!$D$3:$D$16128='Манастирски'!$B$1,ROW(data!$A$3:$A$16128)-ROW($A$3)+1),ROWS(C$4:C60))),"")</f>
        <v>1000</v>
      </c>
      <c r="D60" s="7" t="str">
        <f t="array" ref="D60">IF(ROWS(D$4:D60)&lt;=$B$2,INDEX(data!E$3:E$16128,SMALL(IF(data!$D$3:$D$16128='Манастирски'!$B$1,ROW(data!$A$3:$A$16128)-ROW($A$3)+1),ROWS(D$4:D60))),"")</f>
        <v>заем</v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IF(ROWS(A$4:A61)&lt;=$B$2,INDEX(data!C$3:C$16128,SMALL(IF(data!$D$3:$D$16128='Манастирски'!$B$1,ROW(data!$A$3:$A$16128)-ROW($A$3)+1),ROWS(A$4:A61))),"")</f>
        <v>46118</v>
      </c>
      <c r="B61" s="19" t="str">
        <f t="array" ref="B61">IF(ROWS(B$4:B61)&lt;=$B$2,INDEX(data!A$3:A$16128,SMALL(IF(data!$D$3:$D$16128='Манастирски'!$B$1,ROW(data!$A$3:$A$16128)-ROW($A$3)+1),ROWS(B$4:B61))),"")</f>
        <v>ПОС ДСК Бакалия</v>
      </c>
      <c r="C61" s="19">
        <f t="array" ref="C61">IF(ROWS(C$4:C61)&lt;=$B$2,INDEX(data!B$3:B$16128,SMALL(IF(data!$D$3:$D$16128='Манастирски'!$B$1,ROW(data!$A$3:$A$16128)-ROW($A$3)+1),ROWS(C$4:C61))),"")</f>
        <v>-2445.25</v>
      </c>
      <c r="D61" s="7" t="str">
        <f t="array" ref="D61">IF(ROWS(D$4:D61)&lt;=$B$2,INDEX(data!E$3:E$16128,SMALL(IF(data!$D$3:$D$16128='Манастирски'!$B$1,ROW(data!$A$3:$A$16128)-ROW($A$3)+1),ROWS(D$4:D61))),"")</f>
        <v>23-29,03</v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IF(ROWS(A$4:A62)&lt;=$B$2,INDEX(data!C$3:C$16128,SMALL(IF(data!$D$3:$D$16128='Манастирски'!$B$1,ROW(data!$A$3:$A$16128)-ROW($A$3)+1),ROWS(A$4:A62))),"")</f>
        <v>46120</v>
      </c>
      <c r="B62" s="19" t="str">
        <f t="array" ref="B62">IF(ROWS(B$4:B62)&lt;=$B$2,INDEX(data!A$3:A$16128,SMALL(IF(data!$D$3:$D$16128='Манастирски'!$B$1,ROW(data!$A$3:$A$16128)-ROW($A$3)+1),ROWS(B$4:B62))),"")</f>
        <v>КАСОВА КНИГА</v>
      </c>
      <c r="C62" s="19">
        <f t="array" ref="C62">IF(ROWS(C$4:C62)&lt;=$B$2,INDEX(data!B$3:B$16128,SMALL(IF(data!$D$3:$D$16128='Манастирски'!$B$1,ROW(data!$A$3:$A$16128)-ROW($A$3)+1),ROWS(C$4:C62))),"")</f>
        <v>1000</v>
      </c>
      <c r="D62" s="7" t="str">
        <f t="array" ref="D62">IF(ROWS(D$4:D62)&lt;=$B$2,INDEX(data!E$3:E$16128,SMALL(IF(data!$D$3:$D$16128='Манастирски'!$B$1,ROW(data!$A$3:$A$16128)-ROW($A$3)+1),ROWS(D$4:D62))),"")</f>
        <v>заем</v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IF(ROWS(A$4:A63)&lt;=$B$2,INDEX(data!C$3:C$16128,SMALL(IF(data!$D$3:$D$16128='Манастирски'!$B$1,ROW(data!$A$3:$A$16128)-ROW($A$3)+1),ROWS(A$4:A63))),"")</f>
        <v>46126</v>
      </c>
      <c r="B63" s="19" t="str">
        <f t="array" ref="B63">IF(ROWS(B$4:B63)&lt;=$B$2,INDEX(data!A$3:A$16128,SMALL(IF(data!$D$3:$D$16128='Манастирски'!$B$1,ROW(data!$A$3:$A$16128)-ROW($A$3)+1),ROWS(B$4:B63))),"")</f>
        <v>MYPOS Бакалия</v>
      </c>
      <c r="C63" s="19">
        <f t="array" ref="C63">IF(ROWS(C$4:C63)&lt;=$B$2,INDEX(data!B$3:B$16128,SMALL(IF(data!$D$3:$D$16128='Манастирски'!$B$1,ROW(data!$A$3:$A$16128)-ROW($A$3)+1),ROWS(C$4:C63))),"")</f>
        <v>-6127.31</v>
      </c>
      <c r="D63" s="7" t="str">
        <f t="array" ref="D63">IF(ROWS(D$4:D63)&lt;=$B$2,INDEX(data!E$3:E$16128,SMALL(IF(data!$D$3:$D$16128='Манастирски'!$B$1,ROW(data!$A$3:$A$16128)-ROW($A$3)+1),ROWS(D$4:D63))),"")</f>
        <v/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IF(ROWS(A$4:A64)&lt;=$B$2,INDEX(data!C$3:C$16128,SMALL(IF(data!$D$3:$D$16128='Манастирски'!$B$1,ROW(data!$A$3:$A$16128)-ROW($A$3)+1),ROWS(A$4:A64))),"")</f>
        <v>46126</v>
      </c>
      <c r="B64" s="19" t="str">
        <f t="array" ref="B64">IF(ROWS(B$4:B64)&lt;=$B$2,INDEX(data!A$3:A$16128,SMALL(IF(data!$D$3:$D$16128='Манастирски'!$B$1,ROW(data!$A$3:$A$16128)-ROW($A$3)+1),ROWS(B$4:B64))),"")</f>
        <v>КАСОВА КНИГА</v>
      </c>
      <c r="C64" s="19">
        <f t="array" ref="C64">IF(ROWS(C$4:C64)&lt;=$B$2,INDEX(data!B$3:B$16128,SMALL(IF(data!$D$3:$D$16128='Манастирски'!$B$1,ROW(data!$A$3:$A$16128)-ROW($A$3)+1),ROWS(C$4:C64))),"")</f>
        <v>-500</v>
      </c>
      <c r="D64" s="7" t="str">
        <f t="array" ref="D64">IF(ROWS(D$4:D64)&lt;=$B$2,INDEX(data!E$3:E$16128,SMALL(IF(data!$D$3:$D$16128='Манастирски'!$B$1,ROW(data!$A$3:$A$16128)-ROW($A$3)+1),ROWS(D$4:D64))),"")</f>
        <v/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IF(ROWS(A$4:A65)&lt;=$B$2,INDEX(data!C$3:C$16128,SMALL(IF(data!$D$3:$D$16128='Манастирски'!$B$1,ROW(data!$A$3:$A$16128)-ROW($A$3)+1),ROWS(A$4:A65))),"")</f>
        <v>46129</v>
      </c>
      <c r="B65" s="19" t="str">
        <f t="array" ref="B65">IF(ROWS(B$4:B65)&lt;=$B$2,INDEX(data!A$3:A$16128,SMALL(IF(data!$D$3:$D$16128='Манастирски'!$B$1,ROW(data!$A$3:$A$16128)-ROW($A$3)+1),ROWS(B$4:B65))),"")</f>
        <v>КАСОВА КНИГА</v>
      </c>
      <c r="C65" s="19">
        <f t="array" ref="C65">IF(ROWS(C$4:C65)&lt;=$B$2,INDEX(data!B$3:B$16128,SMALL(IF(data!$D$3:$D$16128='Манастирски'!$B$1,ROW(data!$A$3:$A$16128)-ROW($A$3)+1),ROWS(C$4:C65))),"")</f>
        <v>500</v>
      </c>
      <c r="D65" s="7" t="str">
        <f t="array" ref="D65">IF(ROWS(D$4:D65)&lt;=$B$2,INDEX(data!E$3:E$16128,SMALL(IF(data!$D$3:$D$16128='Манастирски'!$B$1,ROW(data!$A$3:$A$16128)-ROW($A$3)+1),ROWS(D$4:D65))),"")</f>
        <v>заем</v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IF(ROWS(A$4:A66)&lt;=$B$2,INDEX(data!C$3:C$16128,SMALL(IF(data!$D$3:$D$16128='Манастирски'!$B$1,ROW(data!$A$3:$A$16128)-ROW($A$3)+1),ROWS(A$4:A66))),"")</f>
        <v>46132</v>
      </c>
      <c r="B66" s="19" t="str">
        <f t="array" ref="B66">IF(ROWS(B$4:B66)&lt;=$B$2,INDEX(data!A$3:A$16128,SMALL(IF(data!$D$3:$D$16128='Манастирски'!$B$1,ROW(data!$A$3:$A$16128)-ROW($A$3)+1),ROWS(B$4:B66))),"")</f>
        <v>MYPOS Бакалия</v>
      </c>
      <c r="C66" s="19">
        <f t="array" ref="C66">IF(ROWS(C$4:C66)&lt;=$B$2,INDEX(data!B$3:B$16128,SMALL(IF(data!$D$3:$D$16128='Манастирски'!$B$1,ROW(data!$A$3:$A$16128)-ROW($A$3)+1),ROWS(C$4:C66))),"")</f>
        <v>-5330.58</v>
      </c>
      <c r="D66" s="7" t="str">
        <f t="array" ref="D66">IF(ROWS(D$4:D66)&lt;=$B$2,INDEX(data!E$3:E$16128,SMALL(IF(data!$D$3:$D$16128='Манастирски'!$B$1,ROW(data!$A$3:$A$16128)-ROW($A$3)+1),ROWS(D$4:D66))),"")</f>
        <v/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IF(ROWS(A$4:A67)&lt;=$B$2,INDEX(data!C$3:C$16128,SMALL(IF(data!$D$3:$D$16128='Манастирски'!$B$1,ROW(data!$A$3:$A$16128)-ROW($A$3)+1),ROWS(A$4:A67))),"")</f>
        <v>46134</v>
      </c>
      <c r="B67" s="19" t="str">
        <f t="array" ref="B67">IF(ROWS(B$4:B67)&lt;=$B$2,INDEX(data!A$3:A$16128,SMALL(IF(data!$D$3:$D$16128='Манастирски'!$B$1,ROW(data!$A$3:$A$16128)-ROW($A$3)+1),ROWS(B$4:B67))),"")</f>
        <v>КАСОВА КНИГА</v>
      </c>
      <c r="C67" s="19">
        <f t="array" ref="C67">IF(ROWS(C$4:C67)&lt;=$B$2,INDEX(data!B$3:B$16128,SMALL(IF(data!$D$3:$D$16128='Манастирски'!$B$1,ROW(data!$A$3:$A$16128)-ROW($A$3)+1),ROWS(C$4:C67))),"")</f>
        <v>500</v>
      </c>
      <c r="D67" s="7" t="str">
        <f t="array" ref="D67">IF(ROWS(D$4:D67)&lt;=$B$2,INDEX(data!E$3:E$16128,SMALL(IF(data!$D$3:$D$16128='Манастирски'!$B$1,ROW(data!$A$3:$A$16128)-ROW($A$3)+1),ROWS(D$4:D67))),"")</f>
        <v>заем</v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IF(ROWS(A$4:A68)&lt;=$B$2,INDEX(data!C$3:C$16128,SMALL(IF(data!$D$3:$D$16128='Манастирски'!$B$1,ROW(data!$A$3:$A$16128)-ROW($A$3)+1),ROWS(A$4:A68))),"")</f>
        <v>46134</v>
      </c>
      <c r="B68" s="19" t="str">
        <f t="array" ref="B68">IF(ROWS(B$4:B68)&lt;=$B$2,INDEX(data!A$3:A$16128,SMALL(IF(data!$D$3:$D$16128='Манастирски'!$B$1,ROW(data!$A$3:$A$16128)-ROW($A$3)+1),ROWS(B$4:B68))),"")</f>
        <v>Каса ВАУЧЕРИ</v>
      </c>
      <c r="C68" s="19">
        <f t="array" ref="C68">IF(ROWS(C$4:C68)&lt;=$B$2,INDEX(data!B$3:B$16128,SMALL(IF(data!$D$3:$D$16128='Манастирски'!$B$1,ROW(data!$A$3:$A$16128)-ROW($A$3)+1),ROWS(C$4:C68))),"")</f>
        <v>500</v>
      </c>
      <c r="D68" s="7" t="str">
        <f t="array" ref="D68">IF(ROWS(D$4:D68)&lt;=$B$2,INDEX(data!E$3:E$16128,SMALL(IF(data!$D$3:$D$16128='Манастирски'!$B$1,ROW(data!$A$3:$A$16128)-ROW($A$3)+1),ROWS(D$4:D68))),"")</f>
        <v>ваучери персонал</v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IF(ROWS(A$4:A69)&lt;=$B$2,INDEX(data!C$3:C$16128,SMALL(IF(data!$D$3:$D$16128='Манастирски'!$B$1,ROW(data!$A$3:$A$16128)-ROW($A$3)+1),ROWS(A$4:A69))),"")</f>
        <v>46135</v>
      </c>
      <c r="B69" s="19" t="str">
        <f t="array" ref="B69">IF(ROWS(B$4:B69)&lt;=$B$2,INDEX(data!A$3:A$16128,SMALL(IF(data!$D$3:$D$16128='Манастирски'!$B$1,ROW(data!$A$3:$A$16128)-ROW($A$3)+1),ROWS(B$4:B69))),"")</f>
        <v>Каса ВАУЧЕРИ</v>
      </c>
      <c r="C69" s="19">
        <f t="array" ref="C69">IF(ROWS(C$4:C69)&lt;=$B$2,INDEX(data!B$3:B$16128,SMALL(IF(data!$D$3:$D$16128='Манастирски'!$B$1,ROW(data!$A$3:$A$16128)-ROW($A$3)+1),ROWS(C$4:C69))),"")</f>
        <v>-5</v>
      </c>
      <c r="D69" s="36">
        <f t="array" ref="D69">IF(ROWS(D$4:D69)&lt;=$B$2,INDEX(data!E$3:E$16128,SMALL(IF(data!$D$3:$D$16128='Манастирски'!$B$1,ROW(data!$A$3:$A$16128)-ROW($A$3)+1),ROWS(D$4:D69))),"")</f>
        <v>38327</v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IF(ROWS(A$4:A70)&lt;=$B$2,INDEX(data!C$3:C$16128,SMALL(IF(data!$D$3:$D$16128='Манастирски'!$B$1,ROW(data!$A$3:$A$16128)-ROW($A$3)+1),ROWS(A$4:A70))),"")</f>
        <v>46139</v>
      </c>
      <c r="B70" s="19" t="str">
        <f t="array" ref="B70">IF(ROWS(B$4:B70)&lt;=$B$2,INDEX(data!A$3:A$16128,SMALL(IF(data!$D$3:$D$16128='Манастирски'!$B$1,ROW(data!$A$3:$A$16128)-ROW($A$3)+1),ROWS(B$4:B70))),"")</f>
        <v>MYPOS Бакалия</v>
      </c>
      <c r="C70" s="19">
        <f t="array" ref="C70">IF(ROWS(C$4:C70)&lt;=$B$2,INDEX(data!B$3:B$16128,SMALL(IF(data!$D$3:$D$16128='Манастирски'!$B$1,ROW(data!$A$3:$A$16128)-ROW($A$3)+1),ROWS(C$4:C70))),"")</f>
        <v>-6463.26</v>
      </c>
      <c r="D70" s="7" t="str">
        <f t="array" ref="D70">IF(ROWS(D$4:D70)&lt;=$B$2,INDEX(data!E$3:E$16128,SMALL(IF(data!$D$3:$D$16128='Манастирски'!$B$1,ROW(data!$A$3:$A$16128)-ROW($A$3)+1),ROWS(D$4:D70))),"")</f>
        <v/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IF(ROWS(A$4:A71)&lt;=$B$2,INDEX(data!C$3:C$16128,SMALL(IF(data!$D$3:$D$16128='Манастирски'!$B$1,ROW(data!$A$3:$A$16128)-ROW($A$3)+1),ROWS(A$4:A71))),"")</f>
        <v>46146</v>
      </c>
      <c r="B71" s="19" t="str">
        <f t="array" ref="B71">IF(ROWS(B$4:B71)&lt;=$B$2,INDEX(data!A$3:A$16128,SMALL(IF(data!$D$3:$D$16128='Манастирски'!$B$1,ROW(data!$A$3:$A$16128)-ROW($A$3)+1),ROWS(B$4:B71))),"")</f>
        <v>MYPOS Бакалия</v>
      </c>
      <c r="C71" s="19">
        <f t="array" ref="C71">IF(ROWS(C$4:C71)&lt;=$B$2,INDEX(data!B$3:B$16128,SMALL(IF(data!$D$3:$D$16128='Манастирски'!$B$1,ROW(data!$A$3:$A$16128)-ROW($A$3)+1),ROWS(C$4:C71))),"")</f>
        <v>-349.85</v>
      </c>
      <c r="D71" s="7" t="str">
        <f t="array" ref="D71">IF(ROWS(D$4:D71)&lt;=$B$2,INDEX(data!E$3:E$16128,SMALL(IF(data!$D$3:$D$16128='Манастирски'!$B$1,ROW(data!$A$3:$A$16128)-ROW($A$3)+1),ROWS(D$4:D71))),"")</f>
        <v/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IF(ROWS(A$4:A72)&lt;=$B$2,INDEX(data!C$3:C$16128,SMALL(IF(data!$D$3:$D$16128='Манастирски'!$B$1,ROW(data!$A$3:$A$16128)-ROW($A$3)+1),ROWS(A$4:A72))),"")</f>
        <v>46146</v>
      </c>
      <c r="B72" s="19" t="str">
        <f t="array" ref="B72">IF(ROWS(B$4:B72)&lt;=$B$2,INDEX(data!A$3:A$16128,SMALL(IF(data!$D$3:$D$16128='Манастирски'!$B$1,ROW(data!$A$3:$A$16128)-ROW($A$3)+1),ROWS(B$4:B72))),"")</f>
        <v>ПОС ДСК Бакалия</v>
      </c>
      <c r="C72" s="19">
        <f t="array" ref="C72">IF(ROWS(C$4:C72)&lt;=$B$2,INDEX(data!B$3:B$16128,SMALL(IF(data!$D$3:$D$16128='Манастирски'!$B$1,ROW(data!$A$3:$A$16128)-ROW($A$3)+1),ROWS(C$4:C72))),"")</f>
        <v>-2943.27</v>
      </c>
      <c r="D72" s="7" t="str">
        <f t="array" ref="D72">IF(ROWS(D$4:D72)&lt;=$B$2,INDEX(data!E$3:E$16128,SMALL(IF(data!$D$3:$D$16128='Манастирски'!$B$1,ROW(data!$A$3:$A$16128)-ROW($A$3)+1),ROWS(D$4:D72))),"")</f>
        <v/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IF(ROWS(A$4:A73)&lt;=$B$2,INDEX(data!C$3:C$16128,SMALL(IF(data!$D$3:$D$16128='Манастирски'!$B$1,ROW(data!$A$3:$A$16128)-ROW($A$3)+1),ROWS(A$4:A73))),"")</f>
        <v>46148</v>
      </c>
      <c r="B73" s="19" t="str">
        <f t="array" ref="B73">IF(ROWS(B$4:B73)&lt;=$B$2,INDEX(data!A$3:A$16128,SMALL(IF(data!$D$3:$D$16128='Манастирски'!$B$1,ROW(data!$A$3:$A$16128)-ROW($A$3)+1),ROWS(B$4:B73))),"")</f>
        <v>ЗАЕМ</v>
      </c>
      <c r="C73" s="19">
        <f t="array" ref="C73">IF(ROWS(C$4:C73)&lt;=$B$2,INDEX(data!B$3:B$16128,SMALL(IF(data!$D$3:$D$16128='Манастирски'!$B$1,ROW(data!$A$3:$A$16128)-ROW($A$3)+1),ROWS(C$4:C73))),"")</f>
        <v>30326.58</v>
      </c>
      <c r="D73" s="7" t="str">
        <f t="array" ref="D73">IF(ROWS(D$4:D73)&lt;=$B$2,INDEX(data!E$3:E$16128,SMALL(IF(data!$D$3:$D$16128='Манастирски'!$B$1,ROW(data!$A$3:$A$16128)-ROW($A$3)+1),ROWS(D$4:D73))),"")</f>
        <v>Салдо склад + вътр. п-не</v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IF(ROWS(A$4:A74)&lt;=$B$2,INDEX(data!C$3:C$16128,SMALL(IF(data!$D$3:$D$16128='Манастирски'!$B$1,ROW(data!$A$3:$A$16128)-ROW($A$3)+1),ROWS(A$4:A74))),"")</f>
        <v>46149</v>
      </c>
      <c r="B74" s="19" t="str">
        <f t="array" ref="B74">IF(ROWS(B$4:B74)&lt;=$B$2,INDEX(data!A$3:A$16128,SMALL(IF(data!$D$3:$D$16128='Манастирски'!$B$1,ROW(data!$A$3:$A$16128)-ROW($A$3)+1),ROWS(B$4:B74))),"")</f>
        <v>Каса ВАУЧЕРИ</v>
      </c>
      <c r="C74" s="19">
        <f t="array" ref="C74">IF(ROWS(C$4:C74)&lt;=$B$2,INDEX(data!B$3:B$16128,SMALL(IF(data!$D$3:$D$16128='Манастирски'!$B$1,ROW(data!$A$3:$A$16128)-ROW($A$3)+1),ROWS(C$4:C74))),"")</f>
        <v>-30.002</v>
      </c>
      <c r="D74" s="7" t="str">
        <f t="array" ref="D74">IF(ROWS(D$4:D74)&lt;=$B$2,INDEX(data!E$3:E$16128,SMALL(IF(data!$D$3:$D$16128='Манастирски'!$B$1,ROW(data!$A$3:$A$16128)-ROW($A$3)+1),ROWS(D$4:D74))),"")</f>
        <v>към 27.04</v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IF(ROWS(A$4:A75)&lt;=$B$2,INDEX(data!C$3:C$16128,SMALL(IF(data!$D$3:$D$16128='Манастирски'!$B$1,ROW(data!$A$3:$A$16128)-ROW($A$3)+1),ROWS(A$4:A75))),"")</f>
        <v>46150</v>
      </c>
      <c r="B75" s="19" t="str">
        <f t="array" ref="B75">IF(ROWS(B$4:B75)&lt;=$B$2,INDEX(data!A$3:A$16128,SMALL(IF(data!$D$3:$D$16128='Манастирски'!$B$1,ROW(data!$A$3:$A$16128)-ROW($A$3)+1),ROWS(B$4:B75))),"")</f>
        <v>КАСОВА КНИГА</v>
      </c>
      <c r="C75" s="19">
        <f t="array" ref="C75">IF(ROWS(C$4:C75)&lt;=$B$2,INDEX(data!B$3:B$16128,SMALL(IF(data!$D$3:$D$16128='Манастирски'!$B$1,ROW(data!$A$3:$A$16128)-ROW($A$3)+1),ROWS(C$4:C75))),"")</f>
        <v>500</v>
      </c>
      <c r="D75" s="7" t="str">
        <f t="array" ref="D75">IF(ROWS(D$4:D75)&lt;=$B$2,INDEX(data!E$3:E$16128,SMALL(IF(data!$D$3:$D$16128='Манастирски'!$B$1,ROW(data!$A$3:$A$16128)-ROW($A$3)+1),ROWS(D$4:D75))),"")</f>
        <v>заем</v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IF(ROWS(A$4:A76)&lt;=$B$2,INDEX(data!C$3:C$16128,SMALL(IF(data!$D$3:$D$16128='Манастирски'!$B$1,ROW(data!$A$3:$A$16128)-ROW($A$3)+1),ROWS(A$4:A76))),"")</f>
        <v>46153</v>
      </c>
      <c r="B76" s="19" t="str">
        <f t="array" ref="B76">IF(ROWS(B$4:B76)&lt;=$B$2,INDEX(data!A$3:A$16128,SMALL(IF(data!$D$3:$D$16128='Манастирски'!$B$1,ROW(data!$A$3:$A$16128)-ROW($A$3)+1),ROWS(B$4:B76))),"")</f>
        <v>MYPOS Бакалия</v>
      </c>
      <c r="C76" s="19">
        <f t="array" ref="C76">IF(ROWS(C$4:C76)&lt;=$B$2,INDEX(data!B$3:B$16128,SMALL(IF(data!$D$3:$D$16128='Манастирски'!$B$1,ROW(data!$A$3:$A$16128)-ROW($A$3)+1),ROWS(C$4:C76))),"")</f>
        <v>-6043.91</v>
      </c>
      <c r="D76" s="7" t="str">
        <f t="array" ref="D76">IF(ROWS(D$4:D76)&lt;=$B$2,INDEX(data!E$3:E$16128,SMALL(IF(data!$D$3:$D$16128='Манастирски'!$B$1,ROW(data!$A$3:$A$16128)-ROW($A$3)+1),ROWS(D$4:D76))),"")</f>
        <v/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IF(ROWS(A$4:A77)&lt;=$B$2,INDEX(data!C$3:C$16128,SMALL(IF(data!$D$3:$D$16128='Манастирски'!$B$1,ROW(data!$A$3:$A$16128)-ROW($A$3)+1),ROWS(A$4:A77))),"")</f>
        <v>46153</v>
      </c>
      <c r="B77" s="19" t="str">
        <f t="array" ref="B77">IF(ROWS(B$4:B77)&lt;=$B$2,INDEX(data!A$3:A$16128,SMALL(IF(data!$D$3:$D$16128='Манастирски'!$B$1,ROW(data!$A$3:$A$16128)-ROW($A$3)+1),ROWS(B$4:B77))),"")</f>
        <v>ПОС ДСК Бакалия</v>
      </c>
      <c r="C77" s="19">
        <f t="array" ref="C77">IF(ROWS(C$4:C77)&lt;=$B$2,INDEX(data!B$3:B$16128,SMALL(IF(data!$D$3:$D$16128='Манастирски'!$B$1,ROW(data!$A$3:$A$16128)-ROW($A$3)+1),ROWS(C$4:C77))),"")</f>
        <v>-2442.77</v>
      </c>
      <c r="D77" s="7" t="str">
        <f t="array" ref="D77">IF(ROWS(D$4:D77)&lt;=$B$2,INDEX(data!E$3:E$16128,SMALL(IF(data!$D$3:$D$16128='Манастирски'!$B$1,ROW(data!$A$3:$A$16128)-ROW($A$3)+1),ROWS(D$4:D77))),"")</f>
        <v/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IF(ROWS(A$4:A78)&lt;=$B$2,INDEX(data!C$3:C$16128,SMALL(IF(data!$D$3:$D$16128='Манастирски'!$B$1,ROW(data!$A$3:$A$16128)-ROW($A$3)+1),ROWS(A$4:A78))),"")</f>
        <v>46157</v>
      </c>
      <c r="B78" s="19" t="str">
        <f t="array" ref="B78">IF(ROWS(B$4:B78)&lt;=$B$2,INDEX(data!A$3:A$16128,SMALL(IF(data!$D$3:$D$16128='Манастирски'!$B$1,ROW(data!$A$3:$A$16128)-ROW($A$3)+1),ROWS(B$4:B78))),"")</f>
        <v>Каса ВАУЧЕРИ</v>
      </c>
      <c r="C78" s="19">
        <f t="array" ref="C78">IF(ROWS(C$4:C78)&lt;=$B$2,INDEX(data!B$3:B$16128,SMALL(IF(data!$D$3:$D$16128='Манастирски'!$B$1,ROW(data!$A$3:$A$16128)-ROW($A$3)+1),ROWS(C$4:C78))),"")</f>
        <v>-6</v>
      </c>
      <c r="D78" s="7" t="str">
        <f t="array" ref="D78">IF(ROWS(D$4:D78)&lt;=$B$2,INDEX(data!E$3:E$16128,SMALL(IF(data!$D$3:$D$16128='Манастирски'!$B$1,ROW(data!$A$3:$A$16128)-ROW($A$3)+1),ROWS(D$4:D78))),"")</f>
        <v/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IF(ROWS(A$4:A79)&lt;=$B$2,INDEX(data!C$3:C$16128,SMALL(IF(data!$D$3:$D$16128='Манастирски'!$B$1,ROW(data!$A$3:$A$16128)-ROW($A$3)+1),ROWS(A$4:A79))),"")</f>
        <v>46160</v>
      </c>
      <c r="B79" s="19" t="str">
        <f t="array" ref="B79">IF(ROWS(B$4:B79)&lt;=$B$2,INDEX(data!A$3:A$16128,SMALL(IF(data!$D$3:$D$16128='Манастирски'!$B$1,ROW(data!$A$3:$A$16128)-ROW($A$3)+1),ROWS(B$4:B79))),"")</f>
        <v>MYPOS Бакалия</v>
      </c>
      <c r="C79" s="19">
        <f t="array" ref="C79">IF(ROWS(C$4:C79)&lt;=$B$2,INDEX(data!B$3:B$16128,SMALL(IF(data!$D$3:$D$16128='Манастирски'!$B$1,ROW(data!$A$3:$A$16128)-ROW($A$3)+1),ROWS(C$4:C79))),"")</f>
        <v>-7003.95</v>
      </c>
      <c r="D79" s="7" t="str">
        <f t="array" ref="D79">IF(ROWS(D$4:D79)&lt;=$B$2,INDEX(data!E$3:E$16128,SMALL(IF(data!$D$3:$D$16128='Манастирски'!$B$1,ROW(data!$A$3:$A$16128)-ROW($A$3)+1),ROWS(D$4:D79))),"")</f>
        <v/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IF(ROWS(A$4:A80)&lt;=$B$2,INDEX(data!C$3:C$16128,SMALL(IF(data!$D$3:$D$16128='Манастирски'!$B$1,ROW(data!$A$3:$A$16128)-ROW($A$3)+1),ROWS(A$4:A80))),"")</f>
        <v>46162</v>
      </c>
      <c r="B80" s="19" t="str">
        <f t="array" ref="B80">IF(ROWS(B$4:B80)&lt;=$B$2,INDEX(data!A$3:A$16128,SMALL(IF(data!$D$3:$D$16128='Манастирски'!$B$1,ROW(data!$A$3:$A$16128)-ROW($A$3)+1),ROWS(B$4:B80))),"")</f>
        <v>Каса ВАУЧЕРИ</v>
      </c>
      <c r="C80" s="19">
        <f t="array" ref="C80">IF(ROWS(C$4:C80)&lt;=$B$2,INDEX(data!B$3:B$16128,SMALL(IF(data!$D$3:$D$16128='Манастирски'!$B$1,ROW(data!$A$3:$A$16128)-ROW($A$3)+1),ROWS(C$4:C80))),"")</f>
        <v>400</v>
      </c>
      <c r="D80" s="7" t="str">
        <f t="array" ref="D80">IF(ROWS(D$4:D80)&lt;=$B$2,INDEX(data!E$3:E$16128,SMALL(IF(data!$D$3:$D$16128='Манастирски'!$B$1,ROW(data!$A$3:$A$16128)-ROW($A$3)+1),ROWS(D$4:D80))),"")</f>
        <v>ваучери персонал</v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IF(ROWS(A$4:A81)&lt;=$B$2,INDEX(data!C$3:C$16128,SMALL(IF(data!$D$3:$D$16128='Манастирски'!$B$1,ROW(data!$A$3:$A$16128)-ROW($A$3)+1),ROWS(A$4:A81))),"")</f>
        <v>46167</v>
      </c>
      <c r="B81" s="19" t="str">
        <f t="array" ref="B81">IF(ROWS(B$4:B81)&lt;=$B$2,INDEX(data!A$3:A$16128,SMALL(IF(data!$D$3:$D$16128='Манастирски'!$B$1,ROW(data!$A$3:$A$16128)-ROW($A$3)+1),ROWS(B$4:B81))),"")</f>
        <v>MYPOS Бакалия</v>
      </c>
      <c r="C81" s="19">
        <f t="array" ref="C81">IF(ROWS(C$4:C81)&lt;=$B$2,INDEX(data!B$3:B$16128,SMALL(IF(data!$D$3:$D$16128='Манастирски'!$B$1,ROW(data!$A$3:$A$16128)-ROW($A$3)+1),ROWS(C$4:C81))),"")</f>
        <v>-6870.76</v>
      </c>
      <c r="D81" s="7" t="str">
        <f t="array" ref="D81">IF(ROWS(D$4:D81)&lt;=$B$2,INDEX(data!E$3:E$16128,SMALL(IF(data!$D$3:$D$16128='Манастирски'!$B$1,ROW(data!$A$3:$A$16128)-ROW($A$3)+1),ROWS(D$4:D81))),"")</f>
        <v/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IF(ROWS(A$4:A82)&lt;=$B$2,INDEX(data!C$3:C$16128,SMALL(IF(data!$D$3:$D$16128='Манастирски'!$B$1,ROW(data!$A$3:$A$16128)-ROW($A$3)+1),ROWS(A$4:A82))),"")</f>
        <v>46171</v>
      </c>
      <c r="B82" s="19" t="str">
        <f t="array" ref="B82">IF(ROWS(B$4:B82)&lt;=$B$2,INDEX(data!A$3:A$16128,SMALL(IF(data!$D$3:$D$16128='Манастирски'!$B$1,ROW(data!$A$3:$A$16128)-ROW($A$3)+1),ROWS(B$4:B82))),"")</f>
        <v>каса ФИКТИВНА</v>
      </c>
      <c r="C82" s="19">
        <f t="array" ref="C82">IF(ROWS(C$4:C82)&lt;=$B$2,INDEX(data!B$3:B$16128,SMALL(IF(data!$D$3:$D$16128='Манастирски'!$B$1,ROW(data!$A$3:$A$16128)-ROW($A$3)+1),ROWS(C$4:C82))),"")</f>
        <v>-280</v>
      </c>
      <c r="D82" s="7" t="str">
        <f t="array" ref="D82">IF(ROWS(D$4:D82)&lt;=$B$2,INDEX(data!E$3:E$16128,SMALL(IF(data!$D$3:$D$16128='Манастирски'!$B$1,ROW(data!$A$3:$A$16128)-ROW($A$3)+1),ROWS(D$4:D82))),"")</f>
        <v>Краси от премиите</v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IF(ROWS(A$4:A83)&lt;=$B$2,INDEX(data!C$3:C$16128,SMALL(IF(data!$D$3:$D$16128='Манастирски'!$B$1,ROW(data!$A$3:$A$16128)-ROW($A$3)+1),ROWS(A$4:A83))),"")</f>
        <v>46174</v>
      </c>
      <c r="B83" s="19" t="str">
        <f t="array" ref="B83">IF(ROWS(B$4:B83)&lt;=$B$2,INDEX(data!A$3:A$16128,SMALL(IF(data!$D$3:$D$16128='Манастирски'!$B$1,ROW(data!$A$3:$A$16128)-ROW($A$3)+1),ROWS(B$4:B83))),"")</f>
        <v>MYPOS Бакалия</v>
      </c>
      <c r="C83" s="19">
        <f t="array" ref="C83">IF(ROWS(C$4:C83)&lt;=$B$2,INDEX(data!B$3:B$16128,SMALL(IF(data!$D$3:$D$16128='Манастирски'!$B$1,ROW(data!$A$3:$A$16128)-ROW($A$3)+1),ROWS(C$4:C83))),"")</f>
        <v>-5863.02</v>
      </c>
      <c r="D83" s="7" t="str">
        <f t="array" ref="D83">IF(ROWS(D$4:D83)&lt;=$B$2,INDEX(data!E$3:E$16128,SMALL(IF(data!$D$3:$D$16128='Манастирски'!$B$1,ROW(data!$A$3:$A$16128)-ROW($A$3)+1),ROWS(D$4:D83))),"")</f>
        <v/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IF(ROWS(A$4:A84)&lt;=$B$2,INDEX(data!C$3:C$16128,SMALL(IF(data!$D$3:$D$16128='Манастирски'!$B$1,ROW(data!$A$3:$A$16128)-ROW($A$3)+1),ROWS(A$4:A84))),"")</f>
        <v>46174</v>
      </c>
      <c r="B84" s="19" t="str">
        <f t="array" ref="B84">IF(ROWS(B$4:B84)&lt;=$B$2,INDEX(data!A$3:A$16128,SMALL(IF(data!$D$3:$D$16128='Манастирски'!$B$1,ROW(data!$A$3:$A$16128)-ROW($A$3)+1),ROWS(B$4:B84))),"")</f>
        <v>КАСОВА КНИГА</v>
      </c>
      <c r="C84" s="19">
        <f t="array" ref="C84">IF(ROWS(C$4:C84)&lt;=$B$2,INDEX(data!B$3:B$16128,SMALL(IF(data!$D$3:$D$16128='Манастирски'!$B$1,ROW(data!$A$3:$A$16128)-ROW($A$3)+1),ROWS(C$4:C84))),"")</f>
        <v>1500</v>
      </c>
      <c r="D84" s="7" t="str">
        <f t="array" ref="D84">IF(ROWS(D$4:D84)&lt;=$B$2,INDEX(data!E$3:E$16128,SMALL(IF(data!$D$3:$D$16128='Манастирски'!$B$1,ROW(data!$A$3:$A$16128)-ROW($A$3)+1),ROWS(D$4:D84))),"")</f>
        <v>заем</v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IF(ROWS(A$4:A85)&lt;=$B$2,INDEX(data!C$3:C$16128,SMALL(IF(data!$D$3:$D$16128='Манастирски'!$B$1,ROW(data!$A$3:$A$16128)-ROW($A$3)+1),ROWS(A$4:A85))),"")</f>
        <v>46176</v>
      </c>
      <c r="B85" s="19" t="str">
        <f t="array" ref="B85">IF(ROWS(B$4:B85)&lt;=$B$2,INDEX(data!A$3:A$16128,SMALL(IF(data!$D$3:$D$16128='Манастирски'!$B$1,ROW(data!$A$3:$A$16128)-ROW($A$3)+1),ROWS(B$4:B85))),"")</f>
        <v>Каса ВАУЧЕРИ</v>
      </c>
      <c r="C85" s="19">
        <f t="array" ref="C85">IF(ROWS(C$4:C85)&lt;=$B$2,INDEX(data!B$3:B$16128,SMALL(IF(data!$D$3:$D$16128='Манастирски'!$B$1,ROW(data!$A$3:$A$16128)-ROW($A$3)+1),ROWS(C$4:C85))),"")</f>
        <v>-20</v>
      </c>
      <c r="D85" s="7" t="str">
        <f t="array" ref="D85">IF(ROWS(D$4:D85)&lt;=$B$2,INDEX(data!E$3:E$16128,SMALL(IF(data!$D$3:$D$16128='Манастирски'!$B$1,ROW(data!$A$3:$A$16128)-ROW($A$3)+1),ROWS(D$4:D85))),"")</f>
        <v>към 18.05</v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IF(ROWS(A$4:A86)&lt;=$B$2,INDEX(data!C$3:C$16128,SMALL(IF(data!$D$3:$D$16128='Манастирски'!$B$1,ROW(data!$A$3:$A$16128)-ROW($A$3)+1),ROWS(A$4:A86))),"")</f>
        <v>46176</v>
      </c>
      <c r="B86" s="19" t="str">
        <f t="array" ref="B86">IF(ROWS(B$4:B86)&lt;=$B$2,INDEX(data!A$3:A$16128,SMALL(IF(data!$D$3:$D$16128='Манастирски'!$B$1,ROW(data!$A$3:$A$16128)-ROW($A$3)+1),ROWS(B$4:B86))),"")</f>
        <v>Каса ВАУЧЕРИ</v>
      </c>
      <c r="C86" s="19">
        <f t="array" ref="C86">IF(ROWS(C$4:C86)&lt;=$B$2,INDEX(data!B$3:B$16128,SMALL(IF(data!$D$3:$D$16128='Манастирски'!$B$1,ROW(data!$A$3:$A$16128)-ROW($A$3)+1),ROWS(C$4:C86))),"")</f>
        <v>-10</v>
      </c>
      <c r="D86" s="7" t="str">
        <f t="array" ref="D86">IF(ROWS(D$4:D86)&lt;=$B$2,INDEX(data!E$3:E$16128,SMALL(IF(data!$D$3:$D$16128='Манастирски'!$B$1,ROW(data!$A$3:$A$16128)-ROW($A$3)+1),ROWS(D$4:D86))),"")</f>
        <v>към 25.05</v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IF(ROWS(A$4:A87)&lt;=$B$2,INDEX(data!C$3:C$16128,SMALL(IF(data!$D$3:$D$16128='Манастирски'!$B$1,ROW(data!$A$3:$A$16128)-ROW($A$3)+1),ROWS(A$4:A87))),"")</f>
        <v>46182</v>
      </c>
      <c r="B87" s="19" t="str">
        <f t="array" ref="B87">IF(ROWS(B$4:B87)&lt;=$B$2,INDEX(data!A$3:A$16128,SMALL(IF(data!$D$3:$D$16128='Манастирски'!$B$1,ROW(data!$A$3:$A$16128)-ROW($A$3)+1),ROWS(B$4:B87))),"")</f>
        <v>MYPOS Бакалия</v>
      </c>
      <c r="C87" s="19">
        <f t="array" ref="C87">IF(ROWS(C$4:C87)&lt;=$B$2,INDEX(data!B$3:B$16128,SMALL(IF(data!$D$3:$D$16128='Манастирски'!$B$1,ROW(data!$A$3:$A$16128)-ROW($A$3)+1),ROWS(C$4:C87))),"")</f>
        <v>-6615.52</v>
      </c>
      <c r="D87" s="7" t="str">
        <f t="array" ref="D87">IF(ROWS(D$4:D87)&lt;=$B$2,INDEX(data!E$3:E$16128,SMALL(IF(data!$D$3:$D$16128='Манастирски'!$B$1,ROW(data!$A$3:$A$16128)-ROW($A$3)+1),ROWS(D$4:D87))),"")</f>
        <v/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IF(ROWS(A$4:A88)&lt;=$B$2,INDEX(data!C$3:C$16128,SMALL(IF(data!$D$3:$D$16128='Манастирски'!$B$1,ROW(data!$A$3:$A$16128)-ROW($A$3)+1),ROWS(A$4:A88))),"")</f>
        <v>46188</v>
      </c>
      <c r="B88" s="19" t="str">
        <f t="array" ref="B88">IF(ROWS(B$4:B88)&lt;=$B$2,INDEX(data!A$3:A$16128,SMALL(IF(data!$D$3:$D$16128='Манастирски'!$B$1,ROW(data!$A$3:$A$16128)-ROW($A$3)+1),ROWS(B$4:B88))),"")</f>
        <v>MYPOS Бакалия</v>
      </c>
      <c r="C88" s="19">
        <f t="array" ref="C88">IF(ROWS(C$4:C88)&lt;=$B$2,INDEX(data!B$3:B$16128,SMALL(IF(data!$D$3:$D$16128='Манастирски'!$B$1,ROW(data!$A$3:$A$16128)-ROW($A$3)+1),ROWS(C$4:C88))),"")</f>
        <v>-6584.57</v>
      </c>
      <c r="D88" s="7" t="str">
        <f t="array" ref="D88">IF(ROWS(D$4:D88)&lt;=$B$2,INDEX(data!E$3:E$16128,SMALL(IF(data!$D$3:$D$16128='Манастирски'!$B$1,ROW(data!$A$3:$A$16128)-ROW($A$3)+1),ROWS(D$4:D88))),"")</f>
        <v/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IF(ROWS(A$4:A89)&lt;=$B$2,INDEX(data!C$3:C$16128,SMALL(IF(data!$D$3:$D$16128='Манастирски'!$B$1,ROW(data!$A$3:$A$16128)-ROW($A$3)+1),ROWS(A$4:A89))),"")</f>
        <v>46188</v>
      </c>
      <c r="B89" s="19" t="str">
        <f t="array" ref="B89">IF(ROWS(B$4:B89)&lt;=$B$2,INDEX(data!A$3:A$16128,SMALL(IF(data!$D$3:$D$16128='Манастирски'!$B$1,ROW(data!$A$3:$A$16128)-ROW($A$3)+1),ROWS(B$4:B89))),"")</f>
        <v>ЗАЕМ</v>
      </c>
      <c r="C89" s="19">
        <f t="array" ref="C89">IF(ROWS(C$4:C89)&lt;=$B$2,INDEX(data!B$3:B$16128,SMALL(IF(data!$D$3:$D$16128='Манастирски'!$B$1,ROW(data!$A$3:$A$16128)-ROW($A$3)+1),ROWS(C$4:C89))),"")</f>
        <v>33109.71</v>
      </c>
      <c r="D89" s="7" t="str">
        <f t="array" ref="D89">IF(ROWS(D$4:D89)&lt;=$B$2,INDEX(data!E$3:E$16128,SMALL(IF(data!$D$3:$D$16128='Манастирски'!$B$1,ROW(data!$A$3:$A$16128)-ROW($A$3)+1),ROWS(D$4:D89))),"")</f>
        <v>Салдо склад + вътр. п-не</v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IF(ROWS(A$4:A90)&lt;=$B$2,INDEX(data!C$3:C$16128,SMALL(IF(data!$D$3:$D$16128='Манастирски'!$B$1,ROW(data!$A$3:$A$16128)-ROW($A$3)+1),ROWS(A$4:A90))),"")</f>
        <v>46190</v>
      </c>
      <c r="B90" s="19" t="str">
        <f t="array" ref="B90">IF(ROWS(B$4:B90)&lt;=$B$2,INDEX(data!A$3:A$16128,SMALL(IF(data!$D$3:$D$16128='Манастирски'!$B$1,ROW(data!$A$3:$A$16128)-ROW($A$3)+1),ROWS(B$4:B90))),"")</f>
        <v>Каса ВАУЧЕРИ</v>
      </c>
      <c r="C90" s="19">
        <f t="array" ref="C90">IF(ROWS(C$4:C90)&lt;=$B$2,INDEX(data!B$3:B$16128,SMALL(IF(data!$D$3:$D$16128='Манастирски'!$B$1,ROW(data!$A$3:$A$16128)-ROW($A$3)+1),ROWS(C$4:C90))),"")</f>
        <v>-5</v>
      </c>
      <c r="D90" s="7" t="str">
        <f t="array" ref="D90">IF(ROWS(D$4:D90)&lt;=$B$2,INDEX(data!E$3:E$16128,SMALL(IF(data!$D$3:$D$16128='Манастирски'!$B$1,ROW(data!$A$3:$A$16128)-ROW($A$3)+1),ROWS(D$4:D90))),"")</f>
        <v>за 01-07.06</v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IF(ROWS(A$4:A91)&lt;=$B$2,INDEX(data!C$3:C$16128,SMALL(IF(data!$D$3:$D$16128='Манастирски'!$B$1,ROW(data!$A$3:$A$16128)-ROW($A$3)+1),ROWS(A$4:A91))),"")</f>
        <v>46192</v>
      </c>
      <c r="B91" s="19" t="str">
        <f t="array" ref="B91">IF(ROWS(B$4:B91)&lt;=$B$2,INDEX(data!A$3:A$16128,SMALL(IF(data!$D$3:$D$16128='Манастирски'!$B$1,ROW(data!$A$3:$A$16128)-ROW($A$3)+1),ROWS(B$4:B91))),"")</f>
        <v>Каса ВАУЧЕРИ</v>
      </c>
      <c r="C91" s="19">
        <f t="array" ref="C91">IF(ROWS(C$4:C91)&lt;=$B$2,INDEX(data!B$3:B$16128,SMALL(IF(data!$D$3:$D$16128='Манастирски'!$B$1,ROW(data!$A$3:$A$16128)-ROW($A$3)+1),ROWS(C$4:C91))),"")</f>
        <v>400</v>
      </c>
      <c r="D91" s="7" t="str">
        <f t="array" ref="D91">IF(ROWS(D$4:D91)&lt;=$B$2,INDEX(data!E$3:E$16128,SMALL(IF(data!$D$3:$D$16128='Манастирски'!$B$1,ROW(data!$A$3:$A$16128)-ROW($A$3)+1),ROWS(D$4:D91))),"")</f>
        <v>ваучери персонал</v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IF(ROWS(A$4:A92)&lt;=$B$2,INDEX(data!C$3:C$16128,SMALL(IF(data!$D$3:$D$16128='Манастирски'!$B$1,ROW(data!$A$3:$A$16128)-ROW($A$3)+1),ROWS(A$4:A92))),"")</f>
        <v>46195</v>
      </c>
      <c r="B92" s="19" t="str">
        <f t="array" ref="B92">IF(ROWS(B$4:B92)&lt;=$B$2,INDEX(data!A$3:A$16128,SMALL(IF(data!$D$3:$D$16128='Манастирски'!$B$1,ROW(data!$A$3:$A$16128)-ROW($A$3)+1),ROWS(B$4:B92))),"")</f>
        <v>MYPOS Бакалия</v>
      </c>
      <c r="C92" s="19">
        <f t="array" ref="C92">IF(ROWS(C$4:C92)&lt;=$B$2,INDEX(data!B$3:B$16128,SMALL(IF(data!$D$3:$D$16128='Манастирски'!$B$1,ROW(data!$A$3:$A$16128)-ROW($A$3)+1),ROWS(C$4:C92))),"")</f>
        <v>-3888.4</v>
      </c>
      <c r="D92" s="7" t="str">
        <f t="array" ref="D92">IF(ROWS(D$4:D92)&lt;=$B$2,INDEX(data!E$3:E$16128,SMALL(IF(data!$D$3:$D$16128='Манастирски'!$B$1,ROW(data!$A$3:$A$16128)-ROW($A$3)+1),ROWS(D$4:D92))),"")</f>
        <v/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IF(ROWS(A$4:A93)&lt;=$B$2,INDEX(data!C$3:C$16128,SMALL(IF(data!$D$3:$D$16128='Манастирски'!$B$1,ROW(data!$A$3:$A$16128)-ROW($A$3)+1),ROWS(A$4:A93))),"")</f>
        <v>46195</v>
      </c>
      <c r="B93" s="19" t="str">
        <f t="array" ref="B93">IF(ROWS(B$4:B93)&lt;=$B$2,INDEX(data!A$3:A$16128,SMALL(IF(data!$D$3:$D$16128='Манастирски'!$B$1,ROW(data!$A$3:$A$16128)-ROW($A$3)+1),ROWS(B$4:B93))),"")</f>
        <v>ПОС ДСК Бакалия</v>
      </c>
      <c r="C93" s="19">
        <f t="array" ref="C93">IF(ROWS(C$4:C93)&lt;=$B$2,INDEX(data!B$3:B$16128,SMALL(IF(data!$D$3:$D$16128='Манастирски'!$B$1,ROW(data!$A$3:$A$16128)-ROW($A$3)+1),ROWS(C$4:C93))),"")</f>
        <v>-1860.22</v>
      </c>
      <c r="D93" s="7" t="str">
        <f t="array" ref="D93">IF(ROWS(D$4:D93)&lt;=$B$2,INDEX(data!E$3:E$16128,SMALL(IF(data!$D$3:$D$16128='Манастирски'!$B$1,ROW(data!$A$3:$A$16128)-ROW($A$3)+1),ROWS(D$4:D93))),"")</f>
        <v/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IF(ROWS(A$4:A94)&lt;=$B$2,INDEX(data!C$3:C$16128,SMALL(IF(data!$D$3:$D$16128='Манастирски'!$B$1,ROW(data!$A$3:$A$16128)-ROW($A$3)+1),ROWS(A$4:A94))),"")</f>
        <v>46199</v>
      </c>
      <c r="B94" s="19" t="str">
        <f t="array" ref="B94">IF(ROWS(B$4:B94)&lt;=$B$2,INDEX(data!A$3:A$16128,SMALL(IF(data!$D$3:$D$16128='Манастирски'!$B$1,ROW(data!$A$3:$A$16128)-ROW($A$3)+1),ROWS(B$4:B94))),"")</f>
        <v>КАСОВА КНИГА</v>
      </c>
      <c r="C94" s="19">
        <f t="array" ref="C94">IF(ROWS(C$4:C94)&lt;=$B$2,INDEX(data!B$3:B$16128,SMALL(IF(data!$D$3:$D$16128='Манастирски'!$B$1,ROW(data!$A$3:$A$16128)-ROW($A$3)+1),ROWS(C$4:C94))),"")</f>
        <v>700</v>
      </c>
      <c r="D94" s="7" t="str">
        <f t="array" ref="D94">IF(ROWS(D$4:D94)&lt;=$B$2,INDEX(data!E$3:E$16128,SMALL(IF(data!$D$3:$D$16128='Манастирски'!$B$1,ROW(data!$A$3:$A$16128)-ROW($A$3)+1),ROWS(D$4:D94))),"")</f>
        <v>заем</v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>
        <f t="array" ref="A95">IF(ROWS(A$4:A95)&lt;=$B$2,INDEX(data!C$3:C$16128,SMALL(IF(data!$D$3:$D$16128='Манастирски'!$B$1,ROW(data!$A$3:$A$16128)-ROW($A$3)+1),ROWS(A$4:A95))),"")</f>
        <v>46202</v>
      </c>
      <c r="B95" s="19" t="str">
        <f t="array" ref="B95">IF(ROWS(B$4:B95)&lt;=$B$2,INDEX(data!A$3:A$16128,SMALL(IF(data!$D$3:$D$16128='Манастирски'!$B$1,ROW(data!$A$3:$A$16128)-ROW($A$3)+1),ROWS(B$4:B95))),"")</f>
        <v>MYPOS Бакалия</v>
      </c>
      <c r="C95" s="19">
        <f t="array" ref="C95">IF(ROWS(C$4:C95)&lt;=$B$2,INDEX(data!B$3:B$16128,SMALL(IF(data!$D$3:$D$16128='Манастирски'!$B$1,ROW(data!$A$3:$A$16128)-ROW($A$3)+1),ROWS(C$4:C95))),"")</f>
        <v>-6510.97</v>
      </c>
      <c r="D95" s="7" t="str">
        <f t="array" ref="D95">IF(ROWS(D$4:D95)&lt;=$B$2,INDEX(data!E$3:E$16128,SMALL(IF(data!$D$3:$D$16128='Манастирски'!$B$1,ROW(data!$A$3:$A$16128)-ROW($A$3)+1),ROWS(D$4:D95))),"")</f>
        <v/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>
        <f t="array" ref="A96">IF(ROWS(A$4:A96)&lt;=$B$2,INDEX(data!C$3:C$16128,SMALL(IF(data!$D$3:$D$16128='Манастирски'!$B$1,ROW(data!$A$3:$A$16128)-ROW($A$3)+1),ROWS(A$4:A96))),"")</f>
        <v>46205</v>
      </c>
      <c r="B96" s="19" t="str">
        <f t="array" ref="B96">IF(ROWS(B$4:B96)&lt;=$B$2,INDEX(data!A$3:A$16128,SMALL(IF(data!$D$3:$D$16128='Манастирски'!$B$1,ROW(data!$A$3:$A$16128)-ROW($A$3)+1),ROWS(B$4:B96))),"")</f>
        <v>каса ФИКТИВНА</v>
      </c>
      <c r="C96" s="19">
        <f t="array" ref="C96">IF(ROWS(C$4:C96)&lt;=$B$2,INDEX(data!B$3:B$16128,SMALL(IF(data!$D$3:$D$16128='Манастирски'!$B$1,ROW(data!$A$3:$A$16128)-ROW($A$3)+1),ROWS(C$4:C96))),"")</f>
        <v>-300</v>
      </c>
      <c r="D96" s="7" t="str">
        <f t="array" ref="D96">IF(ROWS(D$4:D96)&lt;=$B$2,INDEX(data!E$3:E$16128,SMALL(IF(data!$D$3:$D$16128='Манастирски'!$B$1,ROW(data!$A$3:$A$16128)-ROW($A$3)+1),ROWS(D$4:D96))),"")</f>
        <v>Краси от премиите</v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>
        <f t="array" ref="A97">IF(ROWS(A$4:A97)&lt;=$B$2,INDEX(data!C$3:C$16128,SMALL(IF(data!$D$3:$D$16128='Манастирски'!$B$1,ROW(data!$A$3:$A$16128)-ROW($A$3)+1),ROWS(A$4:A97))),"")</f>
        <v>46209</v>
      </c>
      <c r="B97" s="19" t="str">
        <f t="array" ref="B97">IF(ROWS(B$4:B97)&lt;=$B$2,INDEX(data!A$3:A$16128,SMALL(IF(data!$D$3:$D$16128='Манастирски'!$B$1,ROW(data!$A$3:$A$16128)-ROW($A$3)+1),ROWS(B$4:B97))),"")</f>
        <v>MYPOS Бакалия</v>
      </c>
      <c r="C97" s="19">
        <f t="array" ref="C97">IF(ROWS(C$4:C97)&lt;=$B$2,INDEX(data!B$3:B$16128,SMALL(IF(data!$D$3:$D$16128='Манастирски'!$B$1,ROW(data!$A$3:$A$16128)-ROW($A$3)+1),ROWS(C$4:C97))),"")</f>
        <v>-5902.51</v>
      </c>
      <c r="D97" s="7" t="str">
        <f t="array" ref="D97">IF(ROWS(D$4:D97)&lt;=$B$2,INDEX(data!E$3:E$16128,SMALL(IF(data!$D$3:$D$16128='Манастирски'!$B$1,ROW(data!$A$3:$A$16128)-ROW($A$3)+1),ROWS(D$4:D97))),"")</f>
        <v/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>
        <f t="array" ref="A98">IF(ROWS(A$4:A98)&lt;=$B$2,INDEX(data!C$3:C$16128,SMALL(IF(data!$D$3:$D$16128='Манастирски'!$B$1,ROW(data!$A$3:$A$16128)-ROW($A$3)+1),ROWS(A$4:A98))),"")</f>
        <v>46209</v>
      </c>
      <c r="B98" s="19" t="str">
        <f t="array" ref="B98">IF(ROWS(B$4:B98)&lt;=$B$2,INDEX(data!A$3:A$16128,SMALL(IF(data!$D$3:$D$16128='Манастирски'!$B$1,ROW(data!$A$3:$A$16128)-ROW($A$3)+1),ROWS(B$4:B98))),"")</f>
        <v>Каса ВАУЧЕРИ</v>
      </c>
      <c r="C98" s="19">
        <f t="array" ref="C98">IF(ROWS(C$4:C98)&lt;=$B$2,INDEX(data!B$3:B$16128,SMALL(IF(data!$D$3:$D$16128='Манастирски'!$B$1,ROW(data!$A$3:$A$16128)-ROW($A$3)+1),ROWS(C$4:C98))),"")</f>
        <v>-7</v>
      </c>
      <c r="D98" s="7" t="str">
        <f t="array" ref="D98">IF(ROWS(D$4:D98)&lt;=$B$2,INDEX(data!E$3:E$16128,SMALL(IF(data!$D$3:$D$16128='Манастирски'!$B$1,ROW(data!$A$3:$A$16128)-ROW($A$3)+1),ROWS(D$4:D98))),"")</f>
        <v>към 22.06</v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>
        <f t="array" ref="A99">IF(ROWS(A$4:A99)&lt;=$B$2,INDEX(data!C$3:C$16128,SMALL(IF(data!$D$3:$D$16128='Манастирски'!$B$1,ROW(data!$A$3:$A$16128)-ROW($A$3)+1),ROWS(A$4:A99))),"")</f>
        <v>46210</v>
      </c>
      <c r="B99" s="19" t="str">
        <f t="array" ref="B99">IF(ROWS(B$4:B99)&lt;=$B$2,INDEX(data!A$3:A$16128,SMALL(IF(data!$D$3:$D$16128='Манастирски'!$B$1,ROW(data!$A$3:$A$16128)-ROW($A$3)+1),ROWS(B$4:B99))),"")</f>
        <v>КАСОВА КНИГА</v>
      </c>
      <c r="C99" s="19">
        <f t="array" ref="C99">IF(ROWS(C$4:C99)&lt;=$B$2,INDEX(data!B$3:B$16128,SMALL(IF(data!$D$3:$D$16128='Манастирски'!$B$1,ROW(data!$A$3:$A$16128)-ROW($A$3)+1),ROWS(C$4:C99))),"")</f>
        <v>1000</v>
      </c>
      <c r="D99" s="7" t="str">
        <f t="array" ref="D99">IF(ROWS(D$4:D99)&lt;=$B$2,INDEX(data!E$3:E$16128,SMALL(IF(data!$D$3:$D$16128='Манастирски'!$B$1,ROW(data!$A$3:$A$16128)-ROW($A$3)+1),ROWS(D$4:D99))),"")</f>
        <v>заем</v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>
        <f t="array" ref="A100">IF(ROWS(A$4:A100)&lt;=$B$2,INDEX(data!C$3:C$16128,SMALL(IF(data!$D$3:$D$16128='Манастирски'!$B$1,ROW(data!$A$3:$A$16128)-ROW($A$3)+1),ROWS(A$4:A100))),"")</f>
        <v>46219</v>
      </c>
      <c r="B100" s="19" t="str">
        <f t="array" ref="B100">IF(ROWS(B$4:B100)&lt;=$B$2,INDEX(data!A$3:A$16128,SMALL(IF(data!$D$3:$D$16128='Манастирски'!$B$1,ROW(data!$A$3:$A$16128)-ROW($A$3)+1),ROWS(B$4:B100))),"")</f>
        <v>Каса ВАУЧЕРИ</v>
      </c>
      <c r="C100" s="19">
        <f t="array" ref="C100">IF(ROWS(C$4:C100)&lt;=$B$2,INDEX(data!B$3:B$16128,SMALL(IF(data!$D$3:$D$16128='Манастирски'!$B$1,ROW(data!$A$3:$A$16128)-ROW($A$3)+1),ROWS(C$4:C100))),"")</f>
        <v>-5</v>
      </c>
      <c r="D100" s="7" t="str">
        <f t="array" ref="D100">IF(ROWS(D$4:D100)&lt;=$B$2,INDEX(data!E$3:E$16128,SMALL(IF(data!$D$3:$D$16128='Манастирски'!$B$1,ROW(data!$A$3:$A$16128)-ROW($A$3)+1),ROWS(D$4:D100))),"")</f>
        <v>за 22-28.06</v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>
        <f t="array" ref="A101">IF(ROWS(A$4:A101)&lt;=$B$2,INDEX(data!C$3:C$16128,SMALL(IF(data!$D$3:$D$16128='Манастирски'!$B$1,ROW(data!$A$3:$A$16128)-ROW($A$3)+1),ROWS(A$4:A101))),"")</f>
        <v>46223</v>
      </c>
      <c r="B101" s="19" t="str">
        <f t="array" ref="B101">IF(ROWS(B$4:B101)&lt;=$B$2,INDEX(data!A$3:A$16128,SMALL(IF(data!$D$3:$D$16128='Манастирски'!$B$1,ROW(data!$A$3:$A$16128)-ROW($A$3)+1),ROWS(B$4:B101))),"")</f>
        <v>Каса ВАУЧЕРИ</v>
      </c>
      <c r="C101" s="19">
        <f t="array" ref="C101">IF(ROWS(C$4:C101)&lt;=$B$2,INDEX(data!B$3:B$16128,SMALL(IF(data!$D$3:$D$16128='Манастирски'!$B$1,ROW(data!$A$3:$A$16128)-ROW($A$3)+1),ROWS(C$4:C101))),"")</f>
        <v>400</v>
      </c>
      <c r="D101" s="7" t="str">
        <f t="array" ref="D101">IF(ROWS(D$4:D101)&lt;=$B$2,INDEX(data!E$3:E$16128,SMALL(IF(data!$D$3:$D$16128='Манастирски'!$B$1,ROW(data!$A$3:$A$16128)-ROW($A$3)+1),ROWS(D$4:D101))),"")</f>
        <v>ваучери персонал</v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>
        <f t="array" ref="A102">IF(ROWS(A$4:A102)&lt;=$B$2,INDEX(data!C$3:C$16128,SMALL(IF(data!$D$3:$D$16128='Манастирски'!$B$1,ROW(data!$A$3:$A$16128)-ROW($A$3)+1),ROWS(A$4:A102))),"")</f>
        <v>46223</v>
      </c>
      <c r="B102" s="19" t="str">
        <f t="array" ref="B102">IF(ROWS(B$4:B102)&lt;=$B$2,INDEX(data!A$3:A$16128,SMALL(IF(data!$D$3:$D$16128='Манастирски'!$B$1,ROW(data!$A$3:$A$16128)-ROW($A$3)+1),ROWS(B$4:B102))),"")</f>
        <v>MYPOS Бакалия</v>
      </c>
      <c r="C102" s="19">
        <f t="array" ref="C102">IF(ROWS(C$4:C102)&lt;=$B$2,INDEX(data!B$3:B$16128,SMALL(IF(data!$D$3:$D$16128='Манастирски'!$B$1,ROW(data!$A$3:$A$16128)-ROW($A$3)+1),ROWS(C$4:C102))),"")</f>
        <v>-12478.1</v>
      </c>
      <c r="D102" s="7" t="str">
        <f t="array" ref="D102">IF(ROWS(D$4:D102)&lt;=$B$2,INDEX(data!E$3:E$16128,SMALL(IF(data!$D$3:$D$16128='Манастирски'!$B$1,ROW(data!$A$3:$A$16128)-ROW($A$3)+1),ROWS(D$4:D102))),"")</f>
        <v/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>
        <f t="array" ref="A103">IF(ROWS(A$4:A103)&lt;=$B$2,INDEX(data!C$3:C$16128,SMALL(IF(data!$D$3:$D$16128='Манастирски'!$B$1,ROW(data!$A$3:$A$16128)-ROW($A$3)+1),ROWS(A$4:A103))),"")</f>
        <v>46224</v>
      </c>
      <c r="B103" s="19" t="str">
        <f t="array" ref="B103">IF(ROWS(B$4:B103)&lt;=$B$2,INDEX(data!A$3:A$16128,SMALL(IF(data!$D$3:$D$16128='Манастирски'!$B$1,ROW(data!$A$3:$A$16128)-ROW($A$3)+1),ROWS(B$4:B103))),"")</f>
        <v>ЗАЕМ</v>
      </c>
      <c r="C103" s="19">
        <f t="array" ref="C103">IF(ROWS(C$4:C103)&lt;=$B$2,INDEX(data!B$3:B$16128,SMALL(IF(data!$D$3:$D$16128='Манастирски'!$B$1,ROW(data!$A$3:$A$16128)-ROW($A$3)+1),ROWS(C$4:C103))),"")</f>
        <v>32146.02</v>
      </c>
      <c r="D103" s="7" t="str">
        <f t="array" ref="D103">IF(ROWS(D$4:D103)&lt;=$B$2,INDEX(data!E$3:E$16128,SMALL(IF(data!$D$3:$D$16128='Манастирски'!$B$1,ROW(data!$A$3:$A$16128)-ROW($A$3)+1),ROWS(D$4:D103))),"")</f>
        <v>Салдо склад + вътр. п-не</v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>
        <f t="array" ref="A104">IF(ROWS(A$4:A104)&lt;=$B$2,INDEX(data!C$3:C$16128,SMALL(IF(data!$D$3:$D$16128='Манастирски'!$B$1,ROW(data!$A$3:$A$16128)-ROW($A$3)+1),ROWS(A$4:A104))),"")</f>
        <v>46226</v>
      </c>
      <c r="B104" s="19" t="str">
        <f t="array" ref="B104">IF(ROWS(B$4:B104)&lt;=$B$2,INDEX(data!A$3:A$16128,SMALL(IF(data!$D$3:$D$16128='Манастирски'!$B$1,ROW(data!$A$3:$A$16128)-ROW($A$3)+1),ROWS(B$4:B104))),"")</f>
        <v>Каса ВАУЧЕРИ</v>
      </c>
      <c r="C104" s="19">
        <f t="array" ref="C104">IF(ROWS(C$4:C104)&lt;=$B$2,INDEX(data!B$3:B$16128,SMALL(IF(data!$D$3:$D$16128='Манастирски'!$B$1,ROW(data!$A$3:$A$16128)-ROW($A$3)+1),ROWS(C$4:C104))),"")</f>
        <v>-5</v>
      </c>
      <c r="D104" s="7" t="str">
        <f t="array" ref="D104">IF(ROWS(D$4:D104)&lt;=$B$2,INDEX(data!E$3:E$16128,SMALL(IF(data!$D$3:$D$16128='Манастирски'!$B$1,ROW(data!$A$3:$A$16128)-ROW($A$3)+1),ROWS(D$4:D104))),"")</f>
        <v>към 13.07</v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>
        <f t="array" ref="A105">IF(ROWS(A$4:A105)&lt;=$B$2,INDEX(data!C$3:C$16128,SMALL(IF(data!$D$3:$D$16128='Манастирски'!$B$1,ROW(data!$A$3:$A$16128)-ROW($A$3)+1),ROWS(A$4:A105))),"")</f>
        <v>46227</v>
      </c>
      <c r="B105" s="19" t="str">
        <f t="array" ref="B105">IF(ROWS(B$4:B105)&lt;=$B$2,INDEX(data!A$3:A$16128,SMALL(IF(data!$D$3:$D$16128='Манастирски'!$B$1,ROW(data!$A$3:$A$16128)-ROW($A$3)+1),ROWS(B$4:B105))),"")</f>
        <v>КАСОВА КНИГА</v>
      </c>
      <c r="C105" s="19">
        <f t="array" ref="C105">IF(ROWS(C$4:C105)&lt;=$B$2,INDEX(data!B$3:B$16128,SMALL(IF(data!$D$3:$D$16128='Манастирски'!$B$1,ROW(data!$A$3:$A$16128)-ROW($A$3)+1),ROWS(C$4:C105))),"")</f>
        <v>1000</v>
      </c>
      <c r="D105" s="7" t="str">
        <f t="array" ref="D105">IF(ROWS(D$4:D105)&lt;=$B$2,INDEX(data!E$3:E$16128,SMALL(IF(data!$D$3:$D$16128='Манастирски'!$B$1,ROW(data!$A$3:$A$16128)-ROW($A$3)+1),ROWS(D$4:D105))),"")</f>
        <v>заем</v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>
        <f t="array" ref="A106">IF(ROWS(A$4:A106)&lt;=$B$2,INDEX(data!C$3:C$16128,SMALL(IF(data!$D$3:$D$16128='Манастирски'!$B$1,ROW(data!$A$3:$A$16128)-ROW($A$3)+1),ROWS(A$4:A106))),"")</f>
        <v>46231</v>
      </c>
      <c r="B106" s="19" t="str">
        <f t="array" ref="B106">IF(ROWS(B$4:B106)&lt;=$B$2,INDEX(data!A$3:A$16128,SMALL(IF(data!$D$3:$D$16128='Манастирски'!$B$1,ROW(data!$A$3:$A$16128)-ROW($A$3)+1),ROWS(B$4:B106))),"")</f>
        <v>MYPOS Бакалия</v>
      </c>
      <c r="C106" s="19">
        <f t="array" ref="C106">IF(ROWS(C$4:C106)&lt;=$B$2,INDEX(data!B$3:B$16128,SMALL(IF(data!$D$3:$D$16128='Манастирски'!$B$1,ROW(data!$A$3:$A$16128)-ROW($A$3)+1),ROWS(C$4:C106))),"")</f>
        <v>-4688.14</v>
      </c>
      <c r="D106" s="7" t="str">
        <f t="array" ref="D106">IF(ROWS(D$4:D106)&lt;=$B$2,INDEX(data!E$3:E$16128,SMALL(IF(data!$D$3:$D$16128='Манастирски'!$B$1,ROW(data!$A$3:$A$16128)-ROW($A$3)+1),ROWS(D$4:D106))),"")</f>
        <v/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>
        <f t="array" ref="A107">IF(ROWS(A$4:A107)&lt;=$B$2,INDEX(data!C$3:C$16128,SMALL(IF(data!$D$3:$D$16128='Манастирски'!$B$1,ROW(data!$A$3:$A$16128)-ROW($A$3)+1),ROWS(A$4:A107))),"")</f>
        <v>46234</v>
      </c>
      <c r="B107" s="19" t="str">
        <f t="array" ref="B107">IF(ROWS(B$4:B107)&lt;=$B$2,INDEX(data!A$3:A$16128,SMALL(IF(data!$D$3:$D$16128='Манастирски'!$B$1,ROW(data!$A$3:$A$16128)-ROW($A$3)+1),ROWS(B$4:B107))),"")</f>
        <v>ПОС ДСК Бакалия</v>
      </c>
      <c r="C107" s="19">
        <f t="array" ref="C107">IF(ROWS(C$4:C107)&lt;=$B$2,INDEX(data!B$3:B$16128,SMALL(IF(data!$D$3:$D$16128='Манастирски'!$B$1,ROW(data!$A$3:$A$16128)-ROW($A$3)+1),ROWS(C$4:C107))),"")</f>
        <v>-1831.49</v>
      </c>
      <c r="D107" s="7" t="str">
        <f t="array" ref="D107">IF(ROWS(D$4:D107)&lt;=$B$2,INDEX(data!E$3:E$16128,SMALL(IF(data!$D$3:$D$16128='Манастирски'!$B$1,ROW(data!$A$3:$A$16128)-ROW($A$3)+1),ROWS(D$4:D107))),"")</f>
        <v/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>
        <f t="array" ref="A108">IF(ROWS(A$4:A108)&lt;=$B$2,INDEX(data!C$3:C$16128,SMALL(IF(data!$D$3:$D$16128='Манастирски'!$B$1,ROW(data!$A$3:$A$16128)-ROW($A$3)+1),ROWS(A$4:A108))),"")</f>
        <v>46237</v>
      </c>
      <c r="B108" s="19" t="str">
        <f t="array" ref="B108">IF(ROWS(B$4:B108)&lt;=$B$2,INDEX(data!A$3:A$16128,SMALL(IF(data!$D$3:$D$16128='Манастирски'!$B$1,ROW(data!$A$3:$A$16128)-ROW($A$3)+1),ROWS(B$4:B108))),"")</f>
        <v>MYPOS Бакалия</v>
      </c>
      <c r="C108" s="19">
        <f t="array" ref="C108">IF(ROWS(C$4:C108)&lt;=$B$2,INDEX(data!B$3:B$16128,SMALL(IF(data!$D$3:$D$16128='Манастирски'!$B$1,ROW(data!$A$3:$A$16128)-ROW($A$3)+1),ROWS(C$4:C108))),"")</f>
        <v>-5244.04</v>
      </c>
      <c r="D108" s="7" t="str">
        <f t="array" ref="D108">IF(ROWS(D$4:D108)&lt;=$B$2,INDEX(data!E$3:E$16128,SMALL(IF(data!$D$3:$D$16128='Манастирски'!$B$1,ROW(data!$A$3:$A$16128)-ROW($A$3)+1),ROWS(D$4:D108))),"")</f>
        <v/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>
        <f t="array" ref="A109">IF(ROWS(A$4:A109)&lt;=$B$2,INDEX(data!C$3:C$16128,SMALL(IF(data!$D$3:$D$16128='Манастирски'!$B$1,ROW(data!$A$3:$A$16128)-ROW($A$3)+1),ROWS(A$4:A109))),"")</f>
        <v>46239</v>
      </c>
      <c r="B109" s="19" t="str">
        <f t="array" ref="B109">IF(ROWS(B$4:B109)&lt;=$B$2,INDEX(data!A$3:A$16128,SMALL(IF(data!$D$3:$D$16128='Манастирски'!$B$1,ROW(data!$A$3:$A$16128)-ROW($A$3)+1),ROWS(B$4:B109))),"")</f>
        <v>КАСОВА КНИГА</v>
      </c>
      <c r="C109" s="19">
        <f t="array" ref="C109">IF(ROWS(C$4:C109)&lt;=$B$2,INDEX(data!B$3:B$16128,SMALL(IF(data!$D$3:$D$16128='Манастирски'!$B$1,ROW(data!$A$3:$A$16128)-ROW($A$3)+1),ROWS(C$4:C109))),"")</f>
        <v>1000</v>
      </c>
      <c r="D109" s="7" t="str">
        <f t="array" ref="D109">IF(ROWS(D$4:D109)&lt;=$B$2,INDEX(data!E$3:E$16128,SMALL(IF(data!$D$3:$D$16128='Манастирски'!$B$1,ROW(data!$A$3:$A$16128)-ROW($A$3)+1),ROWS(D$4:D109))),"")</f>
        <v>заем</v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>
        <f t="array" ref="A110">IF(ROWS(A$4:A110)&lt;=$B$2,INDEX(data!C$3:C$16128,SMALL(IF(data!$D$3:$D$16128='Манастирски'!$B$1,ROW(data!$A$3:$A$16128)-ROW($A$3)+1),ROWS(A$4:A110))),"")</f>
        <v>46244</v>
      </c>
      <c r="B110" s="19" t="str">
        <f t="array" ref="B110">IF(ROWS(B$4:B110)&lt;=$B$2,INDEX(data!A$3:A$16128,SMALL(IF(data!$D$3:$D$16128='Манастирски'!$B$1,ROW(data!$A$3:$A$16128)-ROW($A$3)+1),ROWS(B$4:B110))),"")</f>
        <v>MYPOS Бакалия</v>
      </c>
      <c r="C110" s="19">
        <f t="array" ref="C110">IF(ROWS(C$4:C110)&lt;=$B$2,INDEX(data!B$3:B$16128,SMALL(IF(data!$D$3:$D$16128='Манастирски'!$B$1,ROW(data!$A$3:$A$16128)-ROW($A$3)+1),ROWS(C$4:C110))),"")</f>
        <v>-5636.69</v>
      </c>
      <c r="D110" s="7" t="str">
        <f t="array" ref="D110">IF(ROWS(D$4:D110)&lt;=$B$2,INDEX(data!E$3:E$16128,SMALL(IF(data!$D$3:$D$16128='Манастирски'!$B$1,ROW(data!$A$3:$A$16128)-ROW($A$3)+1),ROWS(D$4:D110))),"")</f>
        <v/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>
        <f t="array" ref="A111">IF(ROWS(A$4:A111)&lt;=$B$2,INDEX(data!C$3:C$16128,SMALL(IF(data!$D$3:$D$16128='Манастирски'!$B$1,ROW(data!$A$3:$A$16128)-ROW($A$3)+1),ROWS(A$4:A111))),"")</f>
        <v>46245</v>
      </c>
      <c r="B111" s="19" t="str">
        <f t="array" ref="B111">IF(ROWS(B$4:B111)&lt;=$B$2,INDEX(data!A$3:A$16128,SMALL(IF(data!$D$3:$D$16128='Манастирски'!$B$1,ROW(data!$A$3:$A$16128)-ROW($A$3)+1),ROWS(B$4:B111))),"")</f>
        <v>каса ФИКТИВНА</v>
      </c>
      <c r="C111" s="19">
        <f t="array" ref="C111">IF(ROWS(C$4:C111)&lt;=$B$2,INDEX(data!B$3:B$16128,SMALL(IF(data!$D$3:$D$16128='Манастирски'!$B$1,ROW(data!$A$3:$A$16128)-ROW($A$3)+1),ROWS(C$4:C111))),"")</f>
        <v>-25.5</v>
      </c>
      <c r="D111" s="7" t="str">
        <f t="array" ref="D111">IF(ROWS(D$4:D111)&lt;=$B$2,INDEX(data!E$3:E$16128,SMALL(IF(data!$D$3:$D$16128='Манастирски'!$B$1,ROW(data!$A$3:$A$16128)-ROW($A$3)+1),ROWS(D$4:D111))),"")</f>
        <v>карти за гр.транспорт непалци</v>
      </c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>
        <f t="array" ref="A112">IF(ROWS(A$4:A112)&lt;=$B$2,INDEX(data!C$3:C$16128,SMALL(IF(data!$D$3:$D$16128='Манастирски'!$B$1,ROW(data!$A$3:$A$16128)-ROW($A$3)+1),ROWS(A$4:A112))),"")</f>
        <v>46248</v>
      </c>
      <c r="B112" s="19" t="str">
        <f t="array" ref="B112">IF(ROWS(B$4:B112)&lt;=$B$2,INDEX(data!A$3:A$16128,SMALL(IF(data!$D$3:$D$16128='Манастирски'!$B$1,ROW(data!$A$3:$A$16128)-ROW($A$3)+1),ROWS(B$4:B112))),"")</f>
        <v>Каса ВАУЧЕРИ</v>
      </c>
      <c r="C112" s="19">
        <f t="array" ref="C112">IF(ROWS(C$4:C112)&lt;=$B$2,INDEX(data!B$3:B$16128,SMALL(IF(data!$D$3:$D$16128='Манастирски'!$B$1,ROW(data!$A$3:$A$16128)-ROW($A$3)+1),ROWS(C$4:C112))),"")</f>
        <v>-5</v>
      </c>
      <c r="D112" s="7" t="str">
        <f t="array" ref="D112">IF(ROWS(D$4:D112)&lt;=$B$2,INDEX(data!E$3:E$16128,SMALL(IF(data!$D$3:$D$16128='Манастирски'!$B$1,ROW(data!$A$3:$A$16128)-ROW($A$3)+1),ROWS(D$4:D112))),"")</f>
        <v>към 29.07</v>
      </c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3">
        <f t="array" ref="A113">IF(ROWS(A$4:A113)&lt;=$B$2,INDEX(data!C$3:C$16128,SMALL(IF(data!$D$3:$D$16128='Манастирски'!$B$1,ROW(data!$A$3:$A$16128)-ROW($A$3)+1),ROWS(A$4:A113))),"")</f>
        <v>46248</v>
      </c>
      <c r="B113" s="19" t="str">
        <f t="array" ref="B113">IF(ROWS(B$4:B113)&lt;=$B$2,INDEX(data!A$3:A$16128,SMALL(IF(data!$D$3:$D$16128='Манастирски'!$B$1,ROW(data!$A$3:$A$16128)-ROW($A$3)+1),ROWS(B$4:B113))),"")</f>
        <v>Каса ВАУЧЕРИ</v>
      </c>
      <c r="C113" s="19">
        <f t="array" ref="C113">IF(ROWS(C$4:C113)&lt;=$B$2,INDEX(data!B$3:B$16128,SMALL(IF(data!$D$3:$D$16128='Манастирски'!$B$1,ROW(data!$A$3:$A$16128)-ROW($A$3)+1),ROWS(C$4:C113))),"")</f>
        <v>-10</v>
      </c>
      <c r="D113" s="7" t="str">
        <f t="array" ref="D113">IF(ROWS(D$4:D113)&lt;=$B$2,INDEX(data!E$3:E$16128,SMALL(IF(data!$D$3:$D$16128='Манастирски'!$B$1,ROW(data!$A$3:$A$16128)-ROW($A$3)+1),ROWS(D$4:D113))),"")</f>
        <v>към 03.08</v>
      </c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3">
        <f t="array" ref="A114">IF(ROWS(A$4:A114)&lt;=$B$2,INDEX(data!C$3:C$16128,SMALL(IF(data!$D$3:$D$16128='Манастирски'!$B$1,ROW(data!$A$3:$A$16128)-ROW($A$3)+1),ROWS(A$4:A114))),"")</f>
        <v>46251</v>
      </c>
      <c r="B114" s="19" t="str">
        <f t="array" ref="B114">IF(ROWS(B$4:B114)&lt;=$B$2,INDEX(data!A$3:A$16128,SMALL(IF(data!$D$3:$D$16128='Манастирски'!$B$1,ROW(data!$A$3:$A$16128)-ROW($A$3)+1),ROWS(B$4:B114))),"")</f>
        <v>MYPOS Бакалия</v>
      </c>
      <c r="C114" s="19">
        <f t="array" ref="C114">IF(ROWS(C$4:C114)&lt;=$B$2,INDEX(data!B$3:B$16128,SMALL(IF(data!$D$3:$D$16128='Манастирски'!$B$1,ROW(data!$A$3:$A$16128)-ROW($A$3)+1),ROWS(C$4:C114))),"")</f>
        <v>-5370.02</v>
      </c>
      <c r="D114" s="7" t="str">
        <f t="array" ref="D114">IF(ROWS(D$4:D114)&lt;=$B$2,INDEX(data!E$3:E$16128,SMALL(IF(data!$D$3:$D$16128='Манастирски'!$B$1,ROW(data!$A$3:$A$16128)-ROW($A$3)+1),ROWS(D$4:D114))),"")</f>
        <v/>
      </c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>
        <f t="array" ref="A115">IF(ROWS(A$4:A115)&lt;=$B$2,INDEX(data!C$3:C$16128,SMALL(IF(data!$D$3:$D$16128='Манастирски'!$B$1,ROW(data!$A$3:$A$16128)-ROW($A$3)+1),ROWS(A$4:A115))),"")</f>
        <v>46253</v>
      </c>
      <c r="B115" s="19" t="str">
        <f t="array" ref="B115">IF(ROWS(B$4:B115)&lt;=$B$2,INDEX(data!A$3:A$16128,SMALL(IF(data!$D$3:$D$16128='Манастирски'!$B$1,ROW(data!$A$3:$A$16128)-ROW($A$3)+1),ROWS(B$4:B115))),"")</f>
        <v>КАСОВА КНИГА</v>
      </c>
      <c r="C115" s="19">
        <f t="array" ref="C115">IF(ROWS(C$4:C115)&lt;=$B$2,INDEX(data!B$3:B$16128,SMALL(IF(data!$D$3:$D$16128='Манастирски'!$B$1,ROW(data!$A$3:$A$16128)-ROW($A$3)+1),ROWS(C$4:C115))),"")</f>
        <v>1000</v>
      </c>
      <c r="D115" s="7" t="str">
        <f t="array" ref="D115">IF(ROWS(D$4:D115)&lt;=$B$2,INDEX(data!E$3:E$16128,SMALL(IF(data!$D$3:$D$16128='Манастирски'!$B$1,ROW(data!$A$3:$A$16128)-ROW($A$3)+1),ROWS(D$4:D115))),"")</f>
        <v>заем</v>
      </c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>
        <f t="array" ref="A116">IF(ROWS(A$4:A116)&lt;=$B$2,INDEX(data!C$3:C$16128,SMALL(IF(data!$D$3:$D$16128='Манастирски'!$B$1,ROW(data!$A$3:$A$16128)-ROW($A$3)+1),ROWS(A$4:A116))),"")</f>
        <v>46254</v>
      </c>
      <c r="B116" s="19" t="str">
        <f t="array" ref="B116">IF(ROWS(B$4:B116)&lt;=$B$2,INDEX(data!A$3:A$16128,SMALL(IF(data!$D$3:$D$16128='Манастирски'!$B$1,ROW(data!$A$3:$A$16128)-ROW($A$3)+1),ROWS(B$4:B116))),"")</f>
        <v>Каса ВАУЧЕРИ</v>
      </c>
      <c r="C116" s="19">
        <f t="array" ref="C116">IF(ROWS(C$4:C116)&lt;=$B$2,INDEX(data!B$3:B$16128,SMALL(IF(data!$D$3:$D$16128='Манастирски'!$B$1,ROW(data!$A$3:$A$16128)-ROW($A$3)+1),ROWS(C$4:C116))),"")</f>
        <v>-30</v>
      </c>
      <c r="D116" s="7" t="str">
        <f t="array" ref="D116">IF(ROWS(D$4:D116)&lt;=$B$2,INDEX(data!E$3:E$16128,SMALL(IF(data!$D$3:$D$16128='Манастирски'!$B$1,ROW(data!$A$3:$A$16128)-ROW($A$3)+1),ROWS(D$4:D116))),"")</f>
        <v/>
      </c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>
        <f t="array" ref="A117">IF(ROWS(A$4:A117)&lt;=$B$2,INDEX(data!C$3:C$16128,SMALL(IF(data!$D$3:$D$16128='Манастирски'!$B$1,ROW(data!$A$3:$A$16128)-ROW($A$3)+1),ROWS(A$4:A117))),"")</f>
        <v>46255</v>
      </c>
      <c r="B117" s="19" t="str">
        <f t="array" ref="B117">IF(ROWS(B$4:B117)&lt;=$B$2,INDEX(data!A$3:A$16128,SMALL(IF(data!$D$3:$D$16128='Манастирски'!$B$1,ROW(data!$A$3:$A$16128)-ROW($A$3)+1),ROWS(B$4:B117))),"")</f>
        <v>Каса ВАУЧЕРИ</v>
      </c>
      <c r="C117" s="19">
        <f t="array" ref="C117">IF(ROWS(C$4:C117)&lt;=$B$2,INDEX(data!B$3:B$16128,SMALL(IF(data!$D$3:$D$16128='Манастирски'!$B$1,ROW(data!$A$3:$A$16128)-ROW($A$3)+1),ROWS(C$4:C117))),"")</f>
        <v>400</v>
      </c>
      <c r="D117" s="7" t="str">
        <f t="array" ref="D117">IF(ROWS(D$4:D117)&lt;=$B$2,INDEX(data!E$3:E$16128,SMALL(IF(data!$D$3:$D$16128='Манастирски'!$B$1,ROW(data!$A$3:$A$16128)-ROW($A$3)+1),ROWS(D$4:D117))),"")</f>
        <v>ваучери персонал</v>
      </c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>
        <f t="array" ref="A118">IF(ROWS(A$4:A118)&lt;=$B$2,INDEX(data!C$3:C$16128,SMALL(IF(data!$D$3:$D$16128='Манастирски'!$B$1,ROW(data!$A$3:$A$16128)-ROW($A$3)+1),ROWS(A$4:A118))),"")</f>
        <v>46258</v>
      </c>
      <c r="B118" s="19" t="str">
        <f t="array" ref="B118">IF(ROWS(B$4:B118)&lt;=$B$2,INDEX(data!A$3:A$16128,SMALL(IF(data!$D$3:$D$16128='Манастирски'!$B$1,ROW(data!$A$3:$A$16128)-ROW($A$3)+1),ROWS(B$4:B118))),"")</f>
        <v>MYPOS Бакалия</v>
      </c>
      <c r="C118" s="19">
        <f t="array" ref="C118">IF(ROWS(C$4:C118)&lt;=$B$2,INDEX(data!B$3:B$16128,SMALL(IF(data!$D$3:$D$16128='Манастирски'!$B$1,ROW(data!$A$3:$A$16128)-ROW($A$3)+1),ROWS(C$4:C118))),"")</f>
        <v>-6290.2</v>
      </c>
      <c r="D118" s="7" t="str">
        <f t="array" ref="D118">IF(ROWS(D$4:D118)&lt;=$B$2,INDEX(data!E$3:E$16128,SMALL(IF(data!$D$3:$D$16128='Манастирски'!$B$1,ROW(data!$A$3:$A$16128)-ROW($A$3)+1),ROWS(D$4:D118))),"")</f>
        <v/>
      </c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 t="str">
        <f t="array" ref="A119">IF(ROWS(A$4:A119)&lt;=$B$2,INDEX(data!C$3:C$16128,SMALL(IF(data!$D$3:$D$16128='Манастирски'!$B$1,ROW(data!$A$3:$A$16128)-ROW($A$3)+1),ROWS(A$4:A119))),"")</f>
        <v/>
      </c>
      <c r="B119" s="19" t="str">
        <f t="array" ref="B119">IF(ROWS(B$4:B119)&lt;=$B$2,INDEX(data!A$3:A$16128,SMALL(IF(data!$D$3:$D$16128='Манастирски'!$B$1,ROW(data!$A$3:$A$16128)-ROW($A$3)+1),ROWS(B$4:B119))),"")</f>
        <v/>
      </c>
      <c r="C119" s="19" t="str">
        <f t="array" ref="C119">IF(ROWS(C$4:C119)&lt;=$B$2,INDEX(data!B$3:B$16128,SMALL(IF(data!$D$3:$D$16128='Манастирски'!$B$1,ROW(data!$A$3:$A$16128)-ROW($A$3)+1),ROWS(C$4:C119))),"")</f>
        <v/>
      </c>
      <c r="D119" s="7" t="str">
        <f t="array" ref="D119">IF(ROWS(D$4:D119)&lt;=$B$2,INDEX(data!E$3:E$16128,SMALL(IF(data!$D$3:$D$16128='Манастирски'!$B$1,ROW(data!$A$3:$A$16128)-ROW($A$3)+1),ROWS(D$4:D119))),"")</f>
        <v/>
      </c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 t="str">
        <f t="array" ref="A120">IF(ROWS(A$4:A120)&lt;=$B$2,INDEX(data!C$3:C$16128,SMALL(IF(data!$D$3:$D$16128='Манастирски'!$B$1,ROW(data!$A$3:$A$16128)-ROW($A$3)+1),ROWS(A$4:A120))),"")</f>
        <v/>
      </c>
      <c r="B120" s="19" t="str">
        <f t="array" ref="B120">IF(ROWS(B$4:B120)&lt;=$B$2,INDEX(data!A$3:A$16128,SMALL(IF(data!$D$3:$D$16128='Манастирски'!$B$1,ROW(data!$A$3:$A$16128)-ROW($A$3)+1),ROWS(B$4:B120))),"")</f>
        <v/>
      </c>
      <c r="C120" s="19" t="str">
        <f t="array" ref="C120">IF(ROWS(C$4:C120)&lt;=$B$2,INDEX(data!B$3:B$16128,SMALL(IF(data!$D$3:$D$16128='Манастирски'!$B$1,ROW(data!$A$3:$A$16128)-ROW($A$3)+1),ROWS(C$4:C120))),"")</f>
        <v/>
      </c>
      <c r="D120" s="7" t="str">
        <f t="array" ref="D120">IF(ROWS(D$4:D120)&lt;=$B$2,INDEX(data!E$3:E$16128,SMALL(IF(data!$D$3:$D$16128='Манастирски'!$B$1,ROW(data!$A$3:$A$16128)-ROW($A$3)+1),ROWS(D$4:D120))),"")</f>
        <v/>
      </c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3" t="str">
        <f t="array" ref="A121">IF(ROWS(A$4:A121)&lt;=$B$2,INDEX(data!C$3:C$16128,SMALL(IF(data!$D$3:$D$16128='Манастирски'!$B$1,ROW(data!$A$3:$A$16128)-ROW($A$3)+1),ROWS(A$4:A121))),"")</f>
        <v/>
      </c>
      <c r="B121" s="19" t="str">
        <f t="array" ref="B121">IF(ROWS(B$4:B121)&lt;=$B$2,INDEX(data!A$3:A$16128,SMALL(IF(data!$D$3:$D$16128='Манастирски'!$B$1,ROW(data!$A$3:$A$16128)-ROW($A$3)+1),ROWS(B$4:B121))),"")</f>
        <v/>
      </c>
      <c r="C121" s="19" t="str">
        <f t="array" ref="C121">IF(ROWS(C$4:C121)&lt;=$B$2,INDEX(data!B$3:B$16128,SMALL(IF(data!$D$3:$D$16128='Манастирски'!$B$1,ROW(data!$A$3:$A$16128)-ROW($A$3)+1),ROWS(C$4:C121))),"")</f>
        <v/>
      </c>
      <c r="D121" s="7" t="str">
        <f t="array" ref="D121">IF(ROWS(D$4:D121)&lt;=$B$2,INDEX(data!E$3:E$16128,SMALL(IF(data!$D$3:$D$16128='Манастирски'!$B$1,ROW(data!$A$3:$A$16128)-ROW($A$3)+1),ROWS(D$4:D121))),"")</f>
        <v/>
      </c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3" t="str">
        <f t="array" ref="A122">IF(ROWS(A$4:A122)&lt;=$B$2,INDEX(data!C$3:C$16128,SMALL(IF(data!$D$3:$D$16128='Манастирски'!$B$1,ROW(data!$A$3:$A$16128)-ROW($A$3)+1),ROWS(A$4:A122))),"")</f>
        <v/>
      </c>
      <c r="B122" s="19" t="str">
        <f t="array" ref="B122">IF(ROWS(B$4:B122)&lt;=$B$2,INDEX(data!A$3:A$16128,SMALL(IF(data!$D$3:$D$16128='Манастирски'!$B$1,ROW(data!$A$3:$A$16128)-ROW($A$3)+1),ROWS(B$4:B122))),"")</f>
        <v/>
      </c>
      <c r="C122" s="19" t="str">
        <f t="array" ref="C122">IF(ROWS(C$4:C122)&lt;=$B$2,INDEX(data!B$3:B$16128,SMALL(IF(data!$D$3:$D$16128='Манастирски'!$B$1,ROW(data!$A$3:$A$16128)-ROW($A$3)+1),ROWS(C$4:C122))),"")</f>
        <v/>
      </c>
      <c r="D122" s="7" t="str">
        <f t="array" ref="D122">IF(ROWS(D$4:D122)&lt;=$B$2,INDEX(data!E$3:E$16128,SMALL(IF(data!$D$3:$D$16128='Манастирски'!$B$1,ROW(data!$A$3:$A$16128)-ROW($A$3)+1),ROWS(D$4:D122))),"")</f>
        <v/>
      </c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 t="str">
        <f t="array" ref="A123">IF(ROWS(A$4:A123)&lt;=$B$2,INDEX(data!C$3:C$16128,SMALL(IF(data!$D$3:$D$16128='Манастирски'!$B$1,ROW(data!$A$3:$A$16128)-ROW($A$3)+1),ROWS(A$4:A123))),"")</f>
        <v/>
      </c>
      <c r="B123" s="19" t="str">
        <f t="array" ref="B123">IF(ROWS(B$4:B123)&lt;=$B$2,INDEX(data!A$3:A$16128,SMALL(IF(data!$D$3:$D$16128='Манастирски'!$B$1,ROW(data!$A$3:$A$16128)-ROW($A$3)+1),ROWS(B$4:B123))),"")</f>
        <v/>
      </c>
      <c r="C123" s="19" t="str">
        <f t="array" ref="C123">IF(ROWS(C$4:C123)&lt;=$B$2,INDEX(data!B$3:B$16128,SMALL(IF(data!$D$3:$D$16128='Манастирски'!$B$1,ROW(data!$A$3:$A$16128)-ROW($A$3)+1),ROWS(C$4:C123))),"")</f>
        <v/>
      </c>
      <c r="D123" s="7" t="str">
        <f t="array" ref="D123">IF(ROWS(D$4:D123)&lt;=$B$2,INDEX(data!E$3:E$16128,SMALL(IF(data!$D$3:$D$16128='Манастирски'!$B$1,ROW(data!$A$3:$A$16128)-ROW($A$3)+1),ROWS(D$4:D123))),"")</f>
        <v/>
      </c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 t="str">
        <f t="array" ref="A124">IF(ROWS(A$4:A124)&lt;=$B$2,INDEX(data!C$3:C$16128,SMALL(IF(data!$D$3:$D$16128='Манастирски'!$B$1,ROW(data!$A$3:$A$16128)-ROW($A$3)+1),ROWS(A$4:A124))),"")</f>
        <v/>
      </c>
      <c r="B124" s="19" t="str">
        <f t="array" ref="B124">IF(ROWS(B$4:B124)&lt;=$B$2,INDEX(data!A$3:A$16128,SMALL(IF(data!$D$3:$D$16128='Манастирски'!$B$1,ROW(data!$A$3:$A$16128)-ROW($A$3)+1),ROWS(B$4:B124))),"")</f>
        <v/>
      </c>
      <c r="C124" s="19" t="str">
        <f t="array" ref="C124">IF(ROWS(C$4:C124)&lt;=$B$2,INDEX(data!B$3:B$16128,SMALL(IF(data!$D$3:$D$16128='Манастирски'!$B$1,ROW(data!$A$3:$A$16128)-ROW($A$3)+1),ROWS(C$4:C124))),"")</f>
        <v/>
      </c>
      <c r="D124" s="7" t="str">
        <f t="array" ref="D124">IF(ROWS(D$4:D124)&lt;=$B$2,INDEX(data!E$3:E$16128,SMALL(IF(data!$D$3:$D$16128='Манастирски'!$B$1,ROW(data!$A$3:$A$16128)-ROW($A$3)+1),ROWS(D$4:D124))),"")</f>
        <v/>
      </c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 t="str">
        <f t="array" ref="A125">IF(ROWS(A$4:A125)&lt;=$B$2,INDEX(data!C$3:C$16128,SMALL(IF(data!$D$3:$D$16128='Манастирски'!$B$1,ROW(data!$A$3:$A$16128)-ROW($A$3)+1),ROWS(A$4:A125))),"")</f>
        <v/>
      </c>
      <c r="B125" s="19" t="str">
        <f t="array" ref="B125">IF(ROWS(B$4:B125)&lt;=$B$2,INDEX(data!A$3:A$16128,SMALL(IF(data!$D$3:$D$16128='Манастирски'!$B$1,ROW(data!$A$3:$A$16128)-ROW($A$3)+1),ROWS(B$4:B125))),"")</f>
        <v/>
      </c>
      <c r="C125" s="19" t="str">
        <f t="array" ref="C125">IF(ROWS(C$4:C125)&lt;=$B$2,INDEX(data!B$3:B$16128,SMALL(IF(data!$D$3:$D$16128='Манастирски'!$B$1,ROW(data!$A$3:$A$16128)-ROW($A$3)+1),ROWS(C$4:C125))),"")</f>
        <v/>
      </c>
      <c r="D125" s="7" t="str">
        <f t="array" ref="D125">IF(ROWS(D$4:D125)&lt;=$B$2,INDEX(data!E$3:E$16128,SMALL(IF(data!$D$3:$D$16128='Манастирски'!$B$1,ROW(data!$A$3:$A$16128)-ROW($A$3)+1),ROWS(D$4:D125))),"")</f>
        <v/>
      </c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9"/>
      <c r="B126" s="40"/>
      <c r="C126" s="40"/>
      <c r="D126" s="40"/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9"/>
      <c r="B127" s="40"/>
      <c r="C127" s="40"/>
      <c r="D127" s="40"/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9"/>
      <c r="B128" s="40"/>
      <c r="C128" s="40"/>
      <c r="D128" s="40"/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9"/>
      <c r="B129" s="40"/>
      <c r="C129" s="40"/>
      <c r="D129" s="40"/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9"/>
      <c r="B130" s="40"/>
      <c r="C130" s="40"/>
      <c r="D130" s="40"/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9"/>
      <c r="B131" s="40"/>
      <c r="C131" s="40"/>
      <c r="D131" s="40"/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9"/>
      <c r="B132" s="40"/>
      <c r="C132" s="40"/>
      <c r="D132" s="40"/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9"/>
      <c r="B133" s="40"/>
      <c r="C133" s="40"/>
      <c r="D133" s="40"/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9"/>
      <c r="B134" s="40"/>
      <c r="C134" s="40"/>
      <c r="D134" s="40"/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9"/>
      <c r="B135" s="40"/>
      <c r="C135" s="40"/>
      <c r="D135" s="40"/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9"/>
      <c r="B136" s="40"/>
      <c r="C136" s="40"/>
      <c r="D136" s="40"/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9"/>
      <c r="B137" s="40"/>
      <c r="C137" s="40"/>
      <c r="D137" s="40"/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9"/>
      <c r="B138" s="40"/>
      <c r="C138" s="40"/>
      <c r="D138" s="40"/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9"/>
      <c r="B139" s="40"/>
      <c r="C139" s="40"/>
      <c r="D139" s="40"/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9"/>
      <c r="B140" s="40"/>
      <c r="C140" s="40"/>
      <c r="D140" s="40"/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9"/>
      <c r="B141" s="40"/>
      <c r="C141" s="40"/>
      <c r="D141" s="40"/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9"/>
      <c r="B142" s="40"/>
      <c r="C142" s="40"/>
      <c r="D142" s="40"/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9"/>
      <c r="B143" s="40"/>
      <c r="C143" s="40"/>
      <c r="D143" s="40"/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9"/>
      <c r="B144" s="40"/>
      <c r="C144" s="40"/>
      <c r="D144" s="40"/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9"/>
      <c r="B145" s="40"/>
      <c r="C145" s="40"/>
      <c r="D145" s="40"/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9"/>
      <c r="B146" s="40"/>
      <c r="C146" s="40"/>
      <c r="D146" s="40"/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9"/>
      <c r="B147" s="40"/>
      <c r="C147" s="40"/>
      <c r="D147" s="40"/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9"/>
      <c r="B148" s="40"/>
      <c r="C148" s="40"/>
      <c r="D148" s="40"/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9"/>
      <c r="B149" s="40"/>
      <c r="C149" s="40"/>
      <c r="D149" s="40"/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9"/>
      <c r="B150" s="40"/>
      <c r="C150" s="40"/>
      <c r="D150" s="40"/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9"/>
      <c r="B151" s="40"/>
      <c r="C151" s="40"/>
      <c r="D151" s="40"/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9"/>
      <c r="B152" s="40"/>
      <c r="C152" s="40"/>
      <c r="D152" s="40"/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9"/>
      <c r="B153" s="40"/>
      <c r="C153" s="40"/>
      <c r="D153" s="40"/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9"/>
      <c r="B154" s="40"/>
      <c r="C154" s="40"/>
      <c r="D154" s="40"/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9"/>
      <c r="B155" s="40"/>
      <c r="C155" s="40"/>
      <c r="D155" s="40"/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9"/>
      <c r="B156" s="40"/>
      <c r="C156" s="40"/>
      <c r="D156" s="40"/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9"/>
      <c r="B157" s="40"/>
      <c r="C157" s="40"/>
      <c r="D157" s="40"/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9"/>
      <c r="B158" s="40"/>
      <c r="C158" s="40"/>
      <c r="D158" s="40"/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9"/>
      <c r="B159" s="40"/>
      <c r="C159" s="40"/>
      <c r="D159" s="40"/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9"/>
      <c r="B160" s="40"/>
      <c r="C160" s="40"/>
      <c r="D160" s="40"/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9"/>
      <c r="B161" s="40"/>
      <c r="C161" s="40"/>
      <c r="D161" s="40"/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9"/>
      <c r="B162" s="40"/>
      <c r="C162" s="40"/>
      <c r="D162" s="40"/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9"/>
      <c r="B163" s="40"/>
      <c r="C163" s="40"/>
      <c r="D163" s="40"/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9"/>
      <c r="B164" s="40"/>
      <c r="C164" s="40"/>
      <c r="D164" s="40"/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9"/>
      <c r="B165" s="40"/>
      <c r="C165" s="40"/>
      <c r="D165" s="40"/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9"/>
      <c r="B166" s="40"/>
      <c r="C166" s="40"/>
      <c r="D166" s="40"/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9"/>
      <c r="B167" s="40"/>
      <c r="C167" s="40"/>
      <c r="D167" s="40"/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9"/>
      <c r="B168" s="40"/>
      <c r="C168" s="40"/>
      <c r="D168" s="40"/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9"/>
      <c r="B169" s="40"/>
      <c r="C169" s="40"/>
      <c r="D169" s="40"/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9"/>
      <c r="B170" s="40"/>
      <c r="C170" s="40"/>
      <c r="D170" s="40"/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9"/>
      <c r="B171" s="40"/>
      <c r="C171" s="40"/>
      <c r="D171" s="40"/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9"/>
      <c r="B172" s="40"/>
      <c r="C172" s="40"/>
      <c r="D172" s="40"/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9"/>
      <c r="B173" s="40"/>
      <c r="C173" s="40"/>
      <c r="D173" s="40"/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9"/>
      <c r="B174" s="40"/>
      <c r="C174" s="40"/>
      <c r="D174" s="40"/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9"/>
      <c r="B175" s="40"/>
      <c r="C175" s="40"/>
      <c r="D175" s="40"/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9"/>
      <c r="B176" s="40"/>
      <c r="C176" s="40"/>
      <c r="D176" s="40"/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9"/>
      <c r="B177" s="40"/>
      <c r="C177" s="40"/>
      <c r="D177" s="40"/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9"/>
      <c r="B178" s="40"/>
      <c r="C178" s="40"/>
      <c r="D178" s="40"/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9"/>
      <c r="B179" s="40"/>
      <c r="C179" s="40"/>
      <c r="D179" s="40"/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9"/>
      <c r="B180" s="40"/>
      <c r="C180" s="40"/>
      <c r="D180" s="40"/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9"/>
      <c r="B181" s="40"/>
      <c r="C181" s="40"/>
      <c r="D181" s="40"/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9"/>
      <c r="B182" s="40"/>
      <c r="C182" s="40"/>
      <c r="D182" s="40"/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9"/>
      <c r="B183" s="40"/>
      <c r="C183" s="40"/>
      <c r="D183" s="40"/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9"/>
      <c r="B184" s="40"/>
      <c r="C184" s="40"/>
      <c r="D184" s="40"/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9"/>
      <c r="B185" s="40"/>
      <c r="C185" s="40"/>
      <c r="D185" s="40"/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9"/>
      <c r="B186" s="40"/>
      <c r="C186" s="40"/>
      <c r="D186" s="40"/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9"/>
      <c r="B187" s="40"/>
      <c r="C187" s="40"/>
      <c r="D187" s="40"/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9"/>
      <c r="B188" s="40"/>
      <c r="C188" s="40"/>
      <c r="D188" s="40"/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9"/>
      <c r="B189" s="40"/>
      <c r="C189" s="40"/>
      <c r="D189" s="40"/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9"/>
      <c r="B190" s="40"/>
      <c r="C190" s="40"/>
      <c r="D190" s="40"/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9"/>
      <c r="B191" s="40"/>
      <c r="C191" s="40"/>
      <c r="D191" s="40"/>
      <c r="E191" s="11"/>
      <c r="F191" s="11"/>
      <c r="G191" s="11"/>
      <c r="H191" s="14"/>
      <c r="I191" s="14"/>
      <c r="J191" s="14"/>
      <c r="K191" s="14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9"/>
      <c r="B192" s="40"/>
      <c r="C192" s="40"/>
      <c r="D192" s="40"/>
      <c r="E192" s="11"/>
      <c r="F192" s="11"/>
      <c r="G192" s="11"/>
      <c r="H192" s="14"/>
      <c r="I192" s="14"/>
      <c r="J192" s="14"/>
      <c r="K192" s="1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9"/>
      <c r="B193" s="40"/>
      <c r="C193" s="40"/>
      <c r="D193" s="40"/>
      <c r="E193" s="11"/>
      <c r="F193" s="11"/>
      <c r="G193" s="11"/>
      <c r="H193" s="14"/>
      <c r="I193" s="14"/>
      <c r="J193" s="14"/>
      <c r="K193" s="14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9"/>
      <c r="B194" s="40"/>
      <c r="C194" s="40"/>
      <c r="D194" s="40"/>
      <c r="E194" s="11"/>
      <c r="F194" s="11"/>
      <c r="G194" s="11"/>
      <c r="H194" s="14"/>
      <c r="I194" s="14"/>
      <c r="J194" s="14"/>
      <c r="K194" s="14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9"/>
      <c r="B195" s="40"/>
      <c r="C195" s="40"/>
      <c r="D195" s="40"/>
      <c r="E195" s="11"/>
      <c r="F195" s="11"/>
      <c r="G195" s="11"/>
      <c r="H195" s="14"/>
      <c r="I195" s="14"/>
      <c r="J195" s="14"/>
      <c r="K195" s="14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9"/>
      <c r="B196" s="40"/>
      <c r="C196" s="40"/>
      <c r="D196" s="40"/>
      <c r="E196" s="11"/>
      <c r="F196" s="11"/>
      <c r="G196" s="11"/>
      <c r="H196" s="14"/>
      <c r="I196" s="14"/>
      <c r="J196" s="14"/>
      <c r="K196" s="14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9"/>
      <c r="B197" s="40"/>
      <c r="C197" s="40"/>
      <c r="D197" s="40"/>
      <c r="E197" s="11"/>
      <c r="F197" s="11"/>
      <c r="G197" s="11"/>
      <c r="H197" s="14"/>
      <c r="I197" s="14"/>
      <c r="J197" s="14"/>
      <c r="K197" s="14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9"/>
      <c r="B198" s="40"/>
      <c r="C198" s="40"/>
      <c r="D198" s="40"/>
      <c r="E198" s="11"/>
      <c r="F198" s="11"/>
      <c r="G198" s="11"/>
      <c r="H198" s="14"/>
      <c r="I198" s="14"/>
      <c r="J198" s="14"/>
      <c r="K198" s="14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9"/>
      <c r="B199" s="40"/>
      <c r="C199" s="40"/>
      <c r="D199" s="40"/>
      <c r="E199" s="11"/>
      <c r="F199" s="11"/>
      <c r="G199" s="11"/>
      <c r="H199" s="14"/>
      <c r="I199" s="14"/>
      <c r="J199" s="14"/>
      <c r="K199" s="14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9"/>
      <c r="B200" s="40"/>
      <c r="C200" s="40"/>
      <c r="D200" s="40"/>
      <c r="E200" s="11"/>
      <c r="F200" s="11"/>
      <c r="G200" s="11"/>
      <c r="H200" s="14"/>
      <c r="I200" s="14"/>
      <c r="J200" s="14"/>
      <c r="K200" s="14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9"/>
      <c r="B201" s="40"/>
      <c r="C201" s="40"/>
      <c r="D201" s="40"/>
      <c r="E201" s="11"/>
      <c r="F201" s="11"/>
      <c r="G201" s="11"/>
      <c r="H201" s="14"/>
      <c r="I201" s="14"/>
      <c r="J201" s="14"/>
      <c r="K201" s="14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9"/>
      <c r="B202" s="40"/>
      <c r="C202" s="40"/>
      <c r="D202" s="40"/>
      <c r="E202" s="11"/>
      <c r="F202" s="11"/>
      <c r="G202" s="11"/>
      <c r="H202" s="14"/>
      <c r="I202" s="14"/>
      <c r="J202" s="14"/>
      <c r="K202" s="14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9"/>
      <c r="B203" s="40"/>
      <c r="C203" s="40"/>
      <c r="D203" s="40"/>
      <c r="E203" s="11"/>
      <c r="F203" s="11"/>
      <c r="G203" s="11"/>
      <c r="H203" s="14"/>
      <c r="I203" s="14"/>
      <c r="J203" s="14"/>
      <c r="K203" s="14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9"/>
      <c r="B204" s="40"/>
      <c r="C204" s="40"/>
      <c r="D204" s="40"/>
      <c r="E204" s="11"/>
      <c r="F204" s="11"/>
      <c r="G204" s="11"/>
      <c r="H204" s="14"/>
      <c r="I204" s="14"/>
      <c r="J204" s="14"/>
      <c r="K204" s="14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9"/>
      <c r="B205" s="40"/>
      <c r="C205" s="40"/>
      <c r="D205" s="40"/>
      <c r="E205" s="11"/>
      <c r="F205" s="11"/>
      <c r="G205" s="11"/>
      <c r="H205" s="14"/>
      <c r="I205" s="14"/>
      <c r="J205" s="14"/>
      <c r="K205" s="14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9"/>
      <c r="B206" s="40"/>
      <c r="C206" s="40"/>
      <c r="D206" s="40"/>
      <c r="E206" s="11"/>
      <c r="F206" s="11"/>
      <c r="G206" s="11"/>
      <c r="H206" s="14"/>
      <c r="I206" s="14"/>
      <c r="J206" s="14"/>
      <c r="K206" s="14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9"/>
      <c r="B207" s="40"/>
      <c r="C207" s="40"/>
      <c r="D207" s="40"/>
      <c r="E207" s="11"/>
      <c r="F207" s="11"/>
      <c r="G207" s="11"/>
      <c r="H207" s="14"/>
      <c r="I207" s="14"/>
      <c r="J207" s="14"/>
      <c r="K207" s="14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9"/>
      <c r="B208" s="40"/>
      <c r="C208" s="40"/>
      <c r="D208" s="40"/>
      <c r="E208" s="11"/>
      <c r="F208" s="11"/>
      <c r="G208" s="11"/>
      <c r="H208" s="14"/>
      <c r="I208" s="14"/>
      <c r="J208" s="14"/>
      <c r="K208" s="14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9"/>
      <c r="B209" s="40"/>
      <c r="C209" s="40"/>
      <c r="D209" s="40"/>
      <c r="E209" s="11"/>
      <c r="F209" s="11"/>
      <c r="G209" s="11"/>
      <c r="H209" s="14"/>
      <c r="I209" s="14"/>
      <c r="J209" s="14"/>
      <c r="K209" s="14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9"/>
      <c r="B210" s="40"/>
      <c r="C210" s="40"/>
      <c r="D210" s="40"/>
      <c r="E210" s="11"/>
      <c r="F210" s="11"/>
      <c r="G210" s="11"/>
      <c r="H210" s="14"/>
      <c r="I210" s="14"/>
      <c r="J210" s="14"/>
      <c r="K210" s="14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9"/>
      <c r="B211" s="40"/>
      <c r="C211" s="40"/>
      <c r="D211" s="40"/>
      <c r="E211" s="11"/>
      <c r="F211" s="11"/>
      <c r="G211" s="11"/>
      <c r="H211" s="14"/>
      <c r="I211" s="14"/>
      <c r="J211" s="14"/>
      <c r="K211" s="14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9"/>
      <c r="B212" s="40"/>
      <c r="C212" s="40"/>
      <c r="D212" s="40"/>
      <c r="E212" s="11"/>
      <c r="F212" s="11"/>
      <c r="G212" s="11"/>
      <c r="H212" s="14"/>
      <c r="I212" s="14"/>
      <c r="J212" s="14"/>
      <c r="K212" s="14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9"/>
      <c r="B213" s="40"/>
      <c r="C213" s="40"/>
      <c r="D213" s="40"/>
      <c r="E213" s="11"/>
      <c r="F213" s="11"/>
      <c r="G213" s="11"/>
      <c r="H213" s="14"/>
      <c r="I213" s="14"/>
      <c r="J213" s="14"/>
      <c r="K213" s="14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9"/>
      <c r="B214" s="40"/>
      <c r="C214" s="40"/>
      <c r="D214" s="40"/>
      <c r="E214" s="11"/>
      <c r="F214" s="11"/>
      <c r="G214" s="11"/>
      <c r="H214" s="14"/>
      <c r="I214" s="14"/>
      <c r="J214" s="14"/>
      <c r="K214" s="14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9"/>
      <c r="B215" s="40"/>
      <c r="C215" s="40"/>
      <c r="D215" s="40"/>
      <c r="E215" s="11"/>
      <c r="F215" s="11"/>
      <c r="G215" s="11"/>
      <c r="H215" s="14"/>
      <c r="I215" s="14"/>
      <c r="J215" s="14"/>
      <c r="K215" s="14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9"/>
      <c r="B216" s="40"/>
      <c r="C216" s="40"/>
      <c r="D216" s="40"/>
      <c r="E216" s="11"/>
      <c r="F216" s="11"/>
      <c r="G216" s="11"/>
      <c r="H216" s="14"/>
      <c r="I216" s="14"/>
      <c r="J216" s="14"/>
      <c r="K216" s="14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9"/>
      <c r="B217" s="40"/>
      <c r="C217" s="40"/>
      <c r="D217" s="40"/>
      <c r="E217" s="11"/>
      <c r="F217" s="11"/>
      <c r="G217" s="11"/>
      <c r="H217" s="14"/>
      <c r="I217" s="14"/>
      <c r="J217" s="14"/>
      <c r="K217" s="14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9"/>
      <c r="B218" s="40"/>
      <c r="C218" s="40"/>
      <c r="D218" s="40"/>
      <c r="E218" s="11"/>
      <c r="F218" s="11"/>
      <c r="G218" s="11"/>
      <c r="H218" s="14"/>
      <c r="I218" s="14"/>
      <c r="J218" s="14"/>
      <c r="K218" s="14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9"/>
      <c r="B219" s="40"/>
      <c r="C219" s="40"/>
      <c r="D219" s="40"/>
      <c r="E219" s="11"/>
      <c r="F219" s="11"/>
      <c r="G219" s="11"/>
      <c r="H219" s="14"/>
      <c r="I219" s="14"/>
      <c r="J219" s="14"/>
      <c r="K219" s="14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9"/>
      <c r="B220" s="40"/>
      <c r="C220" s="40"/>
      <c r="D220" s="40"/>
      <c r="E220" s="11"/>
      <c r="F220" s="11"/>
      <c r="G220" s="11"/>
      <c r="H220" s="14"/>
      <c r="I220" s="14"/>
      <c r="J220" s="14"/>
      <c r="K220" s="14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9"/>
      <c r="B221" s="40"/>
      <c r="C221" s="40"/>
      <c r="D221" s="40"/>
      <c r="E221" s="11"/>
      <c r="F221" s="11"/>
      <c r="G221" s="11"/>
      <c r="H221" s="14"/>
      <c r="I221" s="14"/>
      <c r="J221" s="14"/>
      <c r="K221" s="14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9"/>
      <c r="B222" s="40"/>
      <c r="C222" s="40"/>
      <c r="D222" s="40"/>
      <c r="E222" s="11"/>
      <c r="F222" s="11"/>
      <c r="G222" s="11"/>
      <c r="H222" s="14"/>
      <c r="I222" s="14"/>
      <c r="J222" s="14"/>
      <c r="K222" s="14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9"/>
      <c r="B223" s="40"/>
      <c r="C223" s="40"/>
      <c r="D223" s="40"/>
      <c r="E223" s="11"/>
      <c r="F223" s="11"/>
      <c r="G223" s="11"/>
      <c r="H223" s="14"/>
      <c r="I223" s="14"/>
      <c r="J223" s="14"/>
      <c r="K223" s="14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9"/>
      <c r="B224" s="40"/>
      <c r="C224" s="40"/>
      <c r="D224" s="40"/>
      <c r="E224" s="11"/>
      <c r="F224" s="11"/>
      <c r="G224" s="11"/>
      <c r="H224" s="14"/>
      <c r="I224" s="14"/>
      <c r="J224" s="14"/>
      <c r="K224" s="14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9"/>
      <c r="B225" s="40"/>
      <c r="C225" s="40"/>
      <c r="D225" s="40"/>
      <c r="E225" s="11"/>
      <c r="F225" s="11"/>
      <c r="G225" s="11"/>
      <c r="H225" s="14"/>
      <c r="I225" s="14"/>
      <c r="J225" s="14"/>
      <c r="K225" s="14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9"/>
      <c r="B226" s="40"/>
      <c r="C226" s="40"/>
      <c r="D226" s="40"/>
      <c r="E226" s="11"/>
      <c r="F226" s="11"/>
      <c r="G226" s="11"/>
      <c r="H226" s="14"/>
      <c r="I226" s="14"/>
      <c r="J226" s="14"/>
      <c r="K226" s="14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9"/>
      <c r="B227" s="40"/>
      <c r="C227" s="40"/>
      <c r="D227" s="40"/>
      <c r="E227" s="11"/>
      <c r="F227" s="11"/>
      <c r="G227" s="11"/>
      <c r="H227" s="14"/>
      <c r="I227" s="14"/>
      <c r="J227" s="14"/>
      <c r="K227" s="14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9"/>
      <c r="B228" s="40"/>
      <c r="C228" s="40"/>
      <c r="D228" s="40"/>
      <c r="E228" s="11"/>
      <c r="F228" s="11"/>
      <c r="G228" s="11"/>
      <c r="H228" s="14"/>
      <c r="I228" s="14"/>
      <c r="J228" s="14"/>
      <c r="K228" s="14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9"/>
      <c r="B229" s="40"/>
      <c r="C229" s="40"/>
      <c r="D229" s="40"/>
      <c r="E229" s="11"/>
      <c r="F229" s="11"/>
      <c r="G229" s="11"/>
      <c r="H229" s="14"/>
      <c r="I229" s="14"/>
      <c r="J229" s="14"/>
      <c r="K229" s="14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9"/>
      <c r="B230" s="40"/>
      <c r="C230" s="40"/>
      <c r="D230" s="40"/>
      <c r="E230" s="11"/>
      <c r="F230" s="11"/>
      <c r="G230" s="11"/>
      <c r="H230" s="14"/>
      <c r="I230" s="14"/>
      <c r="J230" s="14"/>
      <c r="K230" s="14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9"/>
      <c r="B231" s="40"/>
      <c r="C231" s="40"/>
      <c r="D231" s="40"/>
      <c r="E231" s="11"/>
      <c r="F231" s="11"/>
      <c r="G231" s="11"/>
      <c r="H231" s="14"/>
      <c r="I231" s="14"/>
      <c r="J231" s="14"/>
      <c r="K231" s="14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9"/>
      <c r="B232" s="40"/>
      <c r="C232" s="40"/>
      <c r="D232" s="40"/>
      <c r="E232" s="11"/>
      <c r="F232" s="11"/>
      <c r="G232" s="11"/>
      <c r="H232" s="14"/>
      <c r="I232" s="14"/>
      <c r="J232" s="14"/>
      <c r="K232" s="14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9"/>
      <c r="B233" s="40"/>
      <c r="C233" s="40"/>
      <c r="D233" s="40"/>
      <c r="E233" s="11"/>
      <c r="F233" s="11"/>
      <c r="G233" s="11"/>
      <c r="H233" s="14"/>
      <c r="I233" s="14"/>
      <c r="J233" s="14"/>
      <c r="K233" s="14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9"/>
      <c r="B234" s="40"/>
      <c r="C234" s="40"/>
      <c r="D234" s="40"/>
      <c r="E234" s="11"/>
      <c r="F234" s="11"/>
      <c r="G234" s="11"/>
      <c r="H234" s="14"/>
      <c r="I234" s="14"/>
      <c r="J234" s="14"/>
      <c r="K234" s="14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9"/>
      <c r="B235" s="40"/>
      <c r="C235" s="40"/>
      <c r="D235" s="40"/>
      <c r="E235" s="11"/>
      <c r="F235" s="11"/>
      <c r="G235" s="11"/>
      <c r="H235" s="14"/>
      <c r="I235" s="14"/>
      <c r="J235" s="14"/>
      <c r="K235" s="14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9"/>
      <c r="B236" s="40"/>
      <c r="C236" s="40"/>
      <c r="D236" s="40"/>
      <c r="E236" s="11"/>
      <c r="F236" s="11"/>
      <c r="G236" s="11"/>
      <c r="H236" s="14"/>
      <c r="I236" s="14"/>
      <c r="J236" s="14"/>
      <c r="K236" s="1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9"/>
      <c r="B237" s="40"/>
      <c r="C237" s="40"/>
      <c r="D237" s="40"/>
      <c r="E237" s="11"/>
      <c r="F237" s="11"/>
      <c r="G237" s="11"/>
      <c r="H237" s="14"/>
      <c r="I237" s="14"/>
      <c r="J237" s="14"/>
      <c r="K237" s="14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9"/>
      <c r="B238" s="40"/>
      <c r="C238" s="40"/>
      <c r="D238" s="40"/>
      <c r="E238" s="11"/>
      <c r="F238" s="11"/>
      <c r="G238" s="11"/>
      <c r="H238" s="14"/>
      <c r="I238" s="14"/>
      <c r="J238" s="14"/>
      <c r="K238" s="14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9"/>
      <c r="B239" s="40"/>
      <c r="C239" s="40"/>
      <c r="D239" s="40"/>
      <c r="E239" s="11"/>
      <c r="F239" s="11"/>
      <c r="G239" s="11"/>
      <c r="H239" s="14"/>
      <c r="I239" s="14"/>
      <c r="J239" s="14"/>
      <c r="K239" s="14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9"/>
      <c r="B240" s="40"/>
      <c r="C240" s="40"/>
      <c r="D240" s="40"/>
      <c r="E240" s="11"/>
      <c r="F240" s="11"/>
      <c r="G240" s="11"/>
      <c r="H240" s="14"/>
      <c r="I240" s="14"/>
      <c r="J240" s="14"/>
      <c r="K240" s="14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9"/>
      <c r="B241" s="40"/>
      <c r="C241" s="40"/>
      <c r="D241" s="40"/>
      <c r="E241" s="11"/>
      <c r="F241" s="11"/>
      <c r="G241" s="11"/>
      <c r="H241" s="14"/>
      <c r="I241" s="14"/>
      <c r="J241" s="14"/>
      <c r="K241" s="14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9"/>
      <c r="B242" s="40"/>
      <c r="C242" s="40"/>
      <c r="D242" s="40"/>
      <c r="E242" s="11"/>
      <c r="F242" s="11"/>
      <c r="G242" s="11"/>
      <c r="H242" s="14"/>
      <c r="I242" s="14"/>
      <c r="J242" s="14"/>
      <c r="K242" s="14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9"/>
      <c r="B243" s="40"/>
      <c r="C243" s="40"/>
      <c r="D243" s="40"/>
      <c r="E243" s="11"/>
      <c r="F243" s="11"/>
      <c r="G243" s="11"/>
      <c r="H243" s="14"/>
      <c r="I243" s="14"/>
      <c r="J243" s="14"/>
      <c r="K243" s="14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9"/>
      <c r="B244" s="40"/>
      <c r="C244" s="40"/>
      <c r="D244" s="40"/>
      <c r="E244" s="11"/>
      <c r="F244" s="11"/>
      <c r="G244" s="11"/>
      <c r="H244" s="14"/>
      <c r="I244" s="14"/>
      <c r="J244" s="14"/>
      <c r="K244" s="14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9"/>
      <c r="B245" s="40"/>
      <c r="C245" s="40"/>
      <c r="D245" s="40"/>
      <c r="E245" s="11"/>
      <c r="F245" s="11"/>
      <c r="G245" s="11"/>
      <c r="H245" s="14"/>
      <c r="I245" s="14"/>
      <c r="J245" s="14"/>
      <c r="K245" s="14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9"/>
      <c r="B246" s="40"/>
      <c r="C246" s="40"/>
      <c r="D246" s="40"/>
      <c r="E246" s="11"/>
      <c r="F246" s="11"/>
      <c r="G246" s="11"/>
      <c r="H246" s="14"/>
      <c r="I246" s="14"/>
      <c r="J246" s="14"/>
      <c r="K246" s="14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9"/>
      <c r="B247" s="40"/>
      <c r="C247" s="40"/>
      <c r="D247" s="40"/>
      <c r="E247" s="11"/>
      <c r="F247" s="11"/>
      <c r="G247" s="11"/>
      <c r="H247" s="14"/>
      <c r="I247" s="14"/>
      <c r="J247" s="14"/>
      <c r="K247" s="14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9"/>
      <c r="B248" s="40"/>
      <c r="C248" s="40"/>
      <c r="D248" s="40"/>
      <c r="E248" s="11"/>
      <c r="F248" s="11"/>
      <c r="G248" s="11"/>
      <c r="H248" s="14"/>
      <c r="I248" s="14"/>
      <c r="J248" s="14"/>
      <c r="K248" s="14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9"/>
      <c r="B249" s="40"/>
      <c r="C249" s="40"/>
      <c r="D249" s="40"/>
      <c r="E249" s="11"/>
      <c r="F249" s="11"/>
      <c r="G249" s="11"/>
      <c r="H249" s="14"/>
      <c r="I249" s="14"/>
      <c r="J249" s="14"/>
      <c r="K249" s="14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9"/>
      <c r="B250" s="40"/>
      <c r="C250" s="40"/>
      <c r="D250" s="40"/>
      <c r="E250" s="11"/>
      <c r="F250" s="11"/>
      <c r="G250" s="11"/>
      <c r="H250" s="14"/>
      <c r="I250" s="14"/>
      <c r="J250" s="14"/>
      <c r="K250" s="14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9"/>
      <c r="B251" s="40"/>
      <c r="C251" s="40"/>
      <c r="D251" s="40"/>
      <c r="E251" s="11"/>
      <c r="F251" s="11"/>
      <c r="G251" s="11"/>
      <c r="H251" s="14"/>
      <c r="I251" s="14"/>
      <c r="J251" s="14"/>
      <c r="K251" s="14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9"/>
      <c r="B252" s="40"/>
      <c r="C252" s="40"/>
      <c r="D252" s="40"/>
      <c r="E252" s="11"/>
      <c r="F252" s="11"/>
      <c r="G252" s="11"/>
      <c r="H252" s="14"/>
      <c r="I252" s="14"/>
      <c r="J252" s="14"/>
      <c r="K252" s="14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9"/>
      <c r="B253" s="40"/>
      <c r="C253" s="40"/>
      <c r="D253" s="40"/>
      <c r="E253" s="11"/>
      <c r="F253" s="11"/>
      <c r="G253" s="11"/>
      <c r="H253" s="14"/>
      <c r="I253" s="14"/>
      <c r="J253" s="14"/>
      <c r="K253" s="14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9"/>
      <c r="B254" s="40"/>
      <c r="C254" s="40"/>
      <c r="D254" s="40"/>
      <c r="E254" s="11"/>
      <c r="F254" s="11"/>
      <c r="G254" s="11"/>
      <c r="H254" s="14"/>
      <c r="I254" s="14"/>
      <c r="J254" s="14"/>
      <c r="K254" s="14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39"/>
      <c r="B255" s="40"/>
      <c r="C255" s="40"/>
      <c r="D255" s="40"/>
      <c r="E255" s="11"/>
      <c r="F255" s="11"/>
      <c r="G255" s="11"/>
      <c r="H255" s="14"/>
      <c r="I255" s="14"/>
      <c r="J255" s="14"/>
      <c r="K255" s="14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39"/>
      <c r="B256" s="40"/>
      <c r="C256" s="40"/>
      <c r="D256" s="40"/>
      <c r="E256" s="11"/>
      <c r="F256" s="11"/>
      <c r="G256" s="11"/>
      <c r="H256" s="14"/>
      <c r="I256" s="14"/>
      <c r="J256" s="14"/>
      <c r="K256" s="14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39"/>
      <c r="B257" s="40"/>
      <c r="C257" s="40"/>
      <c r="D257" s="40"/>
      <c r="E257" s="11"/>
      <c r="F257" s="11"/>
      <c r="G257" s="11"/>
      <c r="H257" s="14"/>
      <c r="I257" s="14"/>
      <c r="J257" s="14"/>
      <c r="K257" s="14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39"/>
      <c r="B258" s="40"/>
      <c r="C258" s="40"/>
      <c r="D258" s="40"/>
      <c r="E258" s="11"/>
      <c r="F258" s="11"/>
      <c r="G258" s="11"/>
      <c r="H258" s="14"/>
      <c r="I258" s="14"/>
      <c r="J258" s="14"/>
      <c r="K258" s="14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39"/>
      <c r="B259" s="40"/>
      <c r="C259" s="40"/>
      <c r="D259" s="40"/>
      <c r="E259" s="11"/>
      <c r="F259" s="11"/>
      <c r="G259" s="11"/>
      <c r="H259" s="14"/>
      <c r="I259" s="14"/>
      <c r="J259" s="14"/>
      <c r="K259" s="14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39"/>
      <c r="B260" s="40"/>
      <c r="C260" s="40"/>
      <c r="D260" s="40"/>
      <c r="E260" s="11"/>
      <c r="F260" s="11"/>
      <c r="G260" s="11"/>
      <c r="H260" s="14"/>
      <c r="I260" s="14"/>
      <c r="J260" s="14"/>
      <c r="K260" s="14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9"/>
      <c r="B261" s="40"/>
      <c r="C261" s="40"/>
      <c r="D261" s="40"/>
      <c r="E261" s="11"/>
      <c r="F261" s="11"/>
      <c r="G261" s="11"/>
      <c r="H261" s="14"/>
      <c r="I261" s="14"/>
      <c r="J261" s="14"/>
      <c r="K261" s="14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39"/>
      <c r="B262" s="40"/>
      <c r="C262" s="40"/>
      <c r="D262" s="40"/>
      <c r="E262" s="11"/>
      <c r="F262" s="11"/>
      <c r="G262" s="11"/>
      <c r="H262" s="14"/>
      <c r="I262" s="14"/>
      <c r="J262" s="14"/>
      <c r="K262" s="14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39"/>
      <c r="B263" s="40"/>
      <c r="C263" s="40"/>
      <c r="D263" s="40"/>
      <c r="E263" s="11"/>
      <c r="F263" s="11"/>
      <c r="G263" s="11"/>
      <c r="H263" s="14"/>
      <c r="I263" s="14"/>
      <c r="J263" s="14"/>
      <c r="K263" s="14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9"/>
      <c r="B264" s="40"/>
      <c r="C264" s="40"/>
      <c r="D264" s="40"/>
      <c r="E264" s="11"/>
      <c r="F264" s="11"/>
      <c r="G264" s="11"/>
      <c r="H264" s="14"/>
      <c r="I264" s="14"/>
      <c r="J264" s="14"/>
      <c r="K264" s="14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39"/>
      <c r="B265" s="40"/>
      <c r="C265" s="40"/>
      <c r="D265" s="40"/>
      <c r="E265" s="11"/>
      <c r="F265" s="11"/>
      <c r="G265" s="11"/>
      <c r="H265" s="14"/>
      <c r="I265" s="14"/>
      <c r="J265" s="14"/>
      <c r="K265" s="14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39"/>
      <c r="B266" s="40"/>
      <c r="C266" s="40"/>
      <c r="D266" s="40"/>
      <c r="E266" s="11"/>
      <c r="F266" s="11"/>
      <c r="G266" s="11"/>
      <c r="H266" s="14"/>
      <c r="I266" s="14"/>
      <c r="J266" s="14"/>
      <c r="K266" s="14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39"/>
      <c r="B267" s="40"/>
      <c r="C267" s="40"/>
      <c r="D267" s="40"/>
      <c r="E267" s="11"/>
      <c r="F267" s="11"/>
      <c r="G267" s="11"/>
      <c r="H267" s="14"/>
      <c r="I267" s="14"/>
      <c r="J267" s="14"/>
      <c r="K267" s="14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39"/>
      <c r="B268" s="40"/>
      <c r="C268" s="40"/>
      <c r="D268" s="40"/>
      <c r="E268" s="11"/>
      <c r="F268" s="11"/>
      <c r="G268" s="11"/>
      <c r="H268" s="14"/>
      <c r="I268" s="14"/>
      <c r="J268" s="14"/>
      <c r="K268" s="14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39"/>
      <c r="B269" s="40"/>
      <c r="C269" s="40"/>
      <c r="D269" s="40"/>
      <c r="E269" s="11"/>
      <c r="F269" s="11"/>
      <c r="G269" s="11"/>
      <c r="H269" s="14"/>
      <c r="I269" s="14"/>
      <c r="J269" s="14"/>
      <c r="K269" s="14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39"/>
      <c r="B270" s="40"/>
      <c r="C270" s="40"/>
      <c r="D270" s="40"/>
      <c r="E270" s="11"/>
      <c r="F270" s="11"/>
      <c r="G270" s="11"/>
      <c r="H270" s="14"/>
      <c r="I270" s="14"/>
      <c r="J270" s="14"/>
      <c r="K270" s="14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39"/>
      <c r="B271" s="40"/>
      <c r="C271" s="40"/>
      <c r="D271" s="40"/>
      <c r="E271" s="11"/>
      <c r="F271" s="11"/>
      <c r="G271" s="11"/>
      <c r="H271" s="14"/>
      <c r="I271" s="14"/>
      <c r="J271" s="14"/>
      <c r="K271" s="14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39"/>
      <c r="B272" s="40"/>
      <c r="C272" s="40"/>
      <c r="D272" s="40"/>
      <c r="E272" s="11"/>
      <c r="F272" s="11"/>
      <c r="G272" s="11"/>
      <c r="H272" s="14"/>
      <c r="I272" s="14"/>
      <c r="J272" s="14"/>
      <c r="K272" s="14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39"/>
      <c r="B273" s="40"/>
      <c r="C273" s="40"/>
      <c r="D273" s="40"/>
      <c r="E273" s="11"/>
      <c r="F273" s="11"/>
      <c r="G273" s="11"/>
      <c r="H273" s="14"/>
      <c r="I273" s="14"/>
      <c r="J273" s="14"/>
      <c r="K273" s="14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39"/>
      <c r="B274" s="40"/>
      <c r="C274" s="40"/>
      <c r="D274" s="40"/>
      <c r="E274" s="11"/>
      <c r="F274" s="11"/>
      <c r="G274" s="11"/>
      <c r="H274" s="14"/>
      <c r="I274" s="14"/>
      <c r="J274" s="14"/>
      <c r="K274" s="14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9"/>
      <c r="B275" s="40"/>
      <c r="C275" s="40"/>
      <c r="D275" s="40"/>
      <c r="E275" s="11"/>
      <c r="F275" s="11"/>
      <c r="G275" s="11"/>
      <c r="H275" s="14"/>
      <c r="I275" s="14"/>
      <c r="J275" s="14"/>
      <c r="K275" s="14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39"/>
      <c r="B276" s="40"/>
      <c r="C276" s="40"/>
      <c r="D276" s="40"/>
      <c r="E276" s="11"/>
      <c r="F276" s="11"/>
      <c r="G276" s="11"/>
      <c r="H276" s="14"/>
      <c r="I276" s="14"/>
      <c r="J276" s="14"/>
      <c r="K276" s="14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39"/>
      <c r="B277" s="40"/>
      <c r="C277" s="40"/>
      <c r="D277" s="40"/>
      <c r="E277" s="11"/>
      <c r="F277" s="11"/>
      <c r="G277" s="11"/>
      <c r="H277" s="14"/>
      <c r="I277" s="14"/>
      <c r="J277" s="14"/>
      <c r="K277" s="14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39"/>
      <c r="B278" s="40"/>
      <c r="C278" s="40"/>
      <c r="D278" s="40"/>
      <c r="E278" s="11"/>
      <c r="F278" s="11"/>
      <c r="G278" s="11"/>
      <c r="H278" s="14"/>
      <c r="I278" s="14"/>
      <c r="J278" s="14"/>
      <c r="K278" s="14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9"/>
      <c r="B279" s="40"/>
      <c r="C279" s="40"/>
      <c r="D279" s="40"/>
      <c r="E279" s="11"/>
      <c r="F279" s="11"/>
      <c r="G279" s="11"/>
      <c r="H279" s="14"/>
      <c r="I279" s="14"/>
      <c r="J279" s="14"/>
      <c r="K279" s="14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39"/>
      <c r="B280" s="40"/>
      <c r="C280" s="40"/>
      <c r="D280" s="40"/>
      <c r="E280" s="11"/>
      <c r="F280" s="11"/>
      <c r="G280" s="11"/>
      <c r="H280" s="14"/>
      <c r="I280" s="14"/>
      <c r="J280" s="14"/>
      <c r="K280" s="14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39"/>
      <c r="B281" s="40"/>
      <c r="C281" s="40"/>
      <c r="D281" s="40"/>
      <c r="E281" s="11"/>
      <c r="F281" s="11"/>
      <c r="G281" s="11"/>
      <c r="H281" s="14"/>
      <c r="I281" s="14"/>
      <c r="J281" s="14"/>
      <c r="K281" s="14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39"/>
      <c r="B282" s="40"/>
      <c r="C282" s="40"/>
      <c r="D282" s="40"/>
      <c r="E282" s="11"/>
      <c r="F282" s="11"/>
      <c r="G282" s="11"/>
      <c r="H282" s="14"/>
      <c r="I282" s="14"/>
      <c r="J282" s="14"/>
      <c r="K282" s="1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39"/>
      <c r="B283" s="40"/>
      <c r="C283" s="40"/>
      <c r="D283" s="40"/>
      <c r="E283" s="11"/>
      <c r="F283" s="11"/>
      <c r="G283" s="11"/>
      <c r="H283" s="14"/>
      <c r="I283" s="14"/>
      <c r="J283" s="14"/>
      <c r="K283" s="14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39"/>
      <c r="B284" s="40"/>
      <c r="C284" s="40"/>
      <c r="D284" s="40"/>
      <c r="E284" s="11"/>
      <c r="F284" s="11"/>
      <c r="G284" s="11"/>
      <c r="H284" s="14"/>
      <c r="I284" s="14"/>
      <c r="J284" s="14"/>
      <c r="K284" s="14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39"/>
      <c r="B285" s="40"/>
      <c r="C285" s="40"/>
      <c r="D285" s="40"/>
      <c r="E285" s="11"/>
      <c r="F285" s="11"/>
      <c r="G285" s="11"/>
      <c r="H285" s="14"/>
      <c r="I285" s="14"/>
      <c r="J285" s="14"/>
      <c r="K285" s="14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39"/>
      <c r="B286" s="40"/>
      <c r="C286" s="40"/>
      <c r="D286" s="40"/>
      <c r="E286" s="11"/>
      <c r="F286" s="11"/>
      <c r="G286" s="11"/>
      <c r="H286" s="14"/>
      <c r="I286" s="14"/>
      <c r="J286" s="14"/>
      <c r="K286" s="14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39"/>
      <c r="B287" s="40"/>
      <c r="C287" s="40"/>
      <c r="D287" s="40"/>
      <c r="E287" s="11"/>
      <c r="F287" s="11"/>
      <c r="G287" s="11"/>
      <c r="H287" s="14"/>
      <c r="I287" s="14"/>
      <c r="J287" s="14"/>
      <c r="K287" s="14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39"/>
      <c r="B288" s="40"/>
      <c r="C288" s="40"/>
      <c r="D288" s="40"/>
      <c r="E288" s="11"/>
      <c r="F288" s="11"/>
      <c r="G288" s="11"/>
      <c r="H288" s="14"/>
      <c r="I288" s="14"/>
      <c r="J288" s="14"/>
      <c r="K288" s="14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9"/>
      <c r="B289" s="40"/>
      <c r="C289" s="40"/>
      <c r="D289" s="40"/>
      <c r="E289" s="11"/>
      <c r="F289" s="11"/>
      <c r="G289" s="11"/>
      <c r="H289" s="14"/>
      <c r="I289" s="14"/>
      <c r="J289" s="14"/>
      <c r="K289" s="14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39"/>
      <c r="B290" s="40"/>
      <c r="C290" s="40"/>
      <c r="D290" s="40"/>
      <c r="E290" s="11"/>
      <c r="F290" s="11"/>
      <c r="G290" s="11"/>
      <c r="H290" s="14"/>
      <c r="I290" s="14"/>
      <c r="J290" s="14"/>
      <c r="K290" s="14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39"/>
      <c r="B291" s="40"/>
      <c r="C291" s="40"/>
      <c r="D291" s="40"/>
      <c r="E291" s="11"/>
      <c r="F291" s="11"/>
      <c r="G291" s="11"/>
      <c r="H291" s="14"/>
      <c r="I291" s="14"/>
      <c r="J291" s="14"/>
      <c r="K291" s="14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39"/>
      <c r="B292" s="40"/>
      <c r="C292" s="40"/>
      <c r="D292" s="40"/>
      <c r="E292" s="11"/>
      <c r="F292" s="11"/>
      <c r="G292" s="11"/>
      <c r="H292" s="14"/>
      <c r="I292" s="14"/>
      <c r="J292" s="14"/>
      <c r="K292" s="14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39"/>
      <c r="B293" s="40"/>
      <c r="C293" s="40"/>
      <c r="D293" s="40"/>
      <c r="E293" s="11"/>
      <c r="F293" s="11"/>
      <c r="G293" s="11"/>
      <c r="H293" s="14"/>
      <c r="I293" s="14"/>
      <c r="J293" s="14"/>
      <c r="K293" s="14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39"/>
      <c r="B294" s="40"/>
      <c r="C294" s="40"/>
      <c r="D294" s="40"/>
      <c r="E294" s="11"/>
      <c r="F294" s="11"/>
      <c r="G294" s="11"/>
      <c r="H294" s="14"/>
      <c r="I294" s="14"/>
      <c r="J294" s="14"/>
      <c r="K294" s="14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39"/>
      <c r="B295" s="40"/>
      <c r="C295" s="40"/>
      <c r="D295" s="40"/>
      <c r="E295" s="11"/>
      <c r="F295" s="11"/>
      <c r="G295" s="11"/>
      <c r="H295" s="14"/>
      <c r="I295" s="14"/>
      <c r="J295" s="14"/>
      <c r="K295" s="14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39"/>
      <c r="B296" s="40"/>
      <c r="C296" s="40"/>
      <c r="D296" s="40"/>
      <c r="E296" s="11"/>
      <c r="F296" s="11"/>
      <c r="G296" s="11"/>
      <c r="H296" s="14"/>
      <c r="I296" s="14"/>
      <c r="J296" s="14"/>
      <c r="K296" s="14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39"/>
      <c r="B297" s="40"/>
      <c r="C297" s="40"/>
      <c r="D297" s="40"/>
      <c r="E297" s="11"/>
      <c r="F297" s="11"/>
      <c r="G297" s="11"/>
      <c r="H297" s="14"/>
      <c r="I297" s="14"/>
      <c r="J297" s="14"/>
      <c r="K297" s="14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39"/>
      <c r="B298" s="40"/>
      <c r="C298" s="40"/>
      <c r="D298" s="40"/>
      <c r="E298" s="11"/>
      <c r="F298" s="11"/>
      <c r="G298" s="11"/>
      <c r="H298" s="14"/>
      <c r="I298" s="14"/>
      <c r="J298" s="14"/>
      <c r="K298" s="14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39"/>
      <c r="B299" s="40"/>
      <c r="C299" s="40"/>
      <c r="D299" s="40"/>
      <c r="E299" s="11"/>
      <c r="F299" s="11"/>
      <c r="G299" s="11"/>
      <c r="H299" s="14"/>
      <c r="I299" s="14"/>
      <c r="J299" s="14"/>
      <c r="K299" s="14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39"/>
      <c r="B300" s="40"/>
      <c r="C300" s="40"/>
      <c r="D300" s="40"/>
      <c r="E300" s="11"/>
      <c r="F300" s="11"/>
      <c r="G300" s="11"/>
      <c r="H300" s="14"/>
      <c r="I300" s="14"/>
      <c r="J300" s="14"/>
      <c r="K300" s="14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39"/>
      <c r="B301" s="40"/>
      <c r="C301" s="40"/>
      <c r="D301" s="40"/>
      <c r="E301" s="11"/>
      <c r="F301" s="11"/>
      <c r="G301" s="11"/>
      <c r="H301" s="14"/>
      <c r="I301" s="14"/>
      <c r="J301" s="14"/>
      <c r="K301" s="14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9"/>
      <c r="B302" s="40"/>
      <c r="C302" s="40"/>
      <c r="D302" s="40"/>
      <c r="E302" s="11"/>
      <c r="F302" s="11"/>
      <c r="G302" s="11"/>
      <c r="H302" s="14"/>
      <c r="I302" s="14"/>
      <c r="J302" s="14"/>
      <c r="K302" s="14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39"/>
      <c r="B303" s="40"/>
      <c r="C303" s="40"/>
      <c r="D303" s="40"/>
      <c r="E303" s="11"/>
      <c r="F303" s="11"/>
      <c r="G303" s="11"/>
      <c r="H303" s="14"/>
      <c r="I303" s="14"/>
      <c r="J303" s="14"/>
      <c r="K303" s="14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39"/>
      <c r="B304" s="40"/>
      <c r="C304" s="40"/>
      <c r="D304" s="40"/>
      <c r="E304" s="11"/>
      <c r="F304" s="11"/>
      <c r="G304" s="11"/>
      <c r="H304" s="14"/>
      <c r="I304" s="14"/>
      <c r="J304" s="14"/>
      <c r="K304" s="14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39"/>
      <c r="B305" s="40"/>
      <c r="C305" s="40"/>
      <c r="D305" s="40"/>
      <c r="E305" s="11"/>
      <c r="F305" s="11"/>
      <c r="G305" s="11"/>
      <c r="H305" s="14"/>
      <c r="I305" s="14"/>
      <c r="J305" s="14"/>
      <c r="K305" s="14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39"/>
      <c r="B306" s="40"/>
      <c r="C306" s="40"/>
      <c r="D306" s="40"/>
      <c r="E306" s="11"/>
      <c r="F306" s="11"/>
      <c r="G306" s="11"/>
      <c r="H306" s="14"/>
      <c r="I306" s="14"/>
      <c r="J306" s="14"/>
      <c r="K306" s="14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39"/>
      <c r="B307" s="40"/>
      <c r="C307" s="40"/>
      <c r="D307" s="40"/>
      <c r="E307" s="11"/>
      <c r="F307" s="11"/>
      <c r="G307" s="11"/>
      <c r="H307" s="14"/>
      <c r="I307" s="14"/>
      <c r="J307" s="14"/>
      <c r="K307" s="14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39"/>
      <c r="B308" s="40"/>
      <c r="C308" s="40"/>
      <c r="D308" s="40"/>
      <c r="E308" s="11"/>
      <c r="F308" s="11"/>
      <c r="G308" s="11"/>
      <c r="H308" s="14"/>
      <c r="I308" s="14"/>
      <c r="J308" s="14"/>
      <c r="K308" s="14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39"/>
      <c r="B309" s="40"/>
      <c r="C309" s="40"/>
      <c r="D309" s="40"/>
      <c r="E309" s="11"/>
      <c r="F309" s="11"/>
      <c r="G309" s="11"/>
      <c r="H309" s="14"/>
      <c r="I309" s="14"/>
      <c r="J309" s="14"/>
      <c r="K309" s="14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39"/>
      <c r="B310" s="40"/>
      <c r="C310" s="40"/>
      <c r="D310" s="40"/>
      <c r="E310" s="11"/>
      <c r="F310" s="11"/>
      <c r="G310" s="11"/>
      <c r="H310" s="14"/>
      <c r="I310" s="14"/>
      <c r="J310" s="14"/>
      <c r="K310" s="14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39"/>
      <c r="B311" s="40"/>
      <c r="C311" s="40"/>
      <c r="D311" s="40"/>
      <c r="E311" s="11"/>
      <c r="F311" s="11"/>
      <c r="G311" s="11"/>
      <c r="H311" s="14"/>
      <c r="I311" s="14"/>
      <c r="J311" s="14"/>
      <c r="K311" s="14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39"/>
      <c r="B312" s="40"/>
      <c r="C312" s="40"/>
      <c r="D312" s="40"/>
      <c r="E312" s="11"/>
      <c r="F312" s="11"/>
      <c r="G312" s="11"/>
      <c r="H312" s="14"/>
      <c r="I312" s="14"/>
      <c r="J312" s="14"/>
      <c r="K312" s="14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39"/>
      <c r="B313" s="40"/>
      <c r="C313" s="40"/>
      <c r="D313" s="40"/>
      <c r="E313" s="11"/>
      <c r="F313" s="11"/>
      <c r="G313" s="11"/>
      <c r="H313" s="14"/>
      <c r="I313" s="14"/>
      <c r="J313" s="14"/>
      <c r="K313" s="14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39"/>
      <c r="B314" s="40"/>
      <c r="C314" s="40"/>
      <c r="D314" s="40"/>
      <c r="E314" s="11"/>
      <c r="F314" s="11"/>
      <c r="G314" s="11"/>
      <c r="H314" s="14"/>
      <c r="I314" s="14"/>
      <c r="J314" s="14"/>
      <c r="K314" s="14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39"/>
      <c r="B315" s="40"/>
      <c r="C315" s="40"/>
      <c r="D315" s="40"/>
      <c r="E315" s="11"/>
      <c r="F315" s="11"/>
      <c r="G315" s="11"/>
      <c r="H315" s="14"/>
      <c r="I315" s="14"/>
      <c r="J315" s="14"/>
      <c r="K315" s="14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39"/>
      <c r="B316" s="40"/>
      <c r="C316" s="40"/>
      <c r="D316" s="40"/>
      <c r="E316" s="11"/>
      <c r="F316" s="11"/>
      <c r="G316" s="11"/>
      <c r="H316" s="14"/>
      <c r="I316" s="14"/>
      <c r="J316" s="14"/>
      <c r="K316" s="1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39"/>
      <c r="B317" s="40"/>
      <c r="C317" s="40"/>
      <c r="D317" s="40"/>
      <c r="E317" s="11"/>
      <c r="F317" s="11"/>
      <c r="G317" s="11"/>
      <c r="H317" s="14"/>
      <c r="I317" s="14"/>
      <c r="J317" s="14"/>
      <c r="K317" s="14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39"/>
      <c r="B318" s="40"/>
      <c r="C318" s="40"/>
      <c r="D318" s="40"/>
      <c r="E318" s="11"/>
      <c r="F318" s="11"/>
      <c r="G318" s="11"/>
      <c r="H318" s="14"/>
      <c r="I318" s="14"/>
      <c r="J318" s="14"/>
      <c r="K318" s="14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39"/>
      <c r="B319" s="40"/>
      <c r="C319" s="40"/>
      <c r="D319" s="40"/>
      <c r="E319" s="11"/>
      <c r="F319" s="11"/>
      <c r="G319" s="11"/>
      <c r="H319" s="14"/>
      <c r="I319" s="14"/>
      <c r="J319" s="14"/>
      <c r="K319" s="14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39"/>
      <c r="B320" s="40"/>
      <c r="C320" s="40"/>
      <c r="D320" s="40"/>
      <c r="E320" s="11"/>
      <c r="F320" s="11"/>
      <c r="G320" s="11"/>
      <c r="H320" s="14"/>
      <c r="I320" s="14"/>
      <c r="J320" s="14"/>
      <c r="K320" s="14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39"/>
      <c r="B321" s="40"/>
      <c r="C321" s="40"/>
      <c r="D321" s="40"/>
      <c r="E321" s="11"/>
      <c r="F321" s="11"/>
      <c r="G321" s="11"/>
      <c r="H321" s="14"/>
      <c r="I321" s="14"/>
      <c r="J321" s="14"/>
      <c r="K321" s="14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39"/>
      <c r="B322" s="40"/>
      <c r="C322" s="40"/>
      <c r="D322" s="40"/>
      <c r="E322" s="11"/>
      <c r="F322" s="11"/>
      <c r="G322" s="11"/>
      <c r="H322" s="14"/>
      <c r="I322" s="14"/>
      <c r="J322" s="14"/>
      <c r="K322" s="14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39"/>
      <c r="B323" s="40"/>
      <c r="C323" s="40"/>
      <c r="D323" s="40"/>
      <c r="E323" s="11"/>
      <c r="F323" s="11"/>
      <c r="G323" s="11"/>
      <c r="H323" s="14"/>
      <c r="I323" s="14"/>
      <c r="J323" s="14"/>
      <c r="K323" s="14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39"/>
      <c r="B324" s="40"/>
      <c r="C324" s="40"/>
      <c r="D324" s="40"/>
      <c r="E324" s="11"/>
      <c r="F324" s="11"/>
      <c r="G324" s="11"/>
      <c r="H324" s="14"/>
      <c r="I324" s="14"/>
      <c r="J324" s="14"/>
      <c r="K324" s="14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39"/>
      <c r="B325" s="40"/>
      <c r="C325" s="40"/>
      <c r="D325" s="40"/>
      <c r="E325" s="11"/>
      <c r="F325" s="11"/>
      <c r="G325" s="11"/>
      <c r="H325" s="14"/>
      <c r="I325" s="14"/>
      <c r="J325" s="14"/>
      <c r="K325" s="14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39"/>
      <c r="B326" s="40"/>
      <c r="C326" s="40"/>
      <c r="D326" s="40"/>
      <c r="E326" s="11"/>
      <c r="F326" s="11"/>
      <c r="G326" s="11"/>
      <c r="H326" s="14"/>
      <c r="I326" s="14"/>
      <c r="J326" s="14"/>
      <c r="K326" s="14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39"/>
      <c r="B327" s="40"/>
      <c r="C327" s="40"/>
      <c r="D327" s="40"/>
      <c r="E327" s="11"/>
      <c r="F327" s="11"/>
      <c r="G327" s="11"/>
      <c r="H327" s="14"/>
      <c r="I327" s="14"/>
      <c r="J327" s="14"/>
      <c r="K327" s="14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39"/>
      <c r="B328" s="40"/>
      <c r="C328" s="40"/>
      <c r="D328" s="40"/>
      <c r="E328" s="11"/>
      <c r="F328" s="11"/>
      <c r="G328" s="11"/>
      <c r="H328" s="14"/>
      <c r="I328" s="14"/>
      <c r="J328" s="14"/>
      <c r="K328" s="14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39"/>
      <c r="B329" s="40"/>
      <c r="C329" s="40"/>
      <c r="D329" s="40"/>
      <c r="E329" s="11"/>
      <c r="F329" s="11"/>
      <c r="G329" s="11"/>
      <c r="H329" s="14"/>
      <c r="I329" s="14"/>
      <c r="J329" s="14"/>
      <c r="K329" s="14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39"/>
      <c r="B330" s="40"/>
      <c r="C330" s="40"/>
      <c r="D330" s="40"/>
      <c r="E330" s="11"/>
      <c r="F330" s="11"/>
      <c r="G330" s="11"/>
      <c r="H330" s="14"/>
      <c r="I330" s="14"/>
      <c r="J330" s="14"/>
      <c r="K330" s="14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</sheetData>
  <conditionalFormatting sqref="A4:D330">
    <cfRule type="cellIs" dxfId="0" priority="1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1.43"/>
    <col customWidth="1" min="3" max="3" width="9.29"/>
    <col customWidth="1" min="4" max="4" width="27.57"/>
    <col customWidth="1" min="5" max="5" width="13.86"/>
    <col customWidth="1" min="6" max="6" width="11.0"/>
    <col customWidth="1" min="7" max="7" width="13.71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5" t="s">
        <v>16</v>
      </c>
      <c r="C1" s="6"/>
      <c r="D1" s="7"/>
      <c r="E1" s="8" t="s">
        <v>4</v>
      </c>
      <c r="F1" s="11">
        <f>SUM(C:C)</f>
        <v>-30020.446</v>
      </c>
      <c r="G1" s="13" t="s">
        <v>6</v>
      </c>
      <c r="H1" s="14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200</v>
      </c>
      <c r="C2" s="6"/>
      <c r="D2" s="7"/>
      <c r="E2" s="21" t="s">
        <v>17</v>
      </c>
      <c r="F2" s="22">
        <v>142580.75</v>
      </c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18</v>
      </c>
      <c r="F3" s="21">
        <f>F1+F2</f>
        <v>112560.304</v>
      </c>
      <c r="G3" s="30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IF(ROWS(A$4:A4)&lt;=$B$2,INDEX(data!C$3:C$16128,SMALL(IF(data!$D$3:$D$16128='Надежда'!$B$1,ROW(data!$A$3:$A$16128)-ROW($A$3)+1),ROWS(A$4:A4))),"")</f>
        <v>44557</v>
      </c>
      <c r="B4" s="19" t="str">
        <f t="array" ref="B4">IF(ROWS(B$4:B4)&lt;=$B$2,INDEX(data!A$3:A$16128,SMALL(IF(data!$D$3:$D$16128='Надежда'!$B$1,ROW(data!$A$3:$A$16128)-ROW($A$3)+1),ROWS(B$4:B4))),"")</f>
        <v>MYPOS Бакалия</v>
      </c>
      <c r="C4" s="19">
        <f t="array" ref="C4">IF(ROWS(C$4:C4)&lt;=$B$2,INDEX(data!B$3:B$16128,SMALL(IF(data!$D$3:$D$16128='Надежда'!$B$1,ROW(data!$A$3:$A$16128)-ROW($A$3)+1),ROWS(C$4:C4))),"")</f>
        <v>-0.01</v>
      </c>
      <c r="D4" s="7" t="str">
        <f t="array" ref="D4">IF(ROWS(D$4:D4)&lt;=$B$2,INDEX(data!E$3:E$16128,SMALL(IF(data!$D$3:$D$16128='Надежда'!$B$1,ROW(data!$A$3:$A$16128)-ROW($A$3)+1),ROWS(D$4:D4))),"")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IF(ROWS(A$4:A5)&lt;=$B$2,INDEX(data!C$3:C$16128,SMALL(IF(data!$D$3:$D$16128='Надежда'!$B$1,ROW(data!$A$3:$A$16128)-ROW($A$3)+1),ROWS(A$4:A5))),"")</f>
        <v>46025</v>
      </c>
      <c r="B5" s="19" t="str">
        <f t="array" ref="B5">IF(ROWS(B$4:B5)&lt;=$B$2,INDEX(data!A$3:A$16128,SMALL(IF(data!$D$3:$D$16128='Надежда'!$B$1,ROW(data!$A$3:$A$16128)-ROW($A$3)+1),ROWS(B$4:B5))),"")</f>
        <v>ЗАЕМ</v>
      </c>
      <c r="C5" s="19">
        <f t="array" ref="C5">IF(ROWS(C$4:C5)&lt;=$B$2,INDEX(data!B$3:B$16128,SMALL(IF(data!$D$3:$D$16128='Надежда'!$B$1,ROW(data!$A$3:$A$16128)-ROW($A$3)+1),ROWS(C$4:C5))),"")</f>
        <v>13260.68</v>
      </c>
      <c r="D5" s="7" t="str">
        <f t="array" ref="D5">IF(ROWS(D$4:D5)&lt;=$B$2,INDEX(data!E$3:E$16128,SMALL(IF(data!$D$3:$D$16128='Надежда'!$B$1,ROW(data!$A$3:$A$16128)-ROW($A$3)+1),ROWS(D$4:D5))),"")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IF(ROWS(A$4:A6)&lt;=$B$2,INDEX(data!C$3:C$16128,SMALL(IF(data!$D$3:$D$16128='Надежда'!$B$1,ROW(data!$A$3:$A$16128)-ROW($A$3)+1),ROWS(A$4:A6))),"")</f>
        <v>46027</v>
      </c>
      <c r="B6" s="19" t="str">
        <f t="array" ref="B6">IF(ROWS(B$4:B6)&lt;=$B$2,INDEX(data!A$3:A$16128,SMALL(IF(data!$D$3:$D$16128='Надежда'!$B$1,ROW(data!$A$3:$A$16128)-ROW($A$3)+1),ROWS(B$4:B6))),"")</f>
        <v>КАСОВА КНИГА</v>
      </c>
      <c r="C6" s="19">
        <f t="array" ref="C6">IF(ROWS(C$4:C6)&lt;=$B$2,INDEX(data!B$3:B$16128,SMALL(IF(data!$D$3:$D$16128='Надежда'!$B$1,ROW(data!$A$3:$A$16128)-ROW($A$3)+1),ROWS(C$4:C6))),"")</f>
        <v>-1533.88</v>
      </c>
      <c r="D6" s="7" t="str">
        <f t="array" ref="D6">IF(ROWS(D$4:D6)&lt;=$B$2,INDEX(data!E$3:E$16128,SMALL(IF(data!$D$3:$D$16128='Надежда'!$B$1,ROW(data!$A$3:$A$16128)-ROW($A$3)+1),ROWS(D$4:D6))),"")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IF(ROWS(A$4:A7)&lt;=$B$2,INDEX(data!C$3:C$16128,SMALL(IF(data!$D$3:$D$16128='Надежда'!$B$1,ROW(data!$A$3:$A$16128)-ROW($A$3)+1),ROWS(A$4:A7))),"")</f>
        <v>46027</v>
      </c>
      <c r="B7" s="19" t="str">
        <f t="array" ref="B7">IF(ROWS(B$4:B7)&lt;=$B$2,INDEX(data!A$3:A$16128,SMALL(IF(data!$D$3:$D$16128='Надежда'!$B$1,ROW(data!$A$3:$A$16128)-ROW($A$3)+1),ROWS(B$4:B7))),"")</f>
        <v>КАСОВА КНИГА</v>
      </c>
      <c r="C7" s="19">
        <f t="array" ref="C7">IF(ROWS(C$4:C7)&lt;=$B$2,INDEX(data!B$3:B$16128,SMALL(IF(data!$D$3:$D$16128='Надежда'!$B$1,ROW(data!$A$3:$A$16128)-ROW($A$3)+1),ROWS(C$4:C7))),"")</f>
        <v>-2556.46</v>
      </c>
      <c r="D7" s="7" t="str">
        <f t="array" ref="D7">IF(ROWS(D$4:D7)&lt;=$B$2,INDEX(data!E$3:E$16128,SMALL(IF(data!$D$3:$D$16128='Надежда'!$B$1,ROW(data!$A$3:$A$16128)-ROW($A$3)+1),ROWS(D$4:D7))),"")</f>
        <v>банка 03.01</v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IF(ROWS(A$4:A8)&lt;=$B$2,INDEX(data!C$3:C$16128,SMALL(IF(data!$D$3:$D$16128='Надежда'!$B$1,ROW(data!$A$3:$A$16128)-ROW($A$3)+1),ROWS(A$4:A8))),"")</f>
        <v>46027</v>
      </c>
      <c r="B8" s="19" t="str">
        <f t="array" ref="B8">IF(ROWS(B$4:B8)&lt;=$B$2,INDEX(data!A$3:A$16128,SMALL(IF(data!$D$3:$D$16128='Надежда'!$B$1,ROW(data!$A$3:$A$16128)-ROW($A$3)+1),ROWS(B$4:B8))),"")</f>
        <v>MYPOS Бакалия</v>
      </c>
      <c r="C8" s="19">
        <f t="array" ref="C8">IF(ROWS(C$4:C8)&lt;=$B$2,INDEX(data!B$3:B$16128,SMALL(IF(data!$D$3:$D$16128='Надежда'!$B$1,ROW(data!$A$3:$A$16128)-ROW($A$3)+1),ROWS(C$4:C8))),"")</f>
        <v>-1530.29</v>
      </c>
      <c r="D8" s="7" t="str">
        <f t="array" ref="D8">IF(ROWS(D$4:D8)&lt;=$B$2,INDEX(data!E$3:E$16128,SMALL(IF(data!$D$3:$D$16128='Надежда'!$B$1,ROW(data!$A$3:$A$16128)-ROW($A$3)+1),ROWS(D$4:D8))),"")</f>
        <v/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IF(ROWS(A$4:A9)&lt;=$B$2,INDEX(data!C$3:C$16128,SMALL(IF(data!$D$3:$D$16128='Надежда'!$B$1,ROW(data!$A$3:$A$16128)-ROW($A$3)+1),ROWS(A$4:A9))),"")</f>
        <v>46027</v>
      </c>
      <c r="B9" s="19" t="str">
        <f t="array" ref="B9">IF(ROWS(B$4:B9)&lt;=$B$2,INDEX(data!A$3:A$16128,SMALL(IF(data!$D$3:$D$16128='Надежда'!$B$1,ROW(data!$A$3:$A$16128)-ROW($A$3)+1),ROWS(B$4:B9))),"")</f>
        <v>каса ФИКТИВНА</v>
      </c>
      <c r="C9" s="19">
        <f t="array" ref="C9">IF(ROWS(C$4:C9)&lt;=$B$2,INDEX(data!B$3:B$16128,SMALL(IF(data!$D$3:$D$16128='Надежда'!$B$1,ROW(data!$A$3:$A$16128)-ROW($A$3)+1),ROWS(C$4:C9))),"")</f>
        <v>-176.4</v>
      </c>
      <c r="D9" s="7" t="str">
        <f t="array" ref="D9">IF(ROWS(D$4:D9)&lt;=$B$2,INDEX(data!E$3:E$16128,SMALL(IF(data!$D$3:$D$16128='Надежда'!$B$1,ROW(data!$A$3:$A$16128)-ROW($A$3)+1),ROWS(D$4:D9))),"")</f>
        <v>2 колета Милена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IF(ROWS(A$4:A10)&lt;=$B$2,INDEX(data!C$3:C$16128,SMALL(IF(data!$D$3:$D$16128='Надежда'!$B$1,ROW(data!$A$3:$A$16128)-ROW($A$3)+1),ROWS(A$4:A10))),"")</f>
        <v>46027</v>
      </c>
      <c r="B10" s="19" t="str">
        <f t="array" ref="B10">IF(ROWS(B$4:B10)&lt;=$B$2,INDEX(data!A$3:A$16128,SMALL(IF(data!$D$3:$D$16128='Надежда'!$B$1,ROW(data!$A$3:$A$16128)-ROW($A$3)+1),ROWS(B$4:B10))),"")</f>
        <v>MYPOS Бакалия</v>
      </c>
      <c r="C10" s="19">
        <f t="array" ref="C10">IF(ROWS(C$4:C10)&lt;=$B$2,INDEX(data!B$3:B$16128,SMALL(IF(data!$D$3:$D$16128='Надежда'!$B$1,ROW(data!$A$3:$A$16128)-ROW($A$3)+1),ROWS(C$4:C10))),"")</f>
        <v>-2004.8</v>
      </c>
      <c r="D10" s="7" t="str">
        <f t="array" ref="D10">IF(ROWS(D$4:D10)&lt;=$B$2,INDEX(data!E$3:E$16128,SMALL(IF(data!$D$3:$D$16128='Надежда'!$B$1,ROW(data!$A$3:$A$16128)-ROW($A$3)+1),ROWS(D$4:D10))),"")</f>
        <v>29-31,12</v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IF(ROWS(A$4:A11)&lt;=$B$2,INDEX(data!C$3:C$16128,SMALL(IF(data!$D$3:$D$16128='Надежда'!$B$1,ROW(data!$A$3:$A$16128)-ROW($A$3)+1),ROWS(A$4:A11))),"")</f>
        <v>46027</v>
      </c>
      <c r="B11" s="19" t="str">
        <f t="array" ref="B11">IF(ROWS(B$4:B11)&lt;=$B$2,INDEX(data!A$3:A$16128,SMALL(IF(data!$D$3:$D$16128='Надежда'!$B$1,ROW(data!$A$3:$A$16128)-ROW($A$3)+1),ROWS(B$4:B11))),"")</f>
        <v>КАСОВА КНИГА</v>
      </c>
      <c r="C11" s="19">
        <f t="array" ref="C11">IF(ROWS(C$4:C11)&lt;=$B$2,INDEX(data!B$3:B$16128,SMALL(IF(data!$D$3:$D$16128='Надежда'!$B$1,ROW(data!$A$3:$A$16128)-ROW($A$3)+1),ROWS(C$4:C11))),"")</f>
        <v>7665</v>
      </c>
      <c r="D11" s="7" t="str">
        <f t="array" ref="D11">IF(ROWS(D$4:D11)&lt;=$B$2,INDEX(data!E$3:E$16128,SMALL(IF(data!$D$3:$D$16128='Надежда'!$B$1,ROW(data!$A$3:$A$16128)-ROW($A$3)+1),ROWS(D$4:D11))),"")</f>
        <v>евро</v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IF(ROWS(A$4:A12)&lt;=$B$2,INDEX(data!C$3:C$16128,SMALL(IF(data!$D$3:$D$16128='Надежда'!$B$1,ROW(data!$A$3:$A$16128)-ROW($A$3)+1),ROWS(A$4:A12))),"")</f>
        <v>46028</v>
      </c>
      <c r="B12" s="19" t="str">
        <f t="array" ref="B12">IF(ROWS(B$4:B12)&lt;=$B$2,INDEX(data!A$3:A$16128,SMALL(IF(data!$D$3:$D$16128='Надежда'!$B$1,ROW(data!$A$3:$A$16128)-ROW($A$3)+1),ROWS(B$4:B12))),"")</f>
        <v>ДСК Бакалия</v>
      </c>
      <c r="C12" s="19">
        <f t="array" ref="C12">IF(ROWS(C$4:C12)&lt;=$B$2,INDEX(data!B$3:B$16128,SMALL(IF(data!$D$3:$D$16128='Надежда'!$B$1,ROW(data!$A$3:$A$16128)-ROW($A$3)+1),ROWS(C$4:C12))),"")</f>
        <v>-1533.88</v>
      </c>
      <c r="D12" s="7" t="str">
        <f t="array" ref="D12">IF(ROWS(D$4:D12)&lt;=$B$2,INDEX(data!E$3:E$16128,SMALL(IF(data!$D$3:$D$16128='Надежда'!$B$1,ROW(data!$A$3:$A$16128)-ROW($A$3)+1),ROWS(D$4:D12))),"")</f>
        <v/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IF(ROWS(A$4:A13)&lt;=$B$2,INDEX(data!C$3:C$16128,SMALL(IF(data!$D$3:$D$16128='Надежда'!$B$1,ROW(data!$A$3:$A$16128)-ROW($A$3)+1),ROWS(A$4:A13))),"")</f>
        <v>46029</v>
      </c>
      <c r="B13" s="19" t="str">
        <f t="array" ref="B13">IF(ROWS(B$4:B13)&lt;=$B$2,INDEX(data!A$3:A$16128,SMALL(IF(data!$D$3:$D$16128='Надежда'!$B$1,ROW(data!$A$3:$A$16128)-ROW($A$3)+1),ROWS(B$4:B13))),"")</f>
        <v>КАСОВА КНИГА</v>
      </c>
      <c r="C13" s="19">
        <f t="array" ref="C13">IF(ROWS(C$4:C13)&lt;=$B$2,INDEX(data!B$3:B$16128,SMALL(IF(data!$D$3:$D$16128='Надежда'!$B$1,ROW(data!$A$3:$A$16128)-ROW($A$3)+1),ROWS(C$4:C13))),"")</f>
        <v>-1533.88</v>
      </c>
      <c r="D13" s="7" t="str">
        <f t="array" ref="D13">IF(ROWS(D$4:D13)&lt;=$B$2,INDEX(data!E$3:E$16128,SMALL(IF(data!$D$3:$D$16128='Надежда'!$B$1,ROW(data!$A$3:$A$16128)-ROW($A$3)+1),ROWS(D$4:D13))),"")</f>
        <v/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IF(ROWS(A$4:A14)&lt;=$B$2,INDEX(data!C$3:C$16128,SMALL(IF(data!$D$3:$D$16128='Надежда'!$B$1,ROW(data!$A$3:$A$16128)-ROW($A$3)+1),ROWS(A$4:A14))),"")</f>
        <v>46030</v>
      </c>
      <c r="B14" s="19" t="str">
        <f t="array" ref="B14">IF(ROWS(B$4:B14)&lt;=$B$2,INDEX(data!A$3:A$16128,SMALL(IF(data!$D$3:$D$16128='Надежда'!$B$1,ROW(data!$A$3:$A$16128)-ROW($A$3)+1),ROWS(B$4:B14))),"")</f>
        <v>каса ФИКТИВНА</v>
      </c>
      <c r="C14" s="19">
        <f t="array" ref="C14">IF(ROWS(C$4:C14)&lt;=$B$2,INDEX(data!B$3:B$16128,SMALL(IF(data!$D$3:$D$16128='Надежда'!$B$1,ROW(data!$A$3:$A$16128)-ROW($A$3)+1),ROWS(C$4:C14))),"")</f>
        <v>-27.1</v>
      </c>
      <c r="D14" s="7" t="str">
        <f t="array" ref="D14">IF(ROWS(D$4:D14)&lt;=$B$2,INDEX(data!E$3:E$16128,SMALL(IF(data!$D$3:$D$16128='Надежда'!$B$1,ROW(data!$A$3:$A$16128)-ROW($A$3)+1),ROWS(D$4:D14))),"")</f>
        <v>колет Милена</v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IF(ROWS(A$4:A15)&lt;=$B$2,INDEX(data!C$3:C$16128,SMALL(IF(data!$D$3:$D$16128='Надежда'!$B$1,ROW(data!$A$3:$A$16128)-ROW($A$3)+1),ROWS(A$4:A15))),"")</f>
        <v>46031</v>
      </c>
      <c r="B15" s="19" t="str">
        <f t="array" ref="B15">IF(ROWS(B$4:B15)&lt;=$B$2,INDEX(data!A$3:A$16128,SMALL(IF(data!$D$3:$D$16128='Надежда'!$B$1,ROW(data!$A$3:$A$16128)-ROW($A$3)+1),ROWS(B$4:B15))),"")</f>
        <v>КАСОВА КНИГА</v>
      </c>
      <c r="C15" s="19">
        <f t="array" ref="C15">IF(ROWS(C$4:C15)&lt;=$B$2,INDEX(data!B$3:B$16128,SMALL(IF(data!$D$3:$D$16128='Надежда'!$B$1,ROW(data!$A$3:$A$16128)-ROW($A$3)+1),ROWS(C$4:C15))),"")</f>
        <v>-4000</v>
      </c>
      <c r="D15" s="7" t="str">
        <f t="array" ref="D15">IF(ROWS(D$4:D15)&lt;=$B$2,INDEX(data!E$3:E$16128,SMALL(IF(data!$D$3:$D$16128='Надежда'!$B$1,ROW(data!$A$3:$A$16128)-ROW($A$3)+1),ROWS(D$4:D15))),"")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IF(ROWS(A$4:A16)&lt;=$B$2,INDEX(data!C$3:C$16128,SMALL(IF(data!$D$3:$D$16128='Надежда'!$B$1,ROW(data!$A$3:$A$16128)-ROW($A$3)+1),ROWS(A$4:A16))),"")</f>
        <v>46034</v>
      </c>
      <c r="B16" s="19" t="str">
        <f t="array" ref="B16">IF(ROWS(B$4:B16)&lt;=$B$2,INDEX(data!A$3:A$16128,SMALL(IF(data!$D$3:$D$16128='Надежда'!$B$1,ROW(data!$A$3:$A$16128)-ROW($A$3)+1),ROWS(B$4:B16))),"")</f>
        <v>КАСОВА КНИГА</v>
      </c>
      <c r="C16" s="19">
        <f t="array" ref="C16">IF(ROWS(C$4:C16)&lt;=$B$2,INDEX(data!B$3:B$16128,SMALL(IF(data!$D$3:$D$16128='Надежда'!$B$1,ROW(data!$A$3:$A$16128)-ROW($A$3)+1),ROWS(C$4:C16))),"")</f>
        <v>-2045.17</v>
      </c>
      <c r="D16" s="7" t="str">
        <f t="array" ref="D16">IF(ROWS(D$4:D16)&lt;=$B$2,INDEX(data!E$3:E$16128,SMALL(IF(data!$D$3:$D$16128='Надежда'!$B$1,ROW(data!$A$3:$A$16128)-ROW($A$3)+1),ROWS(D$4:D16))),"")</f>
        <v/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IF(ROWS(A$4:A17)&lt;=$B$2,INDEX(data!C$3:C$16128,SMALL(IF(data!$D$3:$D$16128='Надежда'!$B$1,ROW(data!$A$3:$A$16128)-ROW($A$3)+1),ROWS(A$4:A17))),"")</f>
        <v>46034</v>
      </c>
      <c r="B17" s="19" t="str">
        <f t="array" ref="B17">IF(ROWS(B$4:B17)&lt;=$B$2,INDEX(data!A$3:A$16128,SMALL(IF(data!$D$3:$D$16128='Надежда'!$B$1,ROW(data!$A$3:$A$16128)-ROW($A$3)+1),ROWS(B$4:B17))),"")</f>
        <v>КАСОВА КНИГА</v>
      </c>
      <c r="C17" s="19">
        <f t="array" ref="C17">IF(ROWS(C$4:C17)&lt;=$B$2,INDEX(data!B$3:B$16128,SMALL(IF(data!$D$3:$D$16128='Надежда'!$B$1,ROW(data!$A$3:$A$16128)-ROW($A$3)+1),ROWS(C$4:C17))),"")</f>
        <v>-555</v>
      </c>
      <c r="D17" s="7" t="str">
        <f t="array" ref="D17">IF(ROWS(D$4:D17)&lt;=$B$2,INDEX(data!E$3:E$16128,SMALL(IF(data!$D$3:$D$16128='Надежда'!$B$1,ROW(data!$A$3:$A$16128)-ROW($A$3)+1),ROWS(D$4:D17))),"")</f>
        <v/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IF(ROWS(A$4:A18)&lt;=$B$2,INDEX(data!C$3:C$16128,SMALL(IF(data!$D$3:$D$16128='Надежда'!$B$1,ROW(data!$A$3:$A$16128)-ROW($A$3)+1),ROWS(A$4:A18))),"")</f>
        <v>46035</v>
      </c>
      <c r="B18" s="19" t="str">
        <f t="array" ref="B18">IF(ROWS(B$4:B18)&lt;=$B$2,INDEX(data!A$3:A$16128,SMALL(IF(data!$D$3:$D$16128='Надежда'!$B$1,ROW(data!$A$3:$A$16128)-ROW($A$3)+1),ROWS(B$4:B18))),"")</f>
        <v>MYPOS Бакалия</v>
      </c>
      <c r="C18" s="19">
        <f t="array" ref="C18">IF(ROWS(C$4:C18)&lt;=$B$2,INDEX(data!B$3:B$16128,SMALL(IF(data!$D$3:$D$16128='Надежда'!$B$1,ROW(data!$A$3:$A$16128)-ROW($A$3)+1),ROWS(C$4:C18))),"")</f>
        <v>-4859.05</v>
      </c>
      <c r="D18" s="7" t="str">
        <f t="array" ref="D18">IF(ROWS(D$4:D18)&lt;=$B$2,INDEX(data!E$3:E$16128,SMALL(IF(data!$D$3:$D$16128='Надежда'!$B$1,ROW(data!$A$3:$A$16128)-ROW($A$3)+1),ROWS(D$4:D18))),"")</f>
        <v/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IF(ROWS(A$4:A19)&lt;=$B$2,INDEX(data!C$3:C$16128,SMALL(IF(data!$D$3:$D$16128='Надежда'!$B$1,ROW(data!$A$3:$A$16128)-ROW($A$3)+1),ROWS(A$4:A19))),"")</f>
        <v>46035</v>
      </c>
      <c r="B19" s="19" t="str">
        <f t="array" ref="B19">IF(ROWS(B$4:B19)&lt;=$B$2,INDEX(data!A$3:A$16128,SMALL(IF(data!$D$3:$D$16128='Надежда'!$B$1,ROW(data!$A$3:$A$16128)-ROW($A$3)+1),ROWS(B$4:B19))),"")</f>
        <v>каса ФИКТИВНА</v>
      </c>
      <c r="C19" s="19">
        <f t="array" ref="C19">IF(ROWS(C$4:C19)&lt;=$B$2,INDEX(data!B$3:B$16128,SMALL(IF(data!$D$3:$D$16128='Надежда'!$B$1,ROW(data!$A$3:$A$16128)-ROW($A$3)+1),ROWS(C$4:C19))),"")</f>
        <v>-52.9</v>
      </c>
      <c r="D19" s="7" t="str">
        <f t="array" ref="D19">IF(ROWS(D$4:D19)&lt;=$B$2,INDEX(data!E$3:E$16128,SMALL(IF(data!$D$3:$D$16128='Надежда'!$B$1,ROW(data!$A$3:$A$16128)-ROW($A$3)+1),ROWS(D$4:D19))),"")</f>
        <v>колет Милена</v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IF(ROWS(A$4:A20)&lt;=$B$2,INDEX(data!C$3:C$16128,SMALL(IF(data!$D$3:$D$16128='Надежда'!$B$1,ROW(data!$A$3:$A$16128)-ROW($A$3)+1),ROWS(A$4:A20))),"")</f>
        <v>46036</v>
      </c>
      <c r="B20" s="19" t="str">
        <f t="array" ref="B20">IF(ROWS(B$4:B20)&lt;=$B$2,INDEX(data!A$3:A$16128,SMALL(IF(data!$D$3:$D$16128='Надежда'!$B$1,ROW(data!$A$3:$A$16128)-ROW($A$3)+1),ROWS(B$4:B20))),"")</f>
        <v>КАСОВА КНИГА</v>
      </c>
      <c r="C20" s="19">
        <f t="array" ref="C20">IF(ROWS(C$4:C20)&lt;=$B$2,INDEX(data!B$3:B$16128,SMALL(IF(data!$D$3:$D$16128='Надежда'!$B$1,ROW(data!$A$3:$A$16128)-ROW($A$3)+1),ROWS(C$4:C20))),"")</f>
        <v>-1000</v>
      </c>
      <c r="D20" s="7" t="str">
        <f t="array" ref="D20">IF(ROWS(D$4:D20)&lt;=$B$2,INDEX(data!E$3:E$16128,SMALL(IF(data!$D$3:$D$16128='Надежда'!$B$1,ROW(data!$A$3:$A$16128)-ROW($A$3)+1),ROWS(D$4:D20))),"")</f>
        <v/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IF(ROWS(A$4:A21)&lt;=$B$2,INDEX(data!C$3:C$16128,SMALL(IF(data!$D$3:$D$16128='Надежда'!$B$1,ROW(data!$A$3:$A$16128)-ROW($A$3)+1),ROWS(A$4:A21))),"")</f>
        <v>46036</v>
      </c>
      <c r="B21" s="19" t="str">
        <f t="array" ref="B21">IF(ROWS(B$4:B21)&lt;=$B$2,INDEX(data!A$3:A$16128,SMALL(IF(data!$D$3:$D$16128='Надежда'!$B$1,ROW(data!$A$3:$A$16128)-ROW($A$3)+1),ROWS(B$4:B21))),"")</f>
        <v>ПОС ДСК Бакалия</v>
      </c>
      <c r="C21" s="19">
        <f t="array" ref="C21">IF(ROWS(C$4:C21)&lt;=$B$2,INDEX(data!B$3:B$16128,SMALL(IF(data!$D$3:$D$16128='Надежда'!$B$1,ROW(data!$A$3:$A$16128)-ROW($A$3)+1),ROWS(C$4:C21))),"")</f>
        <v>-51.95</v>
      </c>
      <c r="D21" s="7" t="str">
        <f t="array" ref="D21">IF(ROWS(D$4:D21)&lt;=$B$2,INDEX(data!E$3:E$16128,SMALL(IF(data!$D$3:$D$16128='Надежда'!$B$1,ROW(data!$A$3:$A$16128)-ROW($A$3)+1),ROWS(D$4:D21))),"")</f>
        <v/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IF(ROWS(A$4:A22)&lt;=$B$2,INDEX(data!C$3:C$16128,SMALL(IF(data!$D$3:$D$16128='Надежда'!$B$1,ROW(data!$A$3:$A$16128)-ROW($A$3)+1),ROWS(A$4:A22))),"")</f>
        <v>46037</v>
      </c>
      <c r="B22" s="19" t="str">
        <f t="array" ref="B22">IF(ROWS(B$4:B22)&lt;=$B$2,INDEX(data!A$3:A$16128,SMALL(IF(data!$D$3:$D$16128='Надежда'!$B$1,ROW(data!$A$3:$A$16128)-ROW($A$3)+1),ROWS(B$4:B22))),"")</f>
        <v>каса ФИКТИВНА</v>
      </c>
      <c r="C22" s="19">
        <f t="array" ref="C22">IF(ROWS(C$4:C22)&lt;=$B$2,INDEX(data!B$3:B$16128,SMALL(IF(data!$D$3:$D$16128='Надежда'!$B$1,ROW(data!$A$3:$A$16128)-ROW($A$3)+1),ROWS(C$4:C22))),"")</f>
        <v>-207.32</v>
      </c>
      <c r="D22" s="7" t="str">
        <f t="array" ref="D22">IF(ROWS(D$4:D22)&lt;=$B$2,INDEX(data!E$3:E$16128,SMALL(IF(data!$D$3:$D$16128='Надежда'!$B$1,ROW(data!$A$3:$A$16128)-ROW($A$3)+1),ROWS(D$4:D22))),"")</f>
        <v>колет Милена</v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IF(ROWS(A$4:A23)&lt;=$B$2,INDEX(data!C$3:C$16128,SMALL(IF(data!$D$3:$D$16128='Надежда'!$B$1,ROW(data!$A$3:$A$16128)-ROW($A$3)+1),ROWS(A$4:A23))),"")</f>
        <v>46038</v>
      </c>
      <c r="B23" s="19" t="str">
        <f t="array" ref="B23">IF(ROWS(B$4:B23)&lt;=$B$2,INDEX(data!A$3:A$16128,SMALL(IF(data!$D$3:$D$16128='Надежда'!$B$1,ROW(data!$A$3:$A$16128)-ROW($A$3)+1),ROWS(B$4:B23))),"")</f>
        <v>КАСОВА КНИГА</v>
      </c>
      <c r="C23" s="19">
        <f t="array" ref="C23">IF(ROWS(C$4:C23)&lt;=$B$2,INDEX(data!B$3:B$16128,SMALL(IF(data!$D$3:$D$16128='Надежда'!$B$1,ROW(data!$A$3:$A$16128)-ROW($A$3)+1),ROWS(C$4:C23))),"")</f>
        <v>-500</v>
      </c>
      <c r="D23" s="7" t="str">
        <f t="array" ref="D23">IF(ROWS(D$4:D23)&lt;=$B$2,INDEX(data!E$3:E$16128,SMALL(IF(data!$D$3:$D$16128='Надежда'!$B$1,ROW(data!$A$3:$A$16128)-ROW($A$3)+1),ROWS(D$4:D23))),"")</f>
        <v/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IF(ROWS(A$4:A24)&lt;=$B$2,INDEX(data!C$3:C$16128,SMALL(IF(data!$D$3:$D$16128='Надежда'!$B$1,ROW(data!$A$3:$A$16128)-ROW($A$3)+1),ROWS(A$4:A24))),"")</f>
        <v>46038</v>
      </c>
      <c r="B24" s="19" t="str">
        <f t="array" ref="B24">IF(ROWS(B$4:B24)&lt;=$B$2,INDEX(data!A$3:A$16128,SMALL(IF(data!$D$3:$D$16128='Надежда'!$B$1,ROW(data!$A$3:$A$16128)-ROW($A$3)+1),ROWS(B$4:B24))),"")</f>
        <v>Каса ВАУЧЕРИ</v>
      </c>
      <c r="C24" s="19">
        <f t="array" ref="C24">IF(ROWS(C$4:C24)&lt;=$B$2,INDEX(data!B$3:B$16128,SMALL(IF(data!$D$3:$D$16128='Надежда'!$B$1,ROW(data!$A$3:$A$16128)-ROW($A$3)+1),ROWS(C$4:C24))),"")</f>
        <v>-2.56</v>
      </c>
      <c r="D24" s="7" t="str">
        <f t="array" ref="D24">IF(ROWS(D$4:D24)&lt;=$B$2,INDEX(data!E$3:E$16128,SMALL(IF(data!$D$3:$D$16128='Надежда'!$B$1,ROW(data!$A$3:$A$16128)-ROW($A$3)+1),ROWS(D$4:D24))),"")</f>
        <v/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IF(ROWS(A$4:A25)&lt;=$B$2,INDEX(data!C$3:C$16128,SMALL(IF(data!$D$3:$D$16128='Надежда'!$B$1,ROW(data!$A$3:$A$16128)-ROW($A$3)+1),ROWS(A$4:A25))),"")</f>
        <v>46041</v>
      </c>
      <c r="B25" s="19" t="str">
        <f t="array" ref="B25">IF(ROWS(B$4:B25)&lt;=$B$2,INDEX(data!A$3:A$16128,SMALL(IF(data!$D$3:$D$16128='Надежда'!$B$1,ROW(data!$A$3:$A$16128)-ROW($A$3)+1),ROWS(B$4:B25))),"")</f>
        <v>MYPOS Бакалия</v>
      </c>
      <c r="C25" s="19">
        <f t="array" ref="C25">IF(ROWS(C$4:C25)&lt;=$B$2,INDEX(data!B$3:B$16128,SMALL(IF(data!$D$3:$D$16128='Надежда'!$B$1,ROW(data!$A$3:$A$16128)-ROW($A$3)+1),ROWS(C$4:C25))),"")</f>
        <v>-5846.82</v>
      </c>
      <c r="D25" s="7" t="str">
        <f t="array" ref="D25">IF(ROWS(D$4:D25)&lt;=$B$2,INDEX(data!E$3:E$16128,SMALL(IF(data!$D$3:$D$16128='Надежда'!$B$1,ROW(data!$A$3:$A$16128)-ROW($A$3)+1),ROWS(D$4:D25))),"")</f>
        <v/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IF(ROWS(A$4:A26)&lt;=$B$2,INDEX(data!C$3:C$16128,SMALL(IF(data!$D$3:$D$16128='Надежда'!$B$1,ROW(data!$A$3:$A$16128)-ROW($A$3)+1),ROWS(A$4:A26))),"")</f>
        <v>46041</v>
      </c>
      <c r="B26" s="19" t="str">
        <f t="array" ref="B26">IF(ROWS(B$4:B26)&lt;=$B$2,INDEX(data!A$3:A$16128,SMALL(IF(data!$D$3:$D$16128='Надежда'!$B$1,ROW(data!$A$3:$A$16128)-ROW($A$3)+1),ROWS(B$4:B26))),"")</f>
        <v>каса ФИКТИВНА</v>
      </c>
      <c r="C26" s="19">
        <f t="array" ref="C26">IF(ROWS(C$4:C26)&lt;=$B$2,INDEX(data!B$3:B$16128,SMALL(IF(data!$D$3:$D$16128='Надежда'!$B$1,ROW(data!$A$3:$A$16128)-ROW($A$3)+1),ROWS(C$4:C26))),"")</f>
        <v>-26</v>
      </c>
      <c r="D26" s="7" t="str">
        <f t="array" ref="D26">IF(ROWS(D$4:D26)&lt;=$B$2,INDEX(data!E$3:E$16128,SMALL(IF(data!$D$3:$D$16128='Надежда'!$B$1,ROW(data!$A$3:$A$16128)-ROW($A$3)+1),ROWS(D$4:D26))),"")</f>
        <v>колет Тихомир</v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IF(ROWS(A$4:A27)&lt;=$B$2,INDEX(data!C$3:C$16128,SMALL(IF(data!$D$3:$D$16128='Надежда'!$B$1,ROW(data!$A$3:$A$16128)-ROW($A$3)+1),ROWS(A$4:A27))),"")</f>
        <v>46043</v>
      </c>
      <c r="B27" s="19" t="str">
        <f t="array" ref="B27">IF(ROWS(B$4:B27)&lt;=$B$2,INDEX(data!A$3:A$16128,SMALL(IF(data!$D$3:$D$16128='Надежда'!$B$1,ROW(data!$A$3:$A$16128)-ROW($A$3)+1),ROWS(B$4:B27))),"")</f>
        <v>КАСОВА КНИГА</v>
      </c>
      <c r="C27" s="19">
        <f t="array" ref="C27">IF(ROWS(C$4:C27)&lt;=$B$2,INDEX(data!B$3:B$16128,SMALL(IF(data!$D$3:$D$16128='Надежда'!$B$1,ROW(data!$A$3:$A$16128)-ROW($A$3)+1),ROWS(C$4:C27))),"")</f>
        <v>-1000</v>
      </c>
      <c r="D27" s="7" t="str">
        <f t="array" ref="D27">IF(ROWS(D$4:D27)&lt;=$B$2,INDEX(data!E$3:E$16128,SMALL(IF(data!$D$3:$D$16128='Надежда'!$B$1,ROW(data!$A$3:$A$16128)-ROW($A$3)+1),ROWS(D$4:D27))),"")</f>
        <v/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IF(ROWS(A$4:A28)&lt;=$B$2,INDEX(data!C$3:C$16128,SMALL(IF(data!$D$3:$D$16128='Надежда'!$B$1,ROW(data!$A$3:$A$16128)-ROW($A$3)+1),ROWS(A$4:A28))),"")</f>
        <v>46043</v>
      </c>
      <c r="B28" s="19" t="str">
        <f t="array" ref="B28">IF(ROWS(B$4:B28)&lt;=$B$2,INDEX(data!A$3:A$16128,SMALL(IF(data!$D$3:$D$16128='Надежда'!$B$1,ROW(data!$A$3:$A$16128)-ROW($A$3)+1),ROWS(B$4:B28))),"")</f>
        <v>Каса ВАУЧЕРИ</v>
      </c>
      <c r="C28" s="19">
        <f t="array" ref="C28">IF(ROWS(C$4:C28)&lt;=$B$2,INDEX(data!B$3:B$16128,SMALL(IF(data!$D$3:$D$16128='Надежда'!$B$1,ROW(data!$A$3:$A$16128)-ROW($A$3)+1),ROWS(C$4:C28))),"")</f>
        <v>920.33</v>
      </c>
      <c r="D28" s="7" t="str">
        <f t="array" ref="D28">IF(ROWS(D$4:D28)&lt;=$B$2,INDEX(data!E$3:E$16128,SMALL(IF(data!$D$3:$D$16128='Надежда'!$B$1,ROW(data!$A$3:$A$16128)-ROW($A$3)+1),ROWS(D$4:D28))),"")</f>
        <v>ваучери персонал</v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IF(ROWS(A$4:A29)&lt;=$B$2,INDEX(data!C$3:C$16128,SMALL(IF(data!$D$3:$D$16128='Надежда'!$B$1,ROW(data!$A$3:$A$16128)-ROW($A$3)+1),ROWS(A$4:A29))),"")</f>
        <v>46043</v>
      </c>
      <c r="B29" s="19" t="str">
        <f t="array" ref="B29">IF(ROWS(B$4:B29)&lt;=$B$2,INDEX(data!A$3:A$16128,SMALL(IF(data!$D$3:$D$16128='Надежда'!$B$1,ROW(data!$A$3:$A$16128)-ROW($A$3)+1),ROWS(B$4:B29))),"")</f>
        <v>каса ФИКТИВНА</v>
      </c>
      <c r="C29" s="19">
        <f t="array" ref="C29">IF(ROWS(C$4:C29)&lt;=$B$2,INDEX(data!B$3:B$16128,SMALL(IF(data!$D$3:$D$16128='Надежда'!$B$1,ROW(data!$A$3:$A$16128)-ROW($A$3)+1),ROWS(C$4:C29))),"")</f>
        <v>-102.26</v>
      </c>
      <c r="D29" s="7" t="str">
        <f t="array" ref="D29">IF(ROWS(D$4:D29)&lt;=$B$2,INDEX(data!E$3:E$16128,SMALL(IF(data!$D$3:$D$16128='Надежда'!$B$1,ROW(data!$A$3:$A$16128)-ROW($A$3)+1),ROWS(D$4:D29))),"")</f>
        <v>Сашо пилето</v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IF(ROWS(A$4:A30)&lt;=$B$2,INDEX(data!C$3:C$16128,SMALL(IF(data!$D$3:$D$16128='Надежда'!$B$1,ROW(data!$A$3:$A$16128)-ROW($A$3)+1),ROWS(A$4:A30))),"")</f>
        <v>46042</v>
      </c>
      <c r="B30" s="19" t="str">
        <f t="array" ref="B30">IF(ROWS(B$4:B30)&lt;=$B$2,INDEX(data!A$3:A$16128,SMALL(IF(data!$D$3:$D$16128='Надежда'!$B$1,ROW(data!$A$3:$A$16128)-ROW($A$3)+1),ROWS(B$4:B30))),"")</f>
        <v>Банка ПИБ Бакалия</v>
      </c>
      <c r="C30" s="19">
        <f t="array" ref="C30">IF(ROWS(C$4:C30)&lt;=$B$2,INDEX(data!B$3:B$16128,SMALL(IF(data!$D$3:$D$16128='Надежда'!$B$1,ROW(data!$A$3:$A$16128)-ROW($A$3)+1),ROWS(C$4:C30))),"")</f>
        <v>-2000</v>
      </c>
      <c r="D30" s="7" t="str">
        <f t="array" ref="D30">IF(ROWS(D$4:D30)&lt;=$B$2,INDEX(data!E$3:E$16128,SMALL(IF(data!$D$3:$D$16128='Надежда'!$B$1,ROW(data!$A$3:$A$16128)-ROW($A$3)+1),ROWS(D$4:D30))),"")</f>
        <v>банка от 19.01</v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IF(ROWS(A$4:A31)&lt;=$B$2,INDEX(data!C$3:C$16128,SMALL(IF(data!$D$3:$D$16128='Надежда'!$B$1,ROW(data!$A$3:$A$16128)-ROW($A$3)+1),ROWS(A$4:A31))),"")</f>
        <v>46045</v>
      </c>
      <c r="B31" s="19" t="str">
        <f t="array" ref="B31">IF(ROWS(B$4:B31)&lt;=$B$2,INDEX(data!A$3:A$16128,SMALL(IF(data!$D$3:$D$16128='Надежда'!$B$1,ROW(data!$A$3:$A$16128)-ROW($A$3)+1),ROWS(B$4:B31))),"")</f>
        <v>каса ФИКТИВНА</v>
      </c>
      <c r="C31" s="19">
        <f t="array" ref="C31">IF(ROWS(C$4:C31)&lt;=$B$2,INDEX(data!B$3:B$16128,SMALL(IF(data!$D$3:$D$16128='Надежда'!$B$1,ROW(data!$A$3:$A$16128)-ROW($A$3)+1),ROWS(C$4:C31))),"")</f>
        <v>-128.05</v>
      </c>
      <c r="D31" s="7" t="str">
        <f t="array" ref="D31">IF(ROWS(D$4:D31)&lt;=$B$2,INDEX(data!E$3:E$16128,SMALL(IF(data!$D$3:$D$16128='Надежда'!$B$1,ROW(data!$A$3:$A$16128)-ROW($A$3)+1),ROWS(D$4:D31))),"")</f>
        <v>колет Милена</v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IF(ROWS(A$4:A32)&lt;=$B$2,INDEX(data!C$3:C$16128,SMALL(IF(data!$D$3:$D$16128='Надежда'!$B$1,ROW(data!$A$3:$A$16128)-ROW($A$3)+1),ROWS(A$4:A32))),"")</f>
        <v>46045</v>
      </c>
      <c r="B32" s="19" t="str">
        <f t="array" ref="B32">IF(ROWS(B$4:B32)&lt;=$B$2,INDEX(data!A$3:A$16128,SMALL(IF(data!$D$3:$D$16128='Надежда'!$B$1,ROW(data!$A$3:$A$16128)-ROW($A$3)+1),ROWS(B$4:B32))),"")</f>
        <v>КАСОВА КНИГА</v>
      </c>
      <c r="C32" s="19">
        <f t="array" ref="C32">IF(ROWS(C$4:C32)&lt;=$B$2,INDEX(data!B$3:B$16128,SMALL(IF(data!$D$3:$D$16128='Надежда'!$B$1,ROW(data!$A$3:$A$16128)-ROW($A$3)+1),ROWS(C$4:C32))),"")</f>
        <v>-1000</v>
      </c>
      <c r="D32" s="7" t="str">
        <f t="array" ref="D32">IF(ROWS(D$4:D32)&lt;=$B$2,INDEX(data!E$3:E$16128,SMALL(IF(data!$D$3:$D$16128='Надежда'!$B$1,ROW(data!$A$3:$A$16128)-ROW($A$3)+1),ROWS(D$4:D32))),"")</f>
        <v/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IF(ROWS(A$4:A33)&lt;=$B$2,INDEX(data!C$3:C$16128,SMALL(IF(data!$D$3:$D$16128='Надежда'!$B$1,ROW(data!$A$3:$A$16128)-ROW($A$3)+1),ROWS(A$4:A33))),"")</f>
        <v>46045</v>
      </c>
      <c r="B33" s="19" t="str">
        <f t="array" ref="B33">IF(ROWS(B$4:B33)&lt;=$B$2,INDEX(data!A$3:A$16128,SMALL(IF(data!$D$3:$D$16128='Надежда'!$B$1,ROW(data!$A$3:$A$16128)-ROW($A$3)+1),ROWS(B$4:B33))),"")</f>
        <v>каса ФИКТИВНА</v>
      </c>
      <c r="C33" s="19">
        <f t="array" ref="C33">IF(ROWS(C$4:C33)&lt;=$B$2,INDEX(data!B$3:B$16128,SMALL(IF(data!$D$3:$D$16128='Надежда'!$B$1,ROW(data!$A$3:$A$16128)-ROW($A$3)+1),ROWS(C$4:C33))),"")</f>
        <v>-22</v>
      </c>
      <c r="D33" s="7" t="str">
        <f t="array" ref="D33">IF(ROWS(D$4:D33)&lt;=$B$2,INDEX(data!E$3:E$16128,SMALL(IF(data!$D$3:$D$16128='Надежда'!$B$1,ROW(data!$A$3:$A$16128)-ROW($A$3)+1),ROWS(D$4:D33))),"")</f>
        <v>колет Тихомир</v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IF(ROWS(A$4:A34)&lt;=$B$2,INDEX(data!C$3:C$16128,SMALL(IF(data!$D$3:$D$16128='Надежда'!$B$1,ROW(data!$A$3:$A$16128)-ROW($A$3)+1),ROWS(A$4:A34))),"")</f>
        <v>46048</v>
      </c>
      <c r="B34" s="19" t="str">
        <f t="array" ref="B34">IF(ROWS(B$4:B34)&lt;=$B$2,INDEX(data!A$3:A$16128,SMALL(IF(data!$D$3:$D$16128='Надежда'!$B$1,ROW(data!$A$3:$A$16128)-ROW($A$3)+1),ROWS(B$4:B34))),"")</f>
        <v>MYPOS Бакалия</v>
      </c>
      <c r="C34" s="19">
        <f t="array" ref="C34">IF(ROWS(C$4:C34)&lt;=$B$2,INDEX(data!B$3:B$16128,SMALL(IF(data!$D$3:$D$16128='Надежда'!$B$1,ROW(data!$A$3:$A$16128)-ROW($A$3)+1),ROWS(C$4:C34))),"")</f>
        <v>-5840.18</v>
      </c>
      <c r="D34" s="7" t="str">
        <f t="array" ref="D34">IF(ROWS(D$4:D34)&lt;=$B$2,INDEX(data!E$3:E$16128,SMALL(IF(data!$D$3:$D$16128='Надежда'!$B$1,ROW(data!$A$3:$A$16128)-ROW($A$3)+1),ROWS(D$4:D34))),"")</f>
        <v/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IF(ROWS(A$4:A35)&lt;=$B$2,INDEX(data!C$3:C$16128,SMALL(IF(data!$D$3:$D$16128='Надежда'!$B$1,ROW(data!$A$3:$A$16128)-ROW($A$3)+1),ROWS(A$4:A35))),"")</f>
        <v>46048</v>
      </c>
      <c r="B35" s="19" t="str">
        <f t="array" ref="B35">IF(ROWS(B$4:B35)&lt;=$B$2,INDEX(data!A$3:A$16128,SMALL(IF(data!$D$3:$D$16128='Надежда'!$B$1,ROW(data!$A$3:$A$16128)-ROW($A$3)+1),ROWS(B$4:B35))),"")</f>
        <v>КАСОВА КНИГА</v>
      </c>
      <c r="C35" s="19">
        <f t="array" ref="C35">IF(ROWS(C$4:C35)&lt;=$B$2,INDEX(data!B$3:B$16128,SMALL(IF(data!$D$3:$D$16128='Надежда'!$B$1,ROW(data!$A$3:$A$16128)-ROW($A$3)+1),ROWS(C$4:C35))),"")</f>
        <v>-2000</v>
      </c>
      <c r="D35" s="7" t="str">
        <f t="array" ref="D35">IF(ROWS(D$4:D35)&lt;=$B$2,INDEX(data!E$3:E$16128,SMALL(IF(data!$D$3:$D$16128='Надежда'!$B$1,ROW(data!$A$3:$A$16128)-ROW($A$3)+1),ROWS(D$4:D35))),"")</f>
        <v/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IF(ROWS(A$4:A36)&lt;=$B$2,INDEX(data!C$3:C$16128,SMALL(IF(data!$D$3:$D$16128='Надежда'!$B$1,ROW(data!$A$3:$A$16128)-ROW($A$3)+1),ROWS(A$4:A36))),"")</f>
        <v>46050</v>
      </c>
      <c r="B36" s="19" t="str">
        <f t="array" ref="B36">IF(ROWS(B$4:B36)&lt;=$B$2,INDEX(data!A$3:A$16128,SMALL(IF(data!$D$3:$D$16128='Надежда'!$B$1,ROW(data!$A$3:$A$16128)-ROW($A$3)+1),ROWS(B$4:B36))),"")</f>
        <v>КАСОВА КНИГА</v>
      </c>
      <c r="C36" s="19">
        <f t="array" ref="C36">IF(ROWS(C$4:C36)&lt;=$B$2,INDEX(data!B$3:B$16128,SMALL(IF(data!$D$3:$D$16128='Надежда'!$B$1,ROW(data!$A$3:$A$16128)-ROW($A$3)+1),ROWS(C$4:C36))),"")</f>
        <v>-500</v>
      </c>
      <c r="D36" s="7" t="str">
        <f t="array" ref="D36">IF(ROWS(D$4:D36)&lt;=$B$2,INDEX(data!E$3:E$16128,SMALL(IF(data!$D$3:$D$16128='Надежда'!$B$1,ROW(data!$A$3:$A$16128)-ROW($A$3)+1),ROWS(D$4:D36))),"")</f>
        <v/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IF(ROWS(A$4:A37)&lt;=$B$2,INDEX(data!C$3:C$16128,SMALL(IF(data!$D$3:$D$16128='Надежда'!$B$1,ROW(data!$A$3:$A$16128)-ROW($A$3)+1),ROWS(A$4:A37))),"")</f>
        <v>46055</v>
      </c>
      <c r="B37" s="19" t="str">
        <f t="array" ref="B37">IF(ROWS(B$4:B37)&lt;=$B$2,INDEX(data!A$3:A$16128,SMALL(IF(data!$D$3:$D$16128='Надежда'!$B$1,ROW(data!$A$3:$A$16128)-ROW($A$3)+1),ROWS(B$4:B37))),"")</f>
        <v>MYPOS Бакалия</v>
      </c>
      <c r="C37" s="19">
        <f t="array" ref="C37">IF(ROWS(C$4:C37)&lt;=$B$2,INDEX(data!B$3:B$16128,SMALL(IF(data!$D$3:$D$16128='Надежда'!$B$1,ROW(data!$A$3:$A$16128)-ROW($A$3)+1),ROWS(C$4:C37))),"")</f>
        <v>-2040.26</v>
      </c>
      <c r="D37" s="7" t="str">
        <f t="array" ref="D37">IF(ROWS(D$4:D37)&lt;=$B$2,INDEX(data!E$3:E$16128,SMALL(IF(data!$D$3:$D$16128='Надежда'!$B$1,ROW(data!$A$3:$A$16128)-ROW($A$3)+1),ROWS(D$4:D37))),"")</f>
        <v/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IF(ROWS(A$4:A38)&lt;=$B$2,INDEX(data!C$3:C$16128,SMALL(IF(data!$D$3:$D$16128='Надежда'!$B$1,ROW(data!$A$3:$A$16128)-ROW($A$3)+1),ROWS(A$4:A38))),"")</f>
        <v>46057</v>
      </c>
      <c r="B38" s="19" t="str">
        <f t="array" ref="B38">IF(ROWS(B$4:B38)&lt;=$B$2,INDEX(data!A$3:A$16128,SMALL(IF(data!$D$3:$D$16128='Надежда'!$B$1,ROW(data!$A$3:$A$16128)-ROW($A$3)+1),ROWS(B$4:B38))),"")</f>
        <v>КАСОВА КНИГА</v>
      </c>
      <c r="C38" s="19">
        <f t="array" ref="C38">IF(ROWS(C$4:C38)&lt;=$B$2,INDEX(data!B$3:B$16128,SMALL(IF(data!$D$3:$D$16128='Надежда'!$B$1,ROW(data!$A$3:$A$16128)-ROW($A$3)+1),ROWS(C$4:C38))),"")</f>
        <v>-500</v>
      </c>
      <c r="D38" s="7" t="str">
        <f t="array" ref="D38">IF(ROWS(D$4:D38)&lt;=$B$2,INDEX(data!E$3:E$16128,SMALL(IF(data!$D$3:$D$16128='Надежда'!$B$1,ROW(data!$A$3:$A$16128)-ROW($A$3)+1),ROWS(D$4:D38))),"")</f>
        <v/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IF(ROWS(A$4:A39)&lt;=$B$2,INDEX(data!C$3:C$16128,SMALL(IF(data!$D$3:$D$16128='Надежда'!$B$1,ROW(data!$A$3:$A$16128)-ROW($A$3)+1),ROWS(A$4:A39))),"")</f>
        <v>46057</v>
      </c>
      <c r="B39" s="19" t="str">
        <f t="array" ref="B39">IF(ROWS(B$4:B39)&lt;=$B$2,INDEX(data!A$3:A$16128,SMALL(IF(data!$D$3:$D$16128='Надежда'!$B$1,ROW(data!$A$3:$A$16128)-ROW($A$3)+1),ROWS(B$4:B39))),"")</f>
        <v>каса ФИКТИВНА</v>
      </c>
      <c r="C39" s="19">
        <f t="array" ref="C39">IF(ROWS(C$4:C39)&lt;=$B$2,INDEX(data!B$3:B$16128,SMALL(IF(data!$D$3:$D$16128='Надежда'!$B$1,ROW(data!$A$3:$A$16128)-ROW($A$3)+1),ROWS(C$4:C39))),"")</f>
        <v>-71.55</v>
      </c>
      <c r="D39" s="7" t="str">
        <f t="array" ref="D39">IF(ROWS(D$4:D39)&lt;=$B$2,INDEX(data!E$3:E$16128,SMALL(IF(data!$D$3:$D$16128='Надежда'!$B$1,ROW(data!$A$3:$A$16128)-ROW($A$3)+1),ROWS(D$4:D39))),"")</f>
        <v>колет Милена</v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IF(ROWS(A$4:A40)&lt;=$B$2,INDEX(data!C$3:C$16128,SMALL(IF(data!$D$3:$D$16128='Надежда'!$B$1,ROW(data!$A$3:$A$16128)-ROW($A$3)+1),ROWS(A$4:A40))),"")</f>
        <v>46059</v>
      </c>
      <c r="B40" s="19" t="str">
        <f t="array" ref="B40">IF(ROWS(B$4:B40)&lt;=$B$2,INDEX(data!A$3:A$16128,SMALL(IF(data!$D$3:$D$16128='Надежда'!$B$1,ROW(data!$A$3:$A$16128)-ROW($A$3)+1),ROWS(B$4:B40))),"")</f>
        <v>Банка ПИБ Бакалия</v>
      </c>
      <c r="C40" s="19">
        <f t="array" ref="C40">IF(ROWS(C$4:C40)&lt;=$B$2,INDEX(data!B$3:B$16128,SMALL(IF(data!$D$3:$D$16128='Надежда'!$B$1,ROW(data!$A$3:$A$16128)-ROW($A$3)+1),ROWS(C$4:C40))),"")</f>
        <v>-1956.12</v>
      </c>
      <c r="D40" s="7" t="str">
        <f t="array" ref="D40">IF(ROWS(D$4:D40)&lt;=$B$2,INDEX(data!E$3:E$16128,SMALL(IF(data!$D$3:$D$16128='Надежда'!$B$1,ROW(data!$A$3:$A$16128)-ROW($A$3)+1),ROWS(D$4:D40))),"")</f>
        <v>банка 02.02</v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IF(ROWS(A$4:A41)&lt;=$B$2,INDEX(data!C$3:C$16128,SMALL(IF(data!$D$3:$D$16128='Надежда'!$B$1,ROW(data!$A$3:$A$16128)-ROW($A$3)+1),ROWS(A$4:A41))),"")</f>
        <v>46059</v>
      </c>
      <c r="B41" s="19" t="str">
        <f t="array" ref="B41">IF(ROWS(B$4:B41)&lt;=$B$2,INDEX(data!A$3:A$16128,SMALL(IF(data!$D$3:$D$16128='Надежда'!$B$1,ROW(data!$A$3:$A$16128)-ROW($A$3)+1),ROWS(B$4:B41))),"")</f>
        <v>ПОС ДСК Бакалия</v>
      </c>
      <c r="C41" s="19">
        <f t="array" ref="C41">IF(ROWS(C$4:C41)&lt;=$B$2,INDEX(data!B$3:B$16128,SMALL(IF(data!$D$3:$D$16128='Надежда'!$B$1,ROW(data!$A$3:$A$16128)-ROW($A$3)+1),ROWS(C$4:C41))),"")</f>
        <v>-3081.88</v>
      </c>
      <c r="D41" s="7" t="str">
        <f t="array" ref="D41">IF(ROWS(D$4:D41)&lt;=$B$2,INDEX(data!E$3:E$16128,SMALL(IF(data!$D$3:$D$16128='Надежда'!$B$1,ROW(data!$A$3:$A$16128)-ROW($A$3)+1),ROWS(D$4:D41))),"")</f>
        <v/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IF(ROWS(A$4:A42)&lt;=$B$2,INDEX(data!C$3:C$16128,SMALL(IF(data!$D$3:$D$16128='Надежда'!$B$1,ROW(data!$A$3:$A$16128)-ROW($A$3)+1),ROWS(A$4:A42))),"")</f>
        <v>46059</v>
      </c>
      <c r="B42" s="19" t="str">
        <f t="array" ref="B42">IF(ROWS(B$4:B42)&lt;=$B$2,INDEX(data!A$3:A$16128,SMALL(IF(data!$D$3:$D$16128='Надежда'!$B$1,ROW(data!$A$3:$A$16128)-ROW($A$3)+1),ROWS(B$4:B42))),"")</f>
        <v>каса ФИКТИВНА</v>
      </c>
      <c r="C42" s="19">
        <f t="array" ref="C42">IF(ROWS(C$4:C42)&lt;=$B$2,INDEX(data!B$3:B$16128,SMALL(IF(data!$D$3:$D$16128='Надежда'!$B$1,ROW(data!$A$3:$A$16128)-ROW($A$3)+1),ROWS(C$4:C42))),"")</f>
        <v>-166</v>
      </c>
      <c r="D42" s="7" t="str">
        <f t="array" ref="D42">IF(ROWS(D$4:D42)&lt;=$B$2,INDEX(data!E$3:E$16128,SMALL(IF(data!$D$3:$D$16128='Надежда'!$B$1,ROW(data!$A$3:$A$16128)-ROW($A$3)+1),ROWS(D$4:D42))),"")</f>
        <v>колет Милена</v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IF(ROWS(A$4:A43)&lt;=$B$2,INDEX(data!C$3:C$16128,SMALL(IF(data!$D$3:$D$16128='Надежда'!$B$1,ROW(data!$A$3:$A$16128)-ROW($A$3)+1),ROWS(A$4:A43))),"")</f>
        <v>46062</v>
      </c>
      <c r="B43" s="19" t="str">
        <f t="array" ref="B43">IF(ROWS(B$4:B43)&lt;=$B$2,INDEX(data!A$3:A$16128,SMALL(IF(data!$D$3:$D$16128='Надежда'!$B$1,ROW(data!$A$3:$A$16128)-ROW($A$3)+1),ROWS(B$4:B43))),"")</f>
        <v>MYPOS Бакалия</v>
      </c>
      <c r="C43" s="19">
        <f t="array" ref="C43">IF(ROWS(C$4:C43)&lt;=$B$2,INDEX(data!B$3:B$16128,SMALL(IF(data!$D$3:$D$16128='Надежда'!$B$1,ROW(data!$A$3:$A$16128)-ROW($A$3)+1),ROWS(C$4:C43))),"")</f>
        <v>-1934.85</v>
      </c>
      <c r="D43" s="7" t="str">
        <f t="array" ref="D43">IF(ROWS(D$4:D43)&lt;=$B$2,INDEX(data!E$3:E$16128,SMALL(IF(data!$D$3:$D$16128='Надежда'!$B$1,ROW(data!$A$3:$A$16128)-ROW($A$3)+1),ROWS(D$4:D43))),"")</f>
        <v/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IF(ROWS(A$4:A44)&lt;=$B$2,INDEX(data!C$3:C$16128,SMALL(IF(data!$D$3:$D$16128='Надежда'!$B$1,ROW(data!$A$3:$A$16128)-ROW($A$3)+1),ROWS(A$4:A44))),"")</f>
        <v>46062</v>
      </c>
      <c r="B44" s="19" t="str">
        <f t="array" ref="B44">IF(ROWS(B$4:B44)&lt;=$B$2,INDEX(data!A$3:A$16128,SMALL(IF(data!$D$3:$D$16128='Надежда'!$B$1,ROW(data!$A$3:$A$16128)-ROW($A$3)+1),ROWS(B$4:B44))),"")</f>
        <v>Банка ПИБ Бакалия</v>
      </c>
      <c r="C44" s="19">
        <f t="array" ref="C44">IF(ROWS(C$4:C44)&lt;=$B$2,INDEX(data!B$3:B$16128,SMALL(IF(data!$D$3:$D$16128='Надежда'!$B$1,ROW(data!$A$3:$A$16128)-ROW($A$3)+1),ROWS(C$4:C44))),"")</f>
        <v>-1500</v>
      </c>
      <c r="D44" s="7" t="str">
        <f t="array" ref="D44">IF(ROWS(D$4:D44)&lt;=$B$2,INDEX(data!E$3:E$16128,SMALL(IF(data!$D$3:$D$16128='Надежда'!$B$1,ROW(data!$A$3:$A$16128)-ROW($A$3)+1),ROWS(D$4:D44))),"")</f>
        <v/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IF(ROWS(A$4:A45)&lt;=$B$2,INDEX(data!C$3:C$16128,SMALL(IF(data!$D$3:$D$16128='Надежда'!$B$1,ROW(data!$A$3:$A$16128)-ROW($A$3)+1),ROWS(A$4:A45))),"")</f>
        <v>46062</v>
      </c>
      <c r="B45" s="19" t="str">
        <f t="array" ref="B45">IF(ROWS(B$4:B45)&lt;=$B$2,INDEX(data!A$3:A$16128,SMALL(IF(data!$D$3:$D$16128='Надежда'!$B$1,ROW(data!$A$3:$A$16128)-ROW($A$3)+1),ROWS(B$4:B45))),"")</f>
        <v>ЗАЕМ</v>
      </c>
      <c r="C45" s="19">
        <f t="array" ref="C45">IF(ROWS(C$4:C45)&lt;=$B$2,INDEX(data!B$3:B$16128,SMALL(IF(data!$D$3:$D$16128='Надежда'!$B$1,ROW(data!$A$3:$A$16128)-ROW($A$3)+1),ROWS(C$4:C45))),"")</f>
        <v>43746.16</v>
      </c>
      <c r="D45" s="7" t="str">
        <f t="array" ref="D45">IF(ROWS(D$4:D45)&lt;=$B$2,INDEX(data!E$3:E$16128,SMALL(IF(data!$D$3:$D$16128='Надежда'!$B$1,ROW(data!$A$3:$A$16128)-ROW($A$3)+1),ROWS(D$4:D45))),"")</f>
        <v>С-до склад + вътр п-не</v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IF(ROWS(A$4:A46)&lt;=$B$2,INDEX(data!C$3:C$16128,SMALL(IF(data!$D$3:$D$16128='Надежда'!$B$1,ROW(data!$A$3:$A$16128)-ROW($A$3)+1),ROWS(A$4:A46))),"")</f>
        <v>46064</v>
      </c>
      <c r="B46" s="19" t="str">
        <f t="array" ref="B46">IF(ROWS(B$4:B46)&lt;=$B$2,INDEX(data!A$3:A$16128,SMALL(IF(data!$D$3:$D$16128='Надежда'!$B$1,ROW(data!$A$3:$A$16128)-ROW($A$3)+1),ROWS(B$4:B46))),"")</f>
        <v>КАСОВА КНИГА</v>
      </c>
      <c r="C46" s="19">
        <f t="array" ref="C46">IF(ROWS(C$4:C46)&lt;=$B$2,INDEX(data!B$3:B$16128,SMALL(IF(data!$D$3:$D$16128='Надежда'!$B$1,ROW(data!$A$3:$A$16128)-ROW($A$3)+1),ROWS(C$4:C46))),"")</f>
        <v>-500</v>
      </c>
      <c r="D46" s="7" t="str">
        <f t="array" ref="D46">IF(ROWS(D$4:D46)&lt;=$B$2,INDEX(data!E$3:E$16128,SMALL(IF(data!$D$3:$D$16128='Надежда'!$B$1,ROW(data!$A$3:$A$16128)-ROW($A$3)+1),ROWS(D$4:D46))),"")</f>
        <v/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IF(ROWS(A$4:A47)&lt;=$B$2,INDEX(data!C$3:C$16128,SMALL(IF(data!$D$3:$D$16128='Надежда'!$B$1,ROW(data!$A$3:$A$16128)-ROW($A$3)+1),ROWS(A$4:A47))),"")</f>
        <v>46065</v>
      </c>
      <c r="B47" s="19" t="str">
        <f t="array" ref="B47">IF(ROWS(B$4:B47)&lt;=$B$2,INDEX(data!A$3:A$16128,SMALL(IF(data!$D$3:$D$16128='Надежда'!$B$1,ROW(data!$A$3:$A$16128)-ROW($A$3)+1),ROWS(B$4:B47))),"")</f>
        <v>ПОС ДСК Бакалия</v>
      </c>
      <c r="C47" s="19">
        <f t="array" ref="C47">IF(ROWS(C$4:C47)&lt;=$B$2,INDEX(data!B$3:B$16128,SMALL(IF(data!$D$3:$D$16128='Надежда'!$B$1,ROW(data!$A$3:$A$16128)-ROW($A$3)+1),ROWS(C$4:C47))),"")</f>
        <v>-4548.42</v>
      </c>
      <c r="D47" s="7" t="str">
        <f t="array" ref="D47">IF(ROWS(D$4:D47)&lt;=$B$2,INDEX(data!E$3:E$16128,SMALL(IF(data!$D$3:$D$16128='Надежда'!$B$1,ROW(data!$A$3:$A$16128)-ROW($A$3)+1),ROWS(D$4:D47))),"")</f>
        <v/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IF(ROWS(A$4:A48)&lt;=$B$2,INDEX(data!C$3:C$16128,SMALL(IF(data!$D$3:$D$16128='Надежда'!$B$1,ROW(data!$A$3:$A$16128)-ROW($A$3)+1),ROWS(A$4:A48))),"")</f>
        <v>46069</v>
      </c>
      <c r="B48" s="19" t="str">
        <f t="array" ref="B48">IF(ROWS(B$4:B48)&lt;=$B$2,INDEX(data!A$3:A$16128,SMALL(IF(data!$D$3:$D$16128='Надежда'!$B$1,ROW(data!$A$3:$A$16128)-ROW($A$3)+1),ROWS(B$4:B48))),"")</f>
        <v>MYPOS Бакалия</v>
      </c>
      <c r="C48" s="19">
        <f t="array" ref="C48">IF(ROWS(C$4:C48)&lt;=$B$2,INDEX(data!B$3:B$16128,SMALL(IF(data!$D$3:$D$16128='Надежда'!$B$1,ROW(data!$A$3:$A$16128)-ROW($A$3)+1),ROWS(C$4:C48))),"")</f>
        <v>-2689.85</v>
      </c>
      <c r="D48" s="7" t="str">
        <f t="array" ref="D48">IF(ROWS(D$4:D48)&lt;=$B$2,INDEX(data!E$3:E$16128,SMALL(IF(data!$D$3:$D$16128='Надежда'!$B$1,ROW(data!$A$3:$A$16128)-ROW($A$3)+1),ROWS(D$4:D48))),"")</f>
        <v/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IF(ROWS(A$4:A49)&lt;=$B$2,INDEX(data!C$3:C$16128,SMALL(IF(data!$D$3:$D$16128='Надежда'!$B$1,ROW(data!$A$3:$A$16128)-ROW($A$3)+1),ROWS(A$4:A49))),"")</f>
        <v>46069</v>
      </c>
      <c r="B49" s="19" t="str">
        <f t="array" ref="B49">IF(ROWS(B$4:B49)&lt;=$B$2,INDEX(data!A$3:A$16128,SMALL(IF(data!$D$3:$D$16128='Надежда'!$B$1,ROW(data!$A$3:$A$16128)-ROW($A$3)+1),ROWS(B$4:B49))),"")</f>
        <v>Банка ПИБ Бакалия</v>
      </c>
      <c r="C49" s="19">
        <f t="array" ref="C49">IF(ROWS(C$4:C49)&lt;=$B$2,INDEX(data!B$3:B$16128,SMALL(IF(data!$D$3:$D$16128='Надежда'!$B$1,ROW(data!$A$3:$A$16128)-ROW($A$3)+1),ROWS(C$4:C49))),"")</f>
        <v>-1500</v>
      </c>
      <c r="D49" s="7" t="str">
        <f t="array" ref="D49">IF(ROWS(D$4:D49)&lt;=$B$2,INDEX(data!E$3:E$16128,SMALL(IF(data!$D$3:$D$16128='Надежда'!$B$1,ROW(data!$A$3:$A$16128)-ROW($A$3)+1),ROWS(D$4:D49))),"")</f>
        <v/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IF(ROWS(A$4:A50)&lt;=$B$2,INDEX(data!C$3:C$16128,SMALL(IF(data!$D$3:$D$16128='Надежда'!$B$1,ROW(data!$A$3:$A$16128)-ROW($A$3)+1),ROWS(A$4:A50))),"")</f>
        <v>46071</v>
      </c>
      <c r="B50" s="19" t="str">
        <f t="array" ref="B50">IF(ROWS(B$4:B50)&lt;=$B$2,INDEX(data!A$3:A$16128,SMALL(IF(data!$D$3:$D$16128='Надежда'!$B$1,ROW(data!$A$3:$A$16128)-ROW($A$3)+1),ROWS(B$4:B50))),"")</f>
        <v>КАСОВА КНИГА</v>
      </c>
      <c r="C50" s="19">
        <f t="array" ref="C50">IF(ROWS(C$4:C50)&lt;=$B$2,INDEX(data!B$3:B$16128,SMALL(IF(data!$D$3:$D$16128='Надежда'!$B$1,ROW(data!$A$3:$A$16128)-ROW($A$3)+1),ROWS(C$4:C50))),"")</f>
        <v>-500</v>
      </c>
      <c r="D50" s="7" t="str">
        <f t="array" ref="D50">IF(ROWS(D$4:D50)&lt;=$B$2,INDEX(data!E$3:E$16128,SMALL(IF(data!$D$3:$D$16128='Надежда'!$B$1,ROW(data!$A$3:$A$16128)-ROW($A$3)+1),ROWS(D$4:D50))),"")</f>
        <v/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IF(ROWS(A$4:A51)&lt;=$B$2,INDEX(data!C$3:C$16128,SMALL(IF(data!$D$3:$D$16128='Надежда'!$B$1,ROW(data!$A$3:$A$16128)-ROW($A$3)+1),ROWS(A$4:A51))),"")</f>
        <v>46072</v>
      </c>
      <c r="B51" s="19" t="str">
        <f t="array" ref="B51">IF(ROWS(B$4:B51)&lt;=$B$2,INDEX(data!A$3:A$16128,SMALL(IF(data!$D$3:$D$16128='Надежда'!$B$1,ROW(data!$A$3:$A$16128)-ROW($A$3)+1),ROWS(B$4:B51))),"")</f>
        <v>каса ФИКТИВНА</v>
      </c>
      <c r="C51" s="19">
        <f t="array" ref="C51">IF(ROWS(C$4:C51)&lt;=$B$2,INDEX(data!B$3:B$16128,SMALL(IF(data!$D$3:$D$16128='Надежда'!$B$1,ROW(data!$A$3:$A$16128)-ROW($A$3)+1),ROWS(C$4:C51))),"")</f>
        <v>-66</v>
      </c>
      <c r="D51" s="7" t="str">
        <f t="array" ref="D51">IF(ROWS(D$4:D51)&lt;=$B$2,INDEX(data!E$3:E$16128,SMALL(IF(data!$D$3:$D$16128='Надежда'!$B$1,ROW(data!$A$3:$A$16128)-ROW($A$3)+1),ROWS(D$4:D51))),"")</f>
        <v>колет Милена</v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IF(ROWS(A$4:A52)&lt;=$B$2,INDEX(data!C$3:C$16128,SMALL(IF(data!$D$3:$D$16128='Надежда'!$B$1,ROW(data!$A$3:$A$16128)-ROW($A$3)+1),ROWS(A$4:A52))),"")</f>
        <v>46072</v>
      </c>
      <c r="B52" s="19" t="str">
        <f t="array" ref="B52">IF(ROWS(B$4:B52)&lt;=$B$2,INDEX(data!A$3:A$16128,SMALL(IF(data!$D$3:$D$16128='Надежда'!$B$1,ROW(data!$A$3:$A$16128)-ROW($A$3)+1),ROWS(B$4:B52))),"")</f>
        <v>каса ФИКТИВНА</v>
      </c>
      <c r="C52" s="19">
        <f t="array" ref="C52">IF(ROWS(C$4:C52)&lt;=$B$2,INDEX(data!B$3:B$16128,SMALL(IF(data!$D$3:$D$16128='Надежда'!$B$1,ROW(data!$A$3:$A$16128)-ROW($A$3)+1),ROWS(C$4:C52))),"")</f>
        <v>-64</v>
      </c>
      <c r="D52" s="7" t="str">
        <f t="array" ref="D52">IF(ROWS(D$4:D52)&lt;=$B$2,INDEX(data!E$3:E$16128,SMALL(IF(data!$D$3:$D$16128='Надежда'!$B$1,ROW(data!$A$3:$A$16128)-ROW($A$3)+1),ROWS(D$4:D52))),"")</f>
        <v>колет Ния</v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IF(ROWS(A$4:A53)&lt;=$B$2,INDEX(data!C$3:C$16128,SMALL(IF(data!$D$3:$D$16128='Надежда'!$B$1,ROW(data!$A$3:$A$16128)-ROW($A$3)+1),ROWS(A$4:A53))),"")</f>
        <v>46073</v>
      </c>
      <c r="B53" s="19" t="str">
        <f t="array" ref="B53">IF(ROWS(B$4:B53)&lt;=$B$2,INDEX(data!A$3:A$16128,SMALL(IF(data!$D$3:$D$16128='Надежда'!$B$1,ROW(data!$A$3:$A$16128)-ROW($A$3)+1),ROWS(B$4:B53))),"")</f>
        <v>Каса ВАУЧЕРИ</v>
      </c>
      <c r="C53" s="19">
        <f t="array" ref="C53">IF(ROWS(C$4:C53)&lt;=$B$2,INDEX(data!B$3:B$16128,SMALL(IF(data!$D$3:$D$16128='Надежда'!$B$1,ROW(data!$A$3:$A$16128)-ROW($A$3)+1),ROWS(C$4:C53))),"")</f>
        <v>800</v>
      </c>
      <c r="D53" s="7" t="str">
        <f t="array" ref="D53">IF(ROWS(D$4:D53)&lt;=$B$2,INDEX(data!E$3:E$16128,SMALL(IF(data!$D$3:$D$16128='Надежда'!$B$1,ROW(data!$A$3:$A$16128)-ROW($A$3)+1),ROWS(D$4:D53))),"")</f>
        <v>ваучери персонал</v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IF(ROWS(A$4:A54)&lt;=$B$2,INDEX(data!C$3:C$16128,SMALL(IF(data!$D$3:$D$16128='Надежда'!$B$1,ROW(data!$A$3:$A$16128)-ROW($A$3)+1),ROWS(A$4:A54))),"")</f>
        <v>46073</v>
      </c>
      <c r="B54" s="19" t="str">
        <f t="array" ref="B54">IF(ROWS(B$4:B54)&lt;=$B$2,INDEX(data!A$3:A$16128,SMALL(IF(data!$D$3:$D$16128='Надежда'!$B$1,ROW(data!$A$3:$A$16128)-ROW($A$3)+1),ROWS(B$4:B54))),"")</f>
        <v>ПОС ДСК Бакалия</v>
      </c>
      <c r="C54" s="19">
        <f t="array" ref="C54">IF(ROWS(C$4:C54)&lt;=$B$2,INDEX(data!B$3:B$16128,SMALL(IF(data!$D$3:$D$16128='Надежда'!$B$1,ROW(data!$A$3:$A$16128)-ROW($A$3)+1),ROWS(C$4:C54))),"")</f>
        <v>-6069.37</v>
      </c>
      <c r="D54" s="7" t="str">
        <f t="array" ref="D54">IF(ROWS(D$4:D54)&lt;=$B$2,INDEX(data!E$3:E$16128,SMALL(IF(data!$D$3:$D$16128='Надежда'!$B$1,ROW(data!$A$3:$A$16128)-ROW($A$3)+1),ROWS(D$4:D54))),"")</f>
        <v/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IF(ROWS(A$4:A55)&lt;=$B$2,INDEX(data!C$3:C$16128,SMALL(IF(data!$D$3:$D$16128='Надежда'!$B$1,ROW(data!$A$3:$A$16128)-ROW($A$3)+1),ROWS(A$4:A55))),"")</f>
        <v>46076</v>
      </c>
      <c r="B55" s="19" t="str">
        <f t="array" ref="B55">IF(ROWS(B$4:B55)&lt;=$B$2,INDEX(data!A$3:A$16128,SMALL(IF(data!$D$3:$D$16128='Надежда'!$B$1,ROW(data!$A$3:$A$16128)-ROW($A$3)+1),ROWS(B$4:B55))),"")</f>
        <v>MYPOS Бакалия</v>
      </c>
      <c r="C55" s="19">
        <f t="array" ref="C55">IF(ROWS(C$4:C55)&lt;=$B$2,INDEX(data!B$3:B$16128,SMALL(IF(data!$D$3:$D$16128='Надежда'!$B$1,ROW(data!$A$3:$A$16128)-ROW($A$3)+1),ROWS(C$4:C55))),"")</f>
        <v>-6744.23</v>
      </c>
      <c r="D55" s="7" t="str">
        <f t="array" ref="D55">IF(ROWS(D$4:D55)&lt;=$B$2,INDEX(data!E$3:E$16128,SMALL(IF(data!$D$3:$D$16128='Надежда'!$B$1,ROW(data!$A$3:$A$16128)-ROW($A$3)+1),ROWS(D$4:D55))),"")</f>
        <v/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IF(ROWS(A$4:A56)&lt;=$B$2,INDEX(data!C$3:C$16128,SMALL(IF(data!$D$3:$D$16128='Надежда'!$B$1,ROW(data!$A$3:$A$16128)-ROW($A$3)+1),ROWS(A$4:A56))),"")</f>
        <v>46076</v>
      </c>
      <c r="B56" s="19" t="str">
        <f t="array" ref="B56">IF(ROWS(B$4:B56)&lt;=$B$2,INDEX(data!A$3:A$16128,SMALL(IF(data!$D$3:$D$16128='Надежда'!$B$1,ROW(data!$A$3:$A$16128)-ROW($A$3)+1),ROWS(B$4:B56))),"")</f>
        <v>КАСОВА КНИГА</v>
      </c>
      <c r="C56" s="19">
        <f t="array" ref="C56">IF(ROWS(C$4:C56)&lt;=$B$2,INDEX(data!B$3:B$16128,SMALL(IF(data!$D$3:$D$16128='Надежда'!$B$1,ROW(data!$A$3:$A$16128)-ROW($A$3)+1),ROWS(C$4:C56))),"")</f>
        <v>-1000</v>
      </c>
      <c r="D56" s="7" t="str">
        <f t="array" ref="D56">IF(ROWS(D$4:D56)&lt;=$B$2,INDEX(data!E$3:E$16128,SMALL(IF(data!$D$3:$D$16128='Надежда'!$B$1,ROW(data!$A$3:$A$16128)-ROW($A$3)+1),ROWS(D$4:D56))),"")</f>
        <v/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IF(ROWS(A$4:A57)&lt;=$B$2,INDEX(data!C$3:C$16128,SMALL(IF(data!$D$3:$D$16128='Надежда'!$B$1,ROW(data!$A$3:$A$16128)-ROW($A$3)+1),ROWS(A$4:A57))),"")</f>
        <v>46076</v>
      </c>
      <c r="B57" s="19" t="str">
        <f t="array" ref="B57">IF(ROWS(B$4:B57)&lt;=$B$2,INDEX(data!A$3:A$16128,SMALL(IF(data!$D$3:$D$16128='Надежда'!$B$1,ROW(data!$A$3:$A$16128)-ROW($A$3)+1),ROWS(B$4:B57))),"")</f>
        <v>ПОС ДСК Бакалия</v>
      </c>
      <c r="C57" s="19">
        <f t="array" ref="C57">IF(ROWS(C$4:C57)&lt;=$B$2,INDEX(data!B$3:B$16128,SMALL(IF(data!$D$3:$D$16128='Надежда'!$B$1,ROW(data!$A$3:$A$16128)-ROW($A$3)+1),ROWS(C$4:C57))),"")</f>
        <v>-173.96</v>
      </c>
      <c r="D57" s="7" t="str">
        <f t="array" ref="D57">IF(ROWS(D$4:D57)&lt;=$B$2,INDEX(data!E$3:E$16128,SMALL(IF(data!$D$3:$D$16128='Надежда'!$B$1,ROW(data!$A$3:$A$16128)-ROW($A$3)+1),ROWS(D$4:D57))),"")</f>
        <v/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IF(ROWS(A$4:A58)&lt;=$B$2,INDEX(data!C$3:C$16128,SMALL(IF(data!$D$3:$D$16128='Надежда'!$B$1,ROW(data!$A$3:$A$16128)-ROW($A$3)+1),ROWS(A$4:A58))),"")</f>
        <v>46077</v>
      </c>
      <c r="B58" s="19" t="str">
        <f t="array" ref="B58">IF(ROWS(B$4:B58)&lt;=$B$2,INDEX(data!A$3:A$16128,SMALL(IF(data!$D$3:$D$16128='Надежда'!$B$1,ROW(data!$A$3:$A$16128)-ROW($A$3)+1),ROWS(B$4:B58))),"")</f>
        <v>каса ФИКТИВНА</v>
      </c>
      <c r="C58" s="19">
        <f t="array" ref="C58">IF(ROWS(C$4:C58)&lt;=$B$2,INDEX(data!B$3:B$16128,SMALL(IF(data!$D$3:$D$16128='Надежда'!$B$1,ROW(data!$A$3:$A$16128)-ROW($A$3)+1),ROWS(C$4:C58))),"")</f>
        <v>-100</v>
      </c>
      <c r="D58" s="7" t="str">
        <f t="array" ref="D58">IF(ROWS(D$4:D58)&lt;=$B$2,INDEX(data!E$3:E$16128,SMALL(IF(data!$D$3:$D$16128='Надежда'!$B$1,ROW(data!$A$3:$A$16128)-ROW($A$3)+1),ROWS(D$4:D58))),"")</f>
        <v>Сашо пилето</v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IF(ROWS(A$4:A59)&lt;=$B$2,INDEX(data!C$3:C$16128,SMALL(IF(data!$D$3:$D$16128='Надежда'!$B$1,ROW(data!$A$3:$A$16128)-ROW($A$3)+1),ROWS(A$4:A59))),"")</f>
        <v>46078</v>
      </c>
      <c r="B59" s="19" t="str">
        <f t="array" ref="B59">IF(ROWS(B$4:B59)&lt;=$B$2,INDEX(data!A$3:A$16128,SMALL(IF(data!$D$3:$D$16128='Надежда'!$B$1,ROW(data!$A$3:$A$16128)-ROW($A$3)+1),ROWS(B$4:B59))),"")</f>
        <v>КАСОВА КНИГА</v>
      </c>
      <c r="C59" s="19">
        <f t="array" ref="C59">IF(ROWS(C$4:C59)&lt;=$B$2,INDEX(data!B$3:B$16128,SMALL(IF(data!$D$3:$D$16128='Надежда'!$B$1,ROW(data!$A$3:$A$16128)-ROW($A$3)+1),ROWS(C$4:C59))),"")</f>
        <v>-500</v>
      </c>
      <c r="D59" s="7" t="str">
        <f t="array" ref="D59">IF(ROWS(D$4:D59)&lt;=$B$2,INDEX(data!E$3:E$16128,SMALL(IF(data!$D$3:$D$16128='Надежда'!$B$1,ROW(data!$A$3:$A$16128)-ROW($A$3)+1),ROWS(D$4:D59))),"")</f>
        <v/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IF(ROWS(A$4:A60)&lt;=$B$2,INDEX(data!C$3:C$16128,SMALL(IF(data!$D$3:$D$16128='Надежда'!$B$1,ROW(data!$A$3:$A$16128)-ROW($A$3)+1),ROWS(A$4:A60))),"")</f>
        <v>46083</v>
      </c>
      <c r="B60" s="19" t="str">
        <f t="array" ref="B60">IF(ROWS(B$4:B60)&lt;=$B$2,INDEX(data!A$3:A$16128,SMALL(IF(data!$D$3:$D$16128='Надежда'!$B$1,ROW(data!$A$3:$A$16128)-ROW($A$3)+1),ROWS(B$4:B60))),"")</f>
        <v>MYPOS Бакалия</v>
      </c>
      <c r="C60" s="19">
        <f t="array" ref="C60">IF(ROWS(C$4:C60)&lt;=$B$2,INDEX(data!B$3:B$16128,SMALL(IF(data!$D$3:$D$16128='Надежда'!$B$1,ROW(data!$A$3:$A$16128)-ROW($A$3)+1),ROWS(C$4:C60))),"")</f>
        <v>-6301.12</v>
      </c>
      <c r="D60" s="7" t="str">
        <f t="array" ref="D60">IF(ROWS(D$4:D60)&lt;=$B$2,INDEX(data!E$3:E$16128,SMALL(IF(data!$D$3:$D$16128='Надежда'!$B$1,ROW(data!$A$3:$A$16128)-ROW($A$3)+1),ROWS(D$4:D60))),"")</f>
        <v/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IF(ROWS(A$4:A61)&lt;=$B$2,INDEX(data!C$3:C$16128,SMALL(IF(data!$D$3:$D$16128='Надежда'!$B$1,ROW(data!$A$3:$A$16128)-ROW($A$3)+1),ROWS(A$4:A61))),"")</f>
        <v>46083</v>
      </c>
      <c r="B61" s="19" t="str">
        <f t="array" ref="B61">IF(ROWS(B$4:B61)&lt;=$B$2,INDEX(data!A$3:A$16128,SMALL(IF(data!$D$3:$D$16128='Надежда'!$B$1,ROW(data!$A$3:$A$16128)-ROW($A$3)+1),ROWS(B$4:B61))),"")</f>
        <v>каса ФИКТИВНА</v>
      </c>
      <c r="C61" s="19">
        <f t="array" ref="C61">IF(ROWS(C$4:C61)&lt;=$B$2,INDEX(data!B$3:B$16128,SMALL(IF(data!$D$3:$D$16128='Надежда'!$B$1,ROW(data!$A$3:$A$16128)-ROW($A$3)+1),ROWS(C$4:C61))),"")</f>
        <v>-38.34</v>
      </c>
      <c r="D61" s="7" t="str">
        <f t="array" ref="D61">IF(ROWS(D$4:D61)&lt;=$B$2,INDEX(data!E$3:E$16128,SMALL(IF(data!$D$3:$D$16128='Надежда'!$B$1,ROW(data!$A$3:$A$16128)-ROW($A$3)+1),ROWS(D$4:D61))),"")</f>
        <v>колет Тихомир</v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IF(ROWS(A$4:A62)&lt;=$B$2,INDEX(data!C$3:C$16128,SMALL(IF(data!$D$3:$D$16128='Надежда'!$B$1,ROW(data!$A$3:$A$16128)-ROW($A$3)+1),ROWS(A$4:A62))),"")</f>
        <v>46084</v>
      </c>
      <c r="B62" s="19" t="str">
        <f t="array" ref="B62">IF(ROWS(B$4:B62)&lt;=$B$2,INDEX(data!A$3:A$16128,SMALL(IF(data!$D$3:$D$16128='Надежда'!$B$1,ROW(data!$A$3:$A$16128)-ROW($A$3)+1),ROWS(B$4:B62))),"")</f>
        <v>Банка ПИБ Бакалия</v>
      </c>
      <c r="C62" s="19">
        <f t="array" ref="C62">IF(ROWS(C$4:C62)&lt;=$B$2,INDEX(data!B$3:B$16128,SMALL(IF(data!$D$3:$D$16128='Надежда'!$B$1,ROW(data!$A$3:$A$16128)-ROW($A$3)+1),ROWS(C$4:C62))),"")</f>
        <v>-1000</v>
      </c>
      <c r="D62" s="7" t="str">
        <f t="array" ref="D62">IF(ROWS(D$4:D62)&lt;=$B$2,INDEX(data!E$3:E$16128,SMALL(IF(data!$D$3:$D$16128='Надежда'!$B$1,ROW(data!$A$3:$A$16128)-ROW($A$3)+1),ROWS(D$4:D62))),"")</f>
        <v/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IF(ROWS(A$4:A63)&lt;=$B$2,INDEX(data!C$3:C$16128,SMALL(IF(data!$D$3:$D$16128='Надежда'!$B$1,ROW(data!$A$3:$A$16128)-ROW($A$3)+1),ROWS(A$4:A63))),"")</f>
        <v>46085</v>
      </c>
      <c r="B63" s="19" t="str">
        <f t="array" ref="B63">IF(ROWS(B$4:B63)&lt;=$B$2,INDEX(data!A$3:A$16128,SMALL(IF(data!$D$3:$D$16128='Надежда'!$B$1,ROW(data!$A$3:$A$16128)-ROW($A$3)+1),ROWS(B$4:B63))),"")</f>
        <v>КАСОВА КНИГА</v>
      </c>
      <c r="C63" s="19">
        <f t="array" ref="C63">IF(ROWS(C$4:C63)&lt;=$B$2,INDEX(data!B$3:B$16128,SMALL(IF(data!$D$3:$D$16128='Надежда'!$B$1,ROW(data!$A$3:$A$16128)-ROW($A$3)+1),ROWS(C$4:C63))),"")</f>
        <v>-500</v>
      </c>
      <c r="D63" s="7" t="str">
        <f t="array" ref="D63">IF(ROWS(D$4:D63)&lt;=$B$2,INDEX(data!E$3:E$16128,SMALL(IF(data!$D$3:$D$16128='Надежда'!$B$1,ROW(data!$A$3:$A$16128)-ROW($A$3)+1),ROWS(D$4:D63))),"")</f>
        <v/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IF(ROWS(A$4:A64)&lt;=$B$2,INDEX(data!C$3:C$16128,SMALL(IF(data!$D$3:$D$16128='Надежда'!$B$1,ROW(data!$A$3:$A$16128)-ROW($A$3)+1),ROWS(A$4:A64))),"")</f>
        <v>46086</v>
      </c>
      <c r="B64" s="19" t="str">
        <f t="array" ref="B64">IF(ROWS(B$4:B64)&lt;=$B$2,INDEX(data!A$3:A$16128,SMALL(IF(data!$D$3:$D$16128='Надежда'!$B$1,ROW(data!$A$3:$A$16128)-ROW($A$3)+1),ROWS(B$4:B64))),"")</f>
        <v>ЗАЕМ</v>
      </c>
      <c r="C64" s="19">
        <f t="array" ref="C64">IF(ROWS(C$4:C64)&lt;=$B$2,INDEX(data!B$3:B$16128,SMALL(IF(data!$D$3:$D$16128='Надежда'!$B$1,ROW(data!$A$3:$A$16128)-ROW($A$3)+1),ROWS(C$4:C64))),"")</f>
        <v>34296.99</v>
      </c>
      <c r="D64" s="7" t="str">
        <f t="array" ref="D64">IF(ROWS(D$4:D64)&lt;=$B$2,INDEX(data!E$3:E$16128,SMALL(IF(data!$D$3:$D$16128='Надежда'!$B$1,ROW(data!$A$3:$A$16128)-ROW($A$3)+1),ROWS(D$4:D64))),"")</f>
        <v>Салдо склад + вътр. п-не</v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IF(ROWS(A$4:A65)&lt;=$B$2,INDEX(data!C$3:C$16128,SMALL(IF(data!$D$3:$D$16128='Надежда'!$B$1,ROW(data!$A$3:$A$16128)-ROW($A$3)+1),ROWS(A$4:A65))),"")</f>
        <v>46090</v>
      </c>
      <c r="B65" s="19" t="str">
        <f t="array" ref="B65">IF(ROWS(B$4:B65)&lt;=$B$2,INDEX(data!A$3:A$16128,SMALL(IF(data!$D$3:$D$16128='Надежда'!$B$1,ROW(data!$A$3:$A$16128)-ROW($A$3)+1),ROWS(B$4:B65))),"")</f>
        <v>MYPOS Бакалия</v>
      </c>
      <c r="C65" s="19">
        <f t="array" ref="C65">IF(ROWS(C$4:C65)&lt;=$B$2,INDEX(data!B$3:B$16128,SMALL(IF(data!$D$3:$D$16128='Надежда'!$B$1,ROW(data!$A$3:$A$16128)-ROW($A$3)+1),ROWS(C$4:C65))),"")</f>
        <v>-6445.78</v>
      </c>
      <c r="D65" s="7" t="str">
        <f t="array" ref="D65">IF(ROWS(D$4:D65)&lt;=$B$2,INDEX(data!E$3:E$16128,SMALL(IF(data!$D$3:$D$16128='Надежда'!$B$1,ROW(data!$A$3:$A$16128)-ROW($A$3)+1),ROWS(D$4:D65))),"")</f>
        <v/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IF(ROWS(A$4:A66)&lt;=$B$2,INDEX(data!C$3:C$16128,SMALL(IF(data!$D$3:$D$16128='Надежда'!$B$1,ROW(data!$A$3:$A$16128)-ROW($A$3)+1),ROWS(A$4:A66))),"")</f>
        <v>46090</v>
      </c>
      <c r="B66" s="19" t="str">
        <f t="array" ref="B66">IF(ROWS(B$4:B66)&lt;=$B$2,INDEX(data!A$3:A$16128,SMALL(IF(data!$D$3:$D$16128='Надежда'!$B$1,ROW(data!$A$3:$A$16128)-ROW($A$3)+1),ROWS(B$4:B66))),"")</f>
        <v>КАСОВА КНИГА</v>
      </c>
      <c r="C66" s="19">
        <f t="array" ref="C66">IF(ROWS(C$4:C66)&lt;=$B$2,INDEX(data!B$3:B$16128,SMALL(IF(data!$D$3:$D$16128='Надежда'!$B$1,ROW(data!$A$3:$A$16128)-ROW($A$3)+1),ROWS(C$4:C66))),"")</f>
        <v>-1000</v>
      </c>
      <c r="D66" s="7" t="str">
        <f t="array" ref="D66">IF(ROWS(D$4:D66)&lt;=$B$2,INDEX(data!E$3:E$16128,SMALL(IF(data!$D$3:$D$16128='Надежда'!$B$1,ROW(data!$A$3:$A$16128)-ROW($A$3)+1),ROWS(D$4:D66))),"")</f>
        <v/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IF(ROWS(A$4:A67)&lt;=$B$2,INDEX(data!C$3:C$16128,SMALL(IF(data!$D$3:$D$16128='Надежда'!$B$1,ROW(data!$A$3:$A$16128)-ROW($A$3)+1),ROWS(A$4:A67))),"")</f>
        <v>46090</v>
      </c>
      <c r="B67" s="19" t="str">
        <f t="array" ref="B67">IF(ROWS(B$4:B67)&lt;=$B$2,INDEX(data!A$3:A$16128,SMALL(IF(data!$D$3:$D$16128='Надежда'!$B$1,ROW(data!$A$3:$A$16128)-ROW($A$3)+1),ROWS(B$4:B67))),"")</f>
        <v>ПроКредит бакал</v>
      </c>
      <c r="C67" s="19">
        <f t="array" ref="C67">IF(ROWS(C$4:C67)&lt;=$B$2,INDEX(data!B$3:B$16128,SMALL(IF(data!$D$3:$D$16128='Надежда'!$B$1,ROW(data!$A$3:$A$16128)-ROW($A$3)+1),ROWS(C$4:C67))),"")</f>
        <v>-369.08</v>
      </c>
      <c r="D67" s="7" t="str">
        <f t="array" ref="D67">IF(ROWS(D$4:D67)&lt;=$B$2,INDEX(data!E$3:E$16128,SMALL(IF(data!$D$3:$D$16128='Надежда'!$B$1,ROW(data!$A$3:$A$16128)-ROW($A$3)+1),ROWS(D$4:D67))),"")</f>
        <v/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IF(ROWS(A$4:A68)&lt;=$B$2,INDEX(data!C$3:C$16128,SMALL(IF(data!$D$3:$D$16128='Надежда'!$B$1,ROW(data!$A$3:$A$16128)-ROW($A$3)+1),ROWS(A$4:A68))),"")</f>
        <v>46092</v>
      </c>
      <c r="B68" s="19" t="str">
        <f t="array" ref="B68">IF(ROWS(B$4:B68)&lt;=$B$2,INDEX(data!A$3:A$16128,SMALL(IF(data!$D$3:$D$16128='Надежда'!$B$1,ROW(data!$A$3:$A$16128)-ROW($A$3)+1),ROWS(B$4:B68))),"")</f>
        <v>Банка ПИБ Бакалия</v>
      </c>
      <c r="C68" s="19">
        <f t="array" ref="C68">IF(ROWS(C$4:C68)&lt;=$B$2,INDEX(data!B$3:B$16128,SMALL(IF(data!$D$3:$D$16128='Надежда'!$B$1,ROW(data!$A$3:$A$16128)-ROW($A$3)+1),ROWS(C$4:C68))),"")</f>
        <v>-1180.39</v>
      </c>
      <c r="D68" s="7" t="str">
        <f t="array" ref="D68">IF(ROWS(D$4:D68)&lt;=$B$2,INDEX(data!E$3:E$16128,SMALL(IF(data!$D$3:$D$16128='Надежда'!$B$1,ROW(data!$A$3:$A$16128)-ROW($A$3)+1),ROWS(D$4:D68))),"")</f>
        <v/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IF(ROWS(A$4:A69)&lt;=$B$2,INDEX(data!C$3:C$16128,SMALL(IF(data!$D$3:$D$16128='Надежда'!$B$1,ROW(data!$A$3:$A$16128)-ROW($A$3)+1),ROWS(A$4:A69))),"")</f>
        <v>46094</v>
      </c>
      <c r="B69" s="19" t="str">
        <f t="array" ref="B69">IF(ROWS(B$4:B69)&lt;=$B$2,INDEX(data!A$3:A$16128,SMALL(IF(data!$D$3:$D$16128='Надежда'!$B$1,ROW(data!$A$3:$A$16128)-ROW($A$3)+1),ROWS(B$4:B69))),"")</f>
        <v>КАСОВА КНИГА</v>
      </c>
      <c r="C69" s="19">
        <f t="array" ref="C69">IF(ROWS(C$4:C69)&lt;=$B$2,INDEX(data!B$3:B$16128,SMALL(IF(data!$D$3:$D$16128='Надежда'!$B$1,ROW(data!$A$3:$A$16128)-ROW($A$3)+1),ROWS(C$4:C69))),"")</f>
        <v>-500</v>
      </c>
      <c r="D69" s="7" t="str">
        <f t="array" ref="D69">IF(ROWS(D$4:D69)&lt;=$B$2,INDEX(data!E$3:E$16128,SMALL(IF(data!$D$3:$D$16128='Надежда'!$B$1,ROW(data!$A$3:$A$16128)-ROW($A$3)+1),ROWS(D$4:D69))),"")</f>
        <v/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IF(ROWS(A$4:A70)&lt;=$B$2,INDEX(data!C$3:C$16128,SMALL(IF(data!$D$3:$D$16128='Надежда'!$B$1,ROW(data!$A$3:$A$16128)-ROW($A$3)+1),ROWS(A$4:A70))),"")</f>
        <v>46097</v>
      </c>
      <c r="B70" s="19" t="str">
        <f t="array" ref="B70">IF(ROWS(B$4:B70)&lt;=$B$2,INDEX(data!A$3:A$16128,SMALL(IF(data!$D$3:$D$16128='Надежда'!$B$1,ROW(data!$A$3:$A$16128)-ROW($A$3)+1),ROWS(B$4:B70))),"")</f>
        <v>MYPOS Бакалия</v>
      </c>
      <c r="C70" s="19">
        <f t="array" ref="C70">IF(ROWS(C$4:C70)&lt;=$B$2,INDEX(data!B$3:B$16128,SMALL(IF(data!$D$3:$D$16128='Надежда'!$B$1,ROW(data!$A$3:$A$16128)-ROW($A$3)+1),ROWS(C$4:C70))),"")</f>
        <v>-7540.22</v>
      </c>
      <c r="D70" s="7" t="str">
        <f t="array" ref="D70">IF(ROWS(D$4:D70)&lt;=$B$2,INDEX(data!E$3:E$16128,SMALL(IF(data!$D$3:$D$16128='Надежда'!$B$1,ROW(data!$A$3:$A$16128)-ROW($A$3)+1),ROWS(D$4:D70))),"")</f>
        <v/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IF(ROWS(A$4:A71)&lt;=$B$2,INDEX(data!C$3:C$16128,SMALL(IF(data!$D$3:$D$16128='Надежда'!$B$1,ROW(data!$A$3:$A$16128)-ROW($A$3)+1),ROWS(A$4:A71))),"")</f>
        <v>46097</v>
      </c>
      <c r="B71" s="19" t="str">
        <f t="array" ref="B71">IF(ROWS(B$4:B71)&lt;=$B$2,INDEX(data!A$3:A$16128,SMALL(IF(data!$D$3:$D$16128='Надежда'!$B$1,ROW(data!$A$3:$A$16128)-ROW($A$3)+1),ROWS(B$4:B71))),"")</f>
        <v>КАСОВА КНИГА</v>
      </c>
      <c r="C71" s="19">
        <f t="array" ref="C71">IF(ROWS(C$4:C71)&lt;=$B$2,INDEX(data!B$3:B$16128,SMALL(IF(data!$D$3:$D$16128='Надежда'!$B$1,ROW(data!$A$3:$A$16128)-ROW($A$3)+1),ROWS(C$4:C71))),"")</f>
        <v>-2000</v>
      </c>
      <c r="D71" s="7" t="str">
        <f t="array" ref="D71">IF(ROWS(D$4:D71)&lt;=$B$2,INDEX(data!E$3:E$16128,SMALL(IF(data!$D$3:$D$16128='Надежда'!$B$1,ROW(data!$A$3:$A$16128)-ROW($A$3)+1),ROWS(D$4:D71))),"")</f>
        <v/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IF(ROWS(A$4:A72)&lt;=$B$2,INDEX(data!C$3:C$16128,SMALL(IF(data!$D$3:$D$16128='Надежда'!$B$1,ROW(data!$A$3:$A$16128)-ROW($A$3)+1),ROWS(A$4:A72))),"")</f>
        <v>46097</v>
      </c>
      <c r="B72" s="19" t="str">
        <f t="array" ref="B72">IF(ROWS(B$4:B72)&lt;=$B$2,INDEX(data!A$3:A$16128,SMALL(IF(data!$D$3:$D$16128='Надежда'!$B$1,ROW(data!$A$3:$A$16128)-ROW($A$3)+1),ROWS(B$4:B72))),"")</f>
        <v>каса ФИКТИВНА</v>
      </c>
      <c r="C72" s="19">
        <f t="array" ref="C72">IF(ROWS(C$4:C72)&lt;=$B$2,INDEX(data!B$3:B$16128,SMALL(IF(data!$D$3:$D$16128='Надежда'!$B$1,ROW(data!$A$3:$A$16128)-ROW($A$3)+1),ROWS(C$4:C72))),"")</f>
        <v>-150</v>
      </c>
      <c r="D72" s="7" t="str">
        <f t="array" ref="D72">IF(ROWS(D$4:D72)&lt;=$B$2,INDEX(data!E$3:E$16128,SMALL(IF(data!$D$3:$D$16128='Надежда'!$B$1,ROW(data!$A$3:$A$16128)-ROW($A$3)+1),ROWS(D$4:D72))),"")</f>
        <v>Стаси от заплатата</v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IF(ROWS(A$4:A73)&lt;=$B$2,INDEX(data!C$3:C$16128,SMALL(IF(data!$D$3:$D$16128='Надежда'!$B$1,ROW(data!$A$3:$A$16128)-ROW($A$3)+1),ROWS(A$4:A73))),"")</f>
        <v>46098</v>
      </c>
      <c r="B73" s="19" t="str">
        <f t="array" ref="B73">IF(ROWS(B$4:B73)&lt;=$B$2,INDEX(data!A$3:A$16128,SMALL(IF(data!$D$3:$D$16128='Надежда'!$B$1,ROW(data!$A$3:$A$16128)-ROW($A$3)+1),ROWS(B$4:B73))),"")</f>
        <v>каса ФИКТИВНА</v>
      </c>
      <c r="C73" s="19">
        <f t="array" ref="C73">IF(ROWS(C$4:C73)&lt;=$B$2,INDEX(data!B$3:B$16128,SMALL(IF(data!$D$3:$D$16128='Надежда'!$B$1,ROW(data!$A$3:$A$16128)-ROW($A$3)+1),ROWS(C$4:C73))),"")</f>
        <v>-101.6</v>
      </c>
      <c r="D73" s="7" t="str">
        <f t="array" ref="D73">IF(ROWS(D$4:D73)&lt;=$B$2,INDEX(data!E$3:E$16128,SMALL(IF(data!$D$3:$D$16128='Надежда'!$B$1,ROW(data!$A$3:$A$16128)-ROW($A$3)+1),ROWS(D$4:D73))),"")</f>
        <v>колет Милена</v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IF(ROWS(A$4:A74)&lt;=$B$2,INDEX(data!C$3:C$16128,SMALL(IF(data!$D$3:$D$16128='Надежда'!$B$1,ROW(data!$A$3:$A$16128)-ROW($A$3)+1),ROWS(A$4:A74))),"")</f>
        <v>46099</v>
      </c>
      <c r="B74" s="19" t="str">
        <f t="array" ref="B74">IF(ROWS(B$4:B74)&lt;=$B$2,INDEX(data!A$3:A$16128,SMALL(IF(data!$D$3:$D$16128='Надежда'!$B$1,ROW(data!$A$3:$A$16128)-ROW($A$3)+1),ROWS(B$4:B74))),"")</f>
        <v>каса ФИКТИВНА</v>
      </c>
      <c r="C74" s="19">
        <f t="array" ref="C74">IF(ROWS(C$4:C74)&lt;=$B$2,INDEX(data!B$3:B$16128,SMALL(IF(data!$D$3:$D$16128='Надежда'!$B$1,ROW(data!$A$3:$A$16128)-ROW($A$3)+1),ROWS(C$4:C74))),"")</f>
        <v>-27.3</v>
      </c>
      <c r="D74" s="7" t="str">
        <f t="array" ref="D74">IF(ROWS(D$4:D74)&lt;=$B$2,INDEX(data!E$3:E$16128,SMALL(IF(data!$D$3:$D$16128='Надежда'!$B$1,ROW(data!$A$3:$A$16128)-ROW($A$3)+1),ROWS(D$4:D74))),"")</f>
        <v>колет Тихомир</v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IF(ROWS(A$4:A75)&lt;=$B$2,INDEX(data!C$3:C$16128,SMALL(IF(data!$D$3:$D$16128='Надежда'!$B$1,ROW(data!$A$3:$A$16128)-ROW($A$3)+1),ROWS(A$4:A75))),"")</f>
        <v>46099</v>
      </c>
      <c r="B75" s="19" t="str">
        <f t="array" ref="B75">IF(ROWS(B$4:B75)&lt;=$B$2,INDEX(data!A$3:A$16128,SMALL(IF(data!$D$3:$D$16128='Надежда'!$B$1,ROW(data!$A$3:$A$16128)-ROW($A$3)+1),ROWS(B$4:B75))),"")</f>
        <v>каса ФИКТИВНА</v>
      </c>
      <c r="C75" s="19">
        <f t="array" ref="C75">IF(ROWS(C$4:C75)&lt;=$B$2,INDEX(data!B$3:B$16128,SMALL(IF(data!$D$3:$D$16128='Надежда'!$B$1,ROW(data!$A$3:$A$16128)-ROW($A$3)+1),ROWS(C$4:C75))),"")</f>
        <v>-19.02</v>
      </c>
      <c r="D75" s="7" t="str">
        <f t="array" ref="D75">IF(ROWS(D$4:D75)&lt;=$B$2,INDEX(data!E$3:E$16128,SMALL(IF(data!$D$3:$D$16128='Надежда'!$B$1,ROW(data!$A$3:$A$16128)-ROW($A$3)+1),ROWS(D$4:D75))),"")</f>
        <v>пазар Милена</v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IF(ROWS(A$4:A76)&lt;=$B$2,INDEX(data!C$3:C$16128,SMALL(IF(data!$D$3:$D$16128='Надежда'!$B$1,ROW(data!$A$3:$A$16128)-ROW($A$3)+1),ROWS(A$4:A76))),"")</f>
        <v>46101</v>
      </c>
      <c r="B76" s="19" t="str">
        <f t="array" ref="B76">IF(ROWS(B$4:B76)&lt;=$B$2,INDEX(data!A$3:A$16128,SMALL(IF(data!$D$3:$D$16128='Надежда'!$B$1,ROW(data!$A$3:$A$16128)-ROW($A$3)+1),ROWS(B$4:B76))),"")</f>
        <v>каса ФИКТИВНА</v>
      </c>
      <c r="C76" s="19">
        <f t="array" ref="C76">IF(ROWS(C$4:C76)&lt;=$B$2,INDEX(data!B$3:B$16128,SMALL(IF(data!$D$3:$D$16128='Надежда'!$B$1,ROW(data!$A$3:$A$16128)-ROW($A$3)+1),ROWS(C$4:C76))),"")</f>
        <v>-11.1</v>
      </c>
      <c r="D76" s="7" t="str">
        <f t="array" ref="D76">IF(ROWS(D$4:D76)&lt;=$B$2,INDEX(data!E$3:E$16128,SMALL(IF(data!$D$3:$D$16128='Надежда'!$B$1,ROW(data!$A$3:$A$16128)-ROW($A$3)+1),ROWS(D$4:D76))),"")</f>
        <v>колет Милена</v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IF(ROWS(A$4:A77)&lt;=$B$2,INDEX(data!C$3:C$16128,SMALL(IF(data!$D$3:$D$16128='Надежда'!$B$1,ROW(data!$A$3:$A$16128)-ROW($A$3)+1),ROWS(A$4:A77))),"")</f>
        <v>46104</v>
      </c>
      <c r="B77" s="19" t="str">
        <f t="array" ref="B77">IF(ROWS(B$4:B77)&lt;=$B$2,INDEX(data!A$3:A$16128,SMALL(IF(data!$D$3:$D$16128='Надежда'!$B$1,ROW(data!$A$3:$A$16128)-ROW($A$3)+1),ROWS(B$4:B77))),"")</f>
        <v>MYPOS Бакалия</v>
      </c>
      <c r="C77" s="19">
        <f t="array" ref="C77">IF(ROWS(C$4:C77)&lt;=$B$2,INDEX(data!B$3:B$16128,SMALL(IF(data!$D$3:$D$16128='Надежда'!$B$1,ROW(data!$A$3:$A$16128)-ROW($A$3)+1),ROWS(C$4:C77))),"")</f>
        <v>-7314.369</v>
      </c>
      <c r="D77" s="7" t="str">
        <f t="array" ref="D77">IF(ROWS(D$4:D77)&lt;=$B$2,INDEX(data!E$3:E$16128,SMALL(IF(data!$D$3:$D$16128='Надежда'!$B$1,ROW(data!$A$3:$A$16128)-ROW($A$3)+1),ROWS(D$4:D77))),"")</f>
        <v/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IF(ROWS(A$4:A78)&lt;=$B$2,INDEX(data!C$3:C$16128,SMALL(IF(data!$D$3:$D$16128='Надежда'!$B$1,ROW(data!$A$3:$A$16128)-ROW($A$3)+1),ROWS(A$4:A78))),"")</f>
        <v>46104</v>
      </c>
      <c r="B78" s="19" t="str">
        <f t="array" ref="B78">IF(ROWS(B$4:B78)&lt;=$B$2,INDEX(data!A$3:A$16128,SMALL(IF(data!$D$3:$D$16128='Надежда'!$B$1,ROW(data!$A$3:$A$16128)-ROW($A$3)+1),ROWS(B$4:B78))),"")</f>
        <v>КАСОВА КНИГА</v>
      </c>
      <c r="C78" s="19">
        <f t="array" ref="C78">IF(ROWS(C$4:C78)&lt;=$B$2,INDEX(data!B$3:B$16128,SMALL(IF(data!$D$3:$D$16128='Надежда'!$B$1,ROW(data!$A$3:$A$16128)-ROW($A$3)+1),ROWS(C$4:C78))),"")</f>
        <v>-1500</v>
      </c>
      <c r="D78" s="7" t="str">
        <f t="array" ref="D78">IF(ROWS(D$4:D78)&lt;=$B$2,INDEX(data!E$3:E$16128,SMALL(IF(data!$D$3:$D$16128='Надежда'!$B$1,ROW(data!$A$3:$A$16128)-ROW($A$3)+1),ROWS(D$4:D78))),"")</f>
        <v/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IF(ROWS(A$4:A79)&lt;=$B$2,INDEX(data!C$3:C$16128,SMALL(IF(data!$D$3:$D$16128='Надежда'!$B$1,ROW(data!$A$3:$A$16128)-ROW($A$3)+1),ROWS(A$4:A79))),"")</f>
        <v>46104</v>
      </c>
      <c r="B79" s="19" t="str">
        <f t="array" ref="B79">IF(ROWS(B$4:B79)&lt;=$B$2,INDEX(data!A$3:A$16128,SMALL(IF(data!$D$3:$D$16128='Надежда'!$B$1,ROW(data!$A$3:$A$16128)-ROW($A$3)+1),ROWS(B$4:B79))),"")</f>
        <v>Каса ВАУЧЕРИ</v>
      </c>
      <c r="C79" s="19">
        <f t="array" ref="C79">IF(ROWS(C$4:C79)&lt;=$B$2,INDEX(data!B$3:B$16128,SMALL(IF(data!$D$3:$D$16128='Надежда'!$B$1,ROW(data!$A$3:$A$16128)-ROW($A$3)+1),ROWS(C$4:C79))),"")</f>
        <v>800</v>
      </c>
      <c r="D79" s="7" t="str">
        <f t="array" ref="D79">IF(ROWS(D$4:D79)&lt;=$B$2,INDEX(data!E$3:E$16128,SMALL(IF(data!$D$3:$D$16128='Надежда'!$B$1,ROW(data!$A$3:$A$16128)-ROW($A$3)+1),ROWS(D$4:D79))),"")</f>
        <v>ваучери персонал</v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IF(ROWS(A$4:A80)&lt;=$B$2,INDEX(data!C$3:C$16128,SMALL(IF(data!$D$3:$D$16128='Надежда'!$B$1,ROW(data!$A$3:$A$16128)-ROW($A$3)+1),ROWS(A$4:A80))),"")</f>
        <v>46104</v>
      </c>
      <c r="B80" s="19" t="str">
        <f t="array" ref="B80">IF(ROWS(B$4:B80)&lt;=$B$2,INDEX(data!A$3:A$16128,SMALL(IF(data!$D$3:$D$16128='Надежда'!$B$1,ROW(data!$A$3:$A$16128)-ROW($A$3)+1),ROWS(B$4:B80))),"")</f>
        <v>каса ФИКТИВНА</v>
      </c>
      <c r="C80" s="19">
        <f t="array" ref="C80">IF(ROWS(C$4:C80)&lt;=$B$2,INDEX(data!B$3:B$16128,SMALL(IF(data!$D$3:$D$16128='Надежда'!$B$1,ROW(data!$A$3:$A$16128)-ROW($A$3)+1),ROWS(C$4:C80))),"")</f>
        <v>-100</v>
      </c>
      <c r="D80" s="7" t="str">
        <f t="array" ref="D80">IF(ROWS(D$4:D80)&lt;=$B$2,INDEX(data!E$3:E$16128,SMALL(IF(data!$D$3:$D$16128='Надежда'!$B$1,ROW(data!$A$3:$A$16128)-ROW($A$3)+1),ROWS(D$4:D80))),"")</f>
        <v>Сашо пилето</v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IF(ROWS(A$4:A81)&lt;=$B$2,INDEX(data!C$3:C$16128,SMALL(IF(data!$D$3:$D$16128='Надежда'!$B$1,ROW(data!$A$3:$A$16128)-ROW($A$3)+1),ROWS(A$4:A81))),"")</f>
        <v>46104</v>
      </c>
      <c r="B81" s="19" t="str">
        <f t="array" ref="B81">IF(ROWS(B$4:B81)&lt;=$B$2,INDEX(data!A$3:A$16128,SMALL(IF(data!$D$3:$D$16128='Надежда'!$B$1,ROW(data!$A$3:$A$16128)-ROW($A$3)+1),ROWS(B$4:B81))),"")</f>
        <v>каса ФИКТИВНА</v>
      </c>
      <c r="C81" s="19">
        <f t="array" ref="C81">IF(ROWS(C$4:C81)&lt;=$B$2,INDEX(data!B$3:B$16128,SMALL(IF(data!$D$3:$D$16128='Надежда'!$B$1,ROW(data!$A$3:$A$16128)-ROW($A$3)+1),ROWS(C$4:C81))),"")</f>
        <v>-20.9</v>
      </c>
      <c r="D81" s="7" t="str">
        <f t="array" ref="D81">IF(ROWS(D$4:D81)&lt;=$B$2,INDEX(data!E$3:E$16128,SMALL(IF(data!$D$3:$D$16128='Надежда'!$B$1,ROW(data!$A$3:$A$16128)-ROW($A$3)+1),ROWS(D$4:D81))),"")</f>
        <v>колет Милена</v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IF(ROWS(A$4:A82)&lt;=$B$2,INDEX(data!C$3:C$16128,SMALL(IF(data!$D$3:$D$16128='Надежда'!$B$1,ROW(data!$A$3:$A$16128)-ROW($A$3)+1),ROWS(A$4:A82))),"")</f>
        <v>46106</v>
      </c>
      <c r="B82" s="19" t="str">
        <f t="array" ref="B82">IF(ROWS(B$4:B82)&lt;=$B$2,INDEX(data!A$3:A$16128,SMALL(IF(data!$D$3:$D$16128='Надежда'!$B$1,ROW(data!$A$3:$A$16128)-ROW($A$3)+1),ROWS(B$4:B82))),"")</f>
        <v>каса ФИКТИВНА</v>
      </c>
      <c r="C82" s="19">
        <f t="array" ref="C82">IF(ROWS(C$4:C82)&lt;=$B$2,INDEX(data!B$3:B$16128,SMALL(IF(data!$D$3:$D$16128='Надежда'!$B$1,ROW(data!$A$3:$A$16128)-ROW($A$3)+1),ROWS(C$4:C82))),"")</f>
        <v>-16</v>
      </c>
      <c r="D82" s="7" t="str">
        <f t="array" ref="D82">IF(ROWS(D$4:D82)&lt;=$B$2,INDEX(data!E$3:E$16128,SMALL(IF(data!$D$3:$D$16128='Надежда'!$B$1,ROW(data!$A$3:$A$16128)-ROW($A$3)+1),ROWS(D$4:D82))),"")</f>
        <v>колет Милена</v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IF(ROWS(A$4:A83)&lt;=$B$2,INDEX(data!C$3:C$16128,SMALL(IF(data!$D$3:$D$16128='Надежда'!$B$1,ROW(data!$A$3:$A$16128)-ROW($A$3)+1),ROWS(A$4:A83))),"")</f>
        <v>46111</v>
      </c>
      <c r="B83" s="19" t="str">
        <f t="array" ref="B83">IF(ROWS(B$4:B83)&lt;=$B$2,INDEX(data!A$3:A$16128,SMALL(IF(data!$D$3:$D$16128='Надежда'!$B$1,ROW(data!$A$3:$A$16128)-ROW($A$3)+1),ROWS(B$4:B83))),"")</f>
        <v>MYPOS Бакалия</v>
      </c>
      <c r="C83" s="19">
        <f t="array" ref="C83">IF(ROWS(C$4:C83)&lt;=$B$2,INDEX(data!B$3:B$16128,SMALL(IF(data!$D$3:$D$16128='Надежда'!$B$1,ROW(data!$A$3:$A$16128)-ROW($A$3)+1),ROWS(C$4:C83))),"")</f>
        <v>-7323.41</v>
      </c>
      <c r="D83" s="7" t="str">
        <f t="array" ref="D83">IF(ROWS(D$4:D83)&lt;=$B$2,INDEX(data!E$3:E$16128,SMALL(IF(data!$D$3:$D$16128='Надежда'!$B$1,ROW(data!$A$3:$A$16128)-ROW($A$3)+1),ROWS(D$4:D83))),"")</f>
        <v/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IF(ROWS(A$4:A84)&lt;=$B$2,INDEX(data!C$3:C$16128,SMALL(IF(data!$D$3:$D$16128='Надежда'!$B$1,ROW(data!$A$3:$A$16128)-ROW($A$3)+1),ROWS(A$4:A84))),"")</f>
        <v>46111</v>
      </c>
      <c r="B84" s="19" t="str">
        <f t="array" ref="B84">IF(ROWS(B$4:B84)&lt;=$B$2,INDEX(data!A$3:A$16128,SMALL(IF(data!$D$3:$D$16128='Надежда'!$B$1,ROW(data!$A$3:$A$16128)-ROW($A$3)+1),ROWS(B$4:B84))),"")</f>
        <v>КАСОВА КНИГА</v>
      </c>
      <c r="C84" s="19">
        <f t="array" ref="C84">IF(ROWS(C$4:C84)&lt;=$B$2,INDEX(data!B$3:B$16128,SMALL(IF(data!$D$3:$D$16128='Надежда'!$B$1,ROW(data!$A$3:$A$16128)-ROW($A$3)+1),ROWS(C$4:C84))),"")</f>
        <v>-1000</v>
      </c>
      <c r="D84" s="7" t="str">
        <f t="array" ref="D84">IF(ROWS(D$4:D84)&lt;=$B$2,INDEX(data!E$3:E$16128,SMALL(IF(data!$D$3:$D$16128='Надежда'!$B$1,ROW(data!$A$3:$A$16128)-ROW($A$3)+1),ROWS(D$4:D84))),"")</f>
        <v/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IF(ROWS(A$4:A85)&lt;=$B$2,INDEX(data!C$3:C$16128,SMALL(IF(data!$D$3:$D$16128='Надежда'!$B$1,ROW(data!$A$3:$A$16128)-ROW($A$3)+1),ROWS(A$4:A85))),"")</f>
        <v>46111</v>
      </c>
      <c r="B85" s="19" t="str">
        <f t="array" ref="B85">IF(ROWS(B$4:B85)&lt;=$B$2,INDEX(data!A$3:A$16128,SMALL(IF(data!$D$3:$D$16128='Надежда'!$B$1,ROW(data!$A$3:$A$16128)-ROW($A$3)+1),ROWS(B$4:B85))),"")</f>
        <v>каса ФИКТИВНА</v>
      </c>
      <c r="C85" s="19">
        <f t="array" ref="C85">IF(ROWS(C$4:C85)&lt;=$B$2,INDEX(data!B$3:B$16128,SMALL(IF(data!$D$3:$D$16128='Надежда'!$B$1,ROW(data!$A$3:$A$16128)-ROW($A$3)+1),ROWS(C$4:C85))),"")</f>
        <v>-365.2</v>
      </c>
      <c r="D85" s="7" t="str">
        <f t="array" ref="D85">IF(ROWS(D$4:D85)&lt;=$B$2,INDEX(data!E$3:E$16128,SMALL(IF(data!$D$3:$D$16128='Надежда'!$B$1,ROW(data!$A$3:$A$16128)-ROW($A$3)+1),ROWS(D$4:D85))),"")</f>
        <v>колет Милена</v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IF(ROWS(A$4:A86)&lt;=$B$2,INDEX(data!C$3:C$16128,SMALL(IF(data!$D$3:$D$16128='Надежда'!$B$1,ROW(data!$A$3:$A$16128)-ROW($A$3)+1),ROWS(A$4:A86))),"")</f>
        <v>46112</v>
      </c>
      <c r="B86" s="19" t="str">
        <f t="array" ref="B86">IF(ROWS(B$4:B86)&lt;=$B$2,INDEX(data!A$3:A$16128,SMALL(IF(data!$D$3:$D$16128='Надежда'!$B$1,ROW(data!$A$3:$A$16128)-ROW($A$3)+1),ROWS(B$4:B86))),"")</f>
        <v>каса ФИКТИВНА</v>
      </c>
      <c r="C86" s="19">
        <f t="array" ref="C86">IF(ROWS(C$4:C86)&lt;=$B$2,INDEX(data!B$3:B$16128,SMALL(IF(data!$D$3:$D$16128='Надежда'!$B$1,ROW(data!$A$3:$A$16128)-ROW($A$3)+1),ROWS(C$4:C86))),"")</f>
        <v>-27.2</v>
      </c>
      <c r="D86" s="7" t="str">
        <f t="array" ref="D86">IF(ROWS(D$4:D86)&lt;=$B$2,INDEX(data!E$3:E$16128,SMALL(IF(data!$D$3:$D$16128='Надежда'!$B$1,ROW(data!$A$3:$A$16128)-ROW($A$3)+1),ROWS(D$4:D86))),"")</f>
        <v>колет Милена</v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IF(ROWS(A$4:A87)&lt;=$B$2,INDEX(data!C$3:C$16128,SMALL(IF(data!$D$3:$D$16128='Надежда'!$B$1,ROW(data!$A$3:$A$16128)-ROW($A$3)+1),ROWS(A$4:A87))),"")</f>
        <v>46112</v>
      </c>
      <c r="B87" s="19" t="str">
        <f t="array" ref="B87">IF(ROWS(B$4:B87)&lt;=$B$2,INDEX(data!A$3:A$16128,SMALL(IF(data!$D$3:$D$16128='Надежда'!$B$1,ROW(data!$A$3:$A$16128)-ROW($A$3)+1),ROWS(B$4:B87))),"")</f>
        <v>ЗАЕМ</v>
      </c>
      <c r="C87" s="19">
        <f t="array" ref="C87">IF(ROWS(C$4:C87)&lt;=$B$2,INDEX(data!B$3:B$16128,SMALL(IF(data!$D$3:$D$16128='Надежда'!$B$1,ROW(data!$A$3:$A$16128)-ROW($A$3)+1),ROWS(C$4:C87))),"")</f>
        <v>31773.55</v>
      </c>
      <c r="D87" s="7" t="str">
        <f t="array" ref="D87">IF(ROWS(D$4:D87)&lt;=$B$2,INDEX(data!E$3:E$16128,SMALL(IF(data!$D$3:$D$16128='Надежда'!$B$1,ROW(data!$A$3:$A$16128)-ROW($A$3)+1),ROWS(D$4:D87))),"")</f>
        <v>Салдо склад + вътр</v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IF(ROWS(A$4:A88)&lt;=$B$2,INDEX(data!C$3:C$16128,SMALL(IF(data!$D$3:$D$16128='Надежда'!$B$1,ROW(data!$A$3:$A$16128)-ROW($A$3)+1),ROWS(A$4:A88))),"")</f>
        <v>46113</v>
      </c>
      <c r="B88" s="19" t="str">
        <f t="array" ref="B88">IF(ROWS(B$4:B88)&lt;=$B$2,INDEX(data!A$3:A$16128,SMALL(IF(data!$D$3:$D$16128='Надежда'!$B$1,ROW(data!$A$3:$A$16128)-ROW($A$3)+1),ROWS(B$4:B88))),"")</f>
        <v>КАСОВА КНИГА</v>
      </c>
      <c r="C88" s="19">
        <f t="array" ref="C88">IF(ROWS(C$4:C88)&lt;=$B$2,INDEX(data!B$3:B$16128,SMALL(IF(data!$D$3:$D$16128='Надежда'!$B$1,ROW(data!$A$3:$A$16128)-ROW($A$3)+1),ROWS(C$4:C88))),"")</f>
        <v>-54.9</v>
      </c>
      <c r="D88" s="7" t="str">
        <f t="array" ref="D88">IF(ROWS(D$4:D88)&lt;=$B$2,INDEX(data!E$3:E$16128,SMALL(IF(data!$D$3:$D$16128='Надежда'!$B$1,ROW(data!$A$3:$A$16128)-ROW($A$3)+1),ROWS(D$4:D88))),"")</f>
        <v>колет Милена</v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IF(ROWS(A$4:A89)&lt;=$B$2,INDEX(data!C$3:C$16128,SMALL(IF(data!$D$3:$D$16128='Надежда'!$B$1,ROW(data!$A$3:$A$16128)-ROW($A$3)+1),ROWS(A$4:A89))),"")</f>
        <v>46115</v>
      </c>
      <c r="B89" s="19" t="str">
        <f t="array" ref="B89">IF(ROWS(B$4:B89)&lt;=$B$2,INDEX(data!A$3:A$16128,SMALL(IF(data!$D$3:$D$16128='Надежда'!$B$1,ROW(data!$A$3:$A$16128)-ROW($A$3)+1),ROWS(B$4:B89))),"")</f>
        <v>Каса ВАУЧЕРИ</v>
      </c>
      <c r="C89" s="19">
        <f t="array" ref="C89">IF(ROWS(C$4:C89)&lt;=$B$2,INDEX(data!B$3:B$16128,SMALL(IF(data!$D$3:$D$16128='Надежда'!$B$1,ROW(data!$A$3:$A$16128)-ROW($A$3)+1),ROWS(C$4:C89))),"")</f>
        <v>-12</v>
      </c>
      <c r="D89" s="7" t="str">
        <f t="array" ref="D89">IF(ROWS(D$4:D89)&lt;=$B$2,INDEX(data!E$3:E$16128,SMALL(IF(data!$D$3:$D$16128='Надежда'!$B$1,ROW(data!$A$3:$A$16128)-ROW($A$3)+1),ROWS(D$4:D89))),"")</f>
        <v>16-22.03</v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IF(ROWS(A$4:A90)&lt;=$B$2,INDEX(data!C$3:C$16128,SMALL(IF(data!$D$3:$D$16128='Надежда'!$B$1,ROW(data!$A$3:$A$16128)-ROW($A$3)+1),ROWS(A$4:A90))),"")</f>
        <v>46115</v>
      </c>
      <c r="B90" s="19" t="str">
        <f t="array" ref="B90">IF(ROWS(B$4:B90)&lt;=$B$2,INDEX(data!A$3:A$16128,SMALL(IF(data!$D$3:$D$16128='Надежда'!$B$1,ROW(data!$A$3:$A$16128)-ROW($A$3)+1),ROWS(B$4:B90))),"")</f>
        <v>каса ФИКТИВНА</v>
      </c>
      <c r="C90" s="19">
        <f t="array" ref="C90">IF(ROWS(C$4:C90)&lt;=$B$2,INDEX(data!B$3:B$16128,SMALL(IF(data!$D$3:$D$16128='Надежда'!$B$1,ROW(data!$A$3:$A$16128)-ROW($A$3)+1),ROWS(C$4:C90))),"")</f>
        <v>-30</v>
      </c>
      <c r="D90" s="7" t="str">
        <f t="array" ref="D90">IF(ROWS(D$4:D90)&lt;=$B$2,INDEX(data!E$3:E$16128,SMALL(IF(data!$D$3:$D$16128='Надежда'!$B$1,ROW(data!$A$3:$A$16128)-ROW($A$3)+1),ROWS(D$4:D90))),"")</f>
        <v>колет Тихомир</v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IF(ROWS(A$4:A91)&lt;=$B$2,INDEX(data!C$3:C$16128,SMALL(IF(data!$D$3:$D$16128='Надежда'!$B$1,ROW(data!$A$3:$A$16128)-ROW($A$3)+1),ROWS(A$4:A91))),"")</f>
        <v>46118</v>
      </c>
      <c r="B91" s="19" t="str">
        <f t="array" ref="B91">IF(ROWS(B$4:B91)&lt;=$B$2,INDEX(data!A$3:A$16128,SMALL(IF(data!$D$3:$D$16128='Надежда'!$B$1,ROW(data!$A$3:$A$16128)-ROW($A$3)+1),ROWS(B$4:B91))),"")</f>
        <v>MYPOS Бакалия</v>
      </c>
      <c r="C91" s="19">
        <f t="array" ref="C91">IF(ROWS(C$4:C91)&lt;=$B$2,INDEX(data!B$3:B$16128,SMALL(IF(data!$D$3:$D$16128='Надежда'!$B$1,ROW(data!$A$3:$A$16128)-ROW($A$3)+1),ROWS(C$4:C91))),"")</f>
        <v>-6618.41</v>
      </c>
      <c r="D91" s="7" t="str">
        <f t="array" ref="D91">IF(ROWS(D$4:D91)&lt;=$B$2,INDEX(data!E$3:E$16128,SMALL(IF(data!$D$3:$D$16128='Надежда'!$B$1,ROW(data!$A$3:$A$16128)-ROW($A$3)+1),ROWS(D$4:D91))),"")</f>
        <v/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IF(ROWS(A$4:A92)&lt;=$B$2,INDEX(data!C$3:C$16128,SMALL(IF(data!$D$3:$D$16128='Надежда'!$B$1,ROW(data!$A$3:$A$16128)-ROW($A$3)+1),ROWS(A$4:A92))),"")</f>
        <v>46118</v>
      </c>
      <c r="B92" s="19" t="str">
        <f t="array" ref="B92">IF(ROWS(B$4:B92)&lt;=$B$2,INDEX(data!A$3:A$16128,SMALL(IF(data!$D$3:$D$16128='Надежда'!$B$1,ROW(data!$A$3:$A$16128)-ROW($A$3)+1),ROWS(B$4:B92))),"")</f>
        <v>КАСОВА КНИГА</v>
      </c>
      <c r="C92" s="19">
        <f t="array" ref="C92">IF(ROWS(C$4:C92)&lt;=$B$2,INDEX(data!B$3:B$16128,SMALL(IF(data!$D$3:$D$16128='Надежда'!$B$1,ROW(data!$A$3:$A$16128)-ROW($A$3)+1),ROWS(C$4:C92))),"")</f>
        <v>-700</v>
      </c>
      <c r="D92" s="7" t="str">
        <f t="array" ref="D92">IF(ROWS(D$4:D92)&lt;=$B$2,INDEX(data!E$3:E$16128,SMALL(IF(data!$D$3:$D$16128='Надежда'!$B$1,ROW(data!$A$3:$A$16128)-ROW($A$3)+1),ROWS(D$4:D92))),"")</f>
        <v/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IF(ROWS(A$4:A93)&lt;=$B$2,INDEX(data!C$3:C$16128,SMALL(IF(data!$D$3:$D$16128='Надежда'!$B$1,ROW(data!$A$3:$A$16128)-ROW($A$3)+1),ROWS(A$4:A93))),"")</f>
        <v>46118</v>
      </c>
      <c r="B93" s="19" t="str">
        <f t="array" ref="B93">IF(ROWS(B$4:B93)&lt;=$B$2,INDEX(data!A$3:A$16128,SMALL(IF(data!$D$3:$D$16128='Надежда'!$B$1,ROW(data!$A$3:$A$16128)-ROW($A$3)+1),ROWS(B$4:B93))),"")</f>
        <v>каса ФИКТИВНА</v>
      </c>
      <c r="C93" s="19">
        <f t="array" ref="C93">IF(ROWS(C$4:C93)&lt;=$B$2,INDEX(data!B$3:B$16128,SMALL(IF(data!$D$3:$D$16128='Надежда'!$B$1,ROW(data!$A$3:$A$16128)-ROW($A$3)+1),ROWS(C$4:C93))),"")</f>
        <v>-58.5</v>
      </c>
      <c r="D93" s="7" t="str">
        <f t="array" ref="D93">IF(ROWS(D$4:D93)&lt;=$B$2,INDEX(data!E$3:E$16128,SMALL(IF(data!$D$3:$D$16128='Надежда'!$B$1,ROW(data!$A$3:$A$16128)-ROW($A$3)+1),ROWS(D$4:D93))),"")</f>
        <v>колет Ния</v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IF(ROWS(A$4:A94)&lt;=$B$2,INDEX(data!C$3:C$16128,SMALL(IF(data!$D$3:$D$16128='Надежда'!$B$1,ROW(data!$A$3:$A$16128)-ROW($A$3)+1),ROWS(A$4:A94))),"")</f>
        <v>46120</v>
      </c>
      <c r="B94" s="19" t="str">
        <f t="array" ref="B94">IF(ROWS(B$4:B94)&lt;=$B$2,INDEX(data!A$3:A$16128,SMALL(IF(data!$D$3:$D$16128='Надежда'!$B$1,ROW(data!$A$3:$A$16128)-ROW($A$3)+1),ROWS(B$4:B94))),"")</f>
        <v>каса ФИКТИВНА</v>
      </c>
      <c r="C94" s="19">
        <f t="array" ref="C94">IF(ROWS(C$4:C94)&lt;=$B$2,INDEX(data!B$3:B$16128,SMALL(IF(data!$D$3:$D$16128='Надежда'!$B$1,ROW(data!$A$3:$A$16128)-ROW($A$3)+1),ROWS(C$4:C94))),"")</f>
        <v>-69.5</v>
      </c>
      <c r="D94" s="7" t="str">
        <f t="array" ref="D94">IF(ROWS(D$4:D94)&lt;=$B$2,INDEX(data!E$3:E$16128,SMALL(IF(data!$D$3:$D$16128='Надежда'!$B$1,ROW(data!$A$3:$A$16128)-ROW($A$3)+1),ROWS(D$4:D94))),"")</f>
        <v>колет Ния</v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>
        <f t="array" ref="A95">IF(ROWS(A$4:A95)&lt;=$B$2,INDEX(data!C$3:C$16128,SMALL(IF(data!$D$3:$D$16128='Надежда'!$B$1,ROW(data!$A$3:$A$16128)-ROW($A$3)+1),ROWS(A$4:A95))),"")</f>
        <v>46121</v>
      </c>
      <c r="B95" s="19" t="str">
        <f t="array" ref="B95">IF(ROWS(B$4:B95)&lt;=$B$2,INDEX(data!A$3:A$16128,SMALL(IF(data!$D$3:$D$16128='Надежда'!$B$1,ROW(data!$A$3:$A$16128)-ROW($A$3)+1),ROWS(B$4:B95))),"")</f>
        <v>КАСОВА КНИГА</v>
      </c>
      <c r="C95" s="19">
        <f t="array" ref="C95">IF(ROWS(C$4:C95)&lt;=$B$2,INDEX(data!B$3:B$16128,SMALL(IF(data!$D$3:$D$16128='Надежда'!$B$1,ROW(data!$A$3:$A$16128)-ROW($A$3)+1),ROWS(C$4:C95))),"")</f>
        <v>1000</v>
      </c>
      <c r="D95" s="7" t="str">
        <f t="array" ref="D95">IF(ROWS(D$4:D95)&lt;=$B$2,INDEX(data!E$3:E$16128,SMALL(IF(data!$D$3:$D$16128='Надежда'!$B$1,ROW(data!$A$3:$A$16128)-ROW($A$3)+1),ROWS(D$4:D95))),"")</f>
        <v>заем</v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>
        <f t="array" ref="A96">IF(ROWS(A$4:A96)&lt;=$B$2,INDEX(data!C$3:C$16128,SMALL(IF(data!$D$3:$D$16128='Надежда'!$B$1,ROW(data!$A$3:$A$16128)-ROW($A$3)+1),ROWS(A$4:A96))),"")</f>
        <v>46126</v>
      </c>
      <c r="B96" s="19" t="str">
        <f t="array" ref="B96">IF(ROWS(B$4:B96)&lt;=$B$2,INDEX(data!A$3:A$16128,SMALL(IF(data!$D$3:$D$16128='Надежда'!$B$1,ROW(data!$A$3:$A$16128)-ROW($A$3)+1),ROWS(B$4:B96))),"")</f>
        <v>MYPOS Бакалия</v>
      </c>
      <c r="C96" s="19">
        <f t="array" ref="C96">IF(ROWS(C$4:C96)&lt;=$B$2,INDEX(data!B$3:B$16128,SMALL(IF(data!$D$3:$D$16128='Надежда'!$B$1,ROW(data!$A$3:$A$16128)-ROW($A$3)+1),ROWS(C$4:C96))),"")</f>
        <v>-6180.74</v>
      </c>
      <c r="D96" s="7" t="str">
        <f t="array" ref="D96">IF(ROWS(D$4:D96)&lt;=$B$2,INDEX(data!E$3:E$16128,SMALL(IF(data!$D$3:$D$16128='Надежда'!$B$1,ROW(data!$A$3:$A$16128)-ROW($A$3)+1),ROWS(D$4:D96))),"")</f>
        <v/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>
        <f t="array" ref="A97">IF(ROWS(A$4:A97)&lt;=$B$2,INDEX(data!C$3:C$16128,SMALL(IF(data!$D$3:$D$16128='Надежда'!$B$1,ROW(data!$A$3:$A$16128)-ROW($A$3)+1),ROWS(A$4:A97))),"")</f>
        <v>46126</v>
      </c>
      <c r="B97" s="19" t="str">
        <f t="array" ref="B97">IF(ROWS(B$4:B97)&lt;=$B$2,INDEX(data!A$3:A$16128,SMALL(IF(data!$D$3:$D$16128='Надежда'!$B$1,ROW(data!$A$3:$A$16128)-ROW($A$3)+1),ROWS(B$4:B97))),"")</f>
        <v>КАСОВА КНИГА</v>
      </c>
      <c r="C97" s="19">
        <f t="array" ref="C97">IF(ROWS(C$4:C97)&lt;=$B$2,INDEX(data!B$3:B$16128,SMALL(IF(data!$D$3:$D$16128='Надежда'!$B$1,ROW(data!$A$3:$A$16128)-ROW($A$3)+1),ROWS(C$4:C97))),"")</f>
        <v>-2500</v>
      </c>
      <c r="D97" s="7" t="str">
        <f t="array" ref="D97">IF(ROWS(D$4:D97)&lt;=$B$2,INDEX(data!E$3:E$16128,SMALL(IF(data!$D$3:$D$16128='Надежда'!$B$1,ROW(data!$A$3:$A$16128)-ROW($A$3)+1),ROWS(D$4:D97))),"")</f>
        <v/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>
        <f t="array" ref="A98">IF(ROWS(A$4:A98)&lt;=$B$2,INDEX(data!C$3:C$16128,SMALL(IF(data!$D$3:$D$16128='Надежда'!$B$1,ROW(data!$A$3:$A$16128)-ROW($A$3)+1),ROWS(A$4:A98))),"")</f>
        <v>46126</v>
      </c>
      <c r="B98" s="19" t="str">
        <f t="array" ref="B98">IF(ROWS(B$4:B98)&lt;=$B$2,INDEX(data!A$3:A$16128,SMALL(IF(data!$D$3:$D$16128='Надежда'!$B$1,ROW(data!$A$3:$A$16128)-ROW($A$3)+1),ROWS(B$4:B98))),"")</f>
        <v>ПОС ДСК Бакалия</v>
      </c>
      <c r="C98" s="19">
        <f t="array" ref="C98">IF(ROWS(C$4:C98)&lt;=$B$2,INDEX(data!B$3:B$16128,SMALL(IF(data!$D$3:$D$16128='Надежда'!$B$1,ROW(data!$A$3:$A$16128)-ROW($A$3)+1),ROWS(C$4:C98))),"")</f>
        <v>-568.02</v>
      </c>
      <c r="D98" s="7" t="str">
        <f t="array" ref="D98">IF(ROWS(D$4:D98)&lt;=$B$2,INDEX(data!E$3:E$16128,SMALL(IF(data!$D$3:$D$16128='Надежда'!$B$1,ROW(data!$A$3:$A$16128)-ROW($A$3)+1),ROWS(D$4:D98))),"")</f>
        <v/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>
        <f t="array" ref="A99">IF(ROWS(A$4:A99)&lt;=$B$2,INDEX(data!C$3:C$16128,SMALL(IF(data!$D$3:$D$16128='Надежда'!$B$1,ROW(data!$A$3:$A$16128)-ROW($A$3)+1),ROWS(A$4:A99))),"")</f>
        <v>46132</v>
      </c>
      <c r="B99" s="19" t="str">
        <f t="array" ref="B99">IF(ROWS(B$4:B99)&lt;=$B$2,INDEX(data!A$3:A$16128,SMALL(IF(data!$D$3:$D$16128='Надежда'!$B$1,ROW(data!$A$3:$A$16128)-ROW($A$3)+1),ROWS(B$4:B99))),"")</f>
        <v>КАСОВА КНИГА</v>
      </c>
      <c r="C99" s="19">
        <f t="array" ref="C99">IF(ROWS(C$4:C99)&lt;=$B$2,INDEX(data!B$3:B$16128,SMALL(IF(data!$D$3:$D$16128='Надежда'!$B$1,ROW(data!$A$3:$A$16128)-ROW($A$3)+1),ROWS(C$4:C99))),"")</f>
        <v>-1500</v>
      </c>
      <c r="D99" s="7" t="str">
        <f t="array" ref="D99">IF(ROWS(D$4:D99)&lt;=$B$2,INDEX(data!E$3:E$16128,SMALL(IF(data!$D$3:$D$16128='Надежда'!$B$1,ROW(data!$A$3:$A$16128)-ROW($A$3)+1),ROWS(D$4:D99))),"")</f>
        <v/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>
        <f t="array" ref="A100">IF(ROWS(A$4:A100)&lt;=$B$2,INDEX(data!C$3:C$16128,SMALL(IF(data!$D$3:$D$16128='Надежда'!$B$1,ROW(data!$A$3:$A$16128)-ROW($A$3)+1),ROWS(A$4:A100))),"")</f>
        <v>46132</v>
      </c>
      <c r="B100" s="19" t="str">
        <f t="array" ref="B100">IF(ROWS(B$4:B100)&lt;=$B$2,INDEX(data!A$3:A$16128,SMALL(IF(data!$D$3:$D$16128='Надежда'!$B$1,ROW(data!$A$3:$A$16128)-ROW($A$3)+1),ROWS(B$4:B100))),"")</f>
        <v>каса ФИКТИВНА</v>
      </c>
      <c r="C100" s="19">
        <f t="array" ref="C100">IF(ROWS(C$4:C100)&lt;=$B$2,INDEX(data!B$3:B$16128,SMALL(IF(data!$D$3:$D$16128='Надежда'!$B$1,ROW(data!$A$3:$A$16128)-ROW($A$3)+1),ROWS(C$4:C100))),"")</f>
        <v>-500</v>
      </c>
      <c r="D100" s="7" t="str">
        <f t="array" ref="D100">IF(ROWS(D$4:D100)&lt;=$B$2,INDEX(data!E$3:E$16128,SMALL(IF(data!$D$3:$D$16128='Надежда'!$B$1,ROW(data!$A$3:$A$16128)-ROW($A$3)+1),ROWS(D$4:D100))),"")</f>
        <v>Сашо пилето</v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>
        <f t="array" ref="A101">IF(ROWS(A$4:A101)&lt;=$B$2,INDEX(data!C$3:C$16128,SMALL(IF(data!$D$3:$D$16128='Надежда'!$B$1,ROW(data!$A$3:$A$16128)-ROW($A$3)+1),ROWS(A$4:A101))),"")</f>
        <v>46132</v>
      </c>
      <c r="B101" s="19" t="str">
        <f t="array" ref="B101">IF(ROWS(B$4:B101)&lt;=$B$2,INDEX(data!A$3:A$16128,SMALL(IF(data!$D$3:$D$16128='Надежда'!$B$1,ROW(data!$A$3:$A$16128)-ROW($A$3)+1),ROWS(B$4:B101))),"")</f>
        <v>MYPOS Бакалия</v>
      </c>
      <c r="C101" s="19">
        <f t="array" ref="C101">IF(ROWS(C$4:C101)&lt;=$B$2,INDEX(data!B$3:B$16128,SMALL(IF(data!$D$3:$D$16128='Надежда'!$B$1,ROW(data!$A$3:$A$16128)-ROW($A$3)+1),ROWS(C$4:C101))),"")</f>
        <v>-7032.81</v>
      </c>
      <c r="D101" s="7" t="str">
        <f t="array" ref="D101">IF(ROWS(D$4:D101)&lt;=$B$2,INDEX(data!E$3:E$16128,SMALL(IF(data!$D$3:$D$16128='Надежда'!$B$1,ROW(data!$A$3:$A$16128)-ROW($A$3)+1),ROWS(D$4:D101))),"")</f>
        <v/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>
        <f t="array" ref="A102">IF(ROWS(A$4:A102)&lt;=$B$2,INDEX(data!C$3:C$16128,SMALL(IF(data!$D$3:$D$16128='Надежда'!$B$1,ROW(data!$A$3:$A$16128)-ROW($A$3)+1),ROWS(A$4:A102))),"")</f>
        <v>46134</v>
      </c>
      <c r="B102" s="19" t="str">
        <f t="array" ref="B102">IF(ROWS(B$4:B102)&lt;=$B$2,INDEX(data!A$3:A$16128,SMALL(IF(data!$D$3:$D$16128='Надежда'!$B$1,ROW(data!$A$3:$A$16128)-ROW($A$3)+1),ROWS(B$4:B102))),"")</f>
        <v>КАСОВА КНИГА</v>
      </c>
      <c r="C102" s="19">
        <f t="array" ref="C102">IF(ROWS(C$4:C102)&lt;=$B$2,INDEX(data!B$3:B$16128,SMALL(IF(data!$D$3:$D$16128='Надежда'!$B$1,ROW(data!$A$3:$A$16128)-ROW($A$3)+1),ROWS(C$4:C102))),"")</f>
        <v>-500</v>
      </c>
      <c r="D102" s="7" t="str">
        <f t="array" ref="D102">IF(ROWS(D$4:D102)&lt;=$B$2,INDEX(data!E$3:E$16128,SMALL(IF(data!$D$3:$D$16128='Надежда'!$B$1,ROW(data!$A$3:$A$16128)-ROW($A$3)+1),ROWS(D$4:D102))),"")</f>
        <v/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>
        <f t="array" ref="A103">IF(ROWS(A$4:A103)&lt;=$B$2,INDEX(data!C$3:C$16128,SMALL(IF(data!$D$3:$D$16128='Надежда'!$B$1,ROW(data!$A$3:$A$16128)-ROW($A$3)+1),ROWS(A$4:A103))),"")</f>
        <v>46134</v>
      </c>
      <c r="B103" s="19" t="str">
        <f t="array" ref="B103">IF(ROWS(B$4:B103)&lt;=$B$2,INDEX(data!A$3:A$16128,SMALL(IF(data!$D$3:$D$16128='Надежда'!$B$1,ROW(data!$A$3:$A$16128)-ROW($A$3)+1),ROWS(B$4:B103))),"")</f>
        <v>Каса ВАУЧЕРИ</v>
      </c>
      <c r="C103" s="19">
        <f t="array" ref="C103">IF(ROWS(C$4:C103)&lt;=$B$2,INDEX(data!B$3:B$16128,SMALL(IF(data!$D$3:$D$16128='Надежда'!$B$1,ROW(data!$A$3:$A$16128)-ROW($A$3)+1),ROWS(C$4:C103))),"")</f>
        <v>900</v>
      </c>
      <c r="D103" s="7" t="str">
        <f t="array" ref="D103">IF(ROWS(D$4:D103)&lt;=$B$2,INDEX(data!E$3:E$16128,SMALL(IF(data!$D$3:$D$16128='Надежда'!$B$1,ROW(data!$A$3:$A$16128)-ROW($A$3)+1),ROWS(D$4:D103))),"")</f>
        <v>ваучери персонал</v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>
        <f t="array" ref="A104">IF(ROWS(A$4:A104)&lt;=$B$2,INDEX(data!C$3:C$16128,SMALL(IF(data!$D$3:$D$16128='Надежда'!$B$1,ROW(data!$A$3:$A$16128)-ROW($A$3)+1),ROWS(A$4:A104))),"")</f>
        <v>46135</v>
      </c>
      <c r="B104" s="19" t="str">
        <f t="array" ref="B104">IF(ROWS(B$4:B104)&lt;=$B$2,INDEX(data!A$3:A$16128,SMALL(IF(data!$D$3:$D$16128='Надежда'!$B$1,ROW(data!$A$3:$A$16128)-ROW($A$3)+1),ROWS(B$4:B104))),"")</f>
        <v>Каса ВАУЧЕРИ</v>
      </c>
      <c r="C104" s="19">
        <f t="array" ref="C104">IF(ROWS(C$4:C104)&lt;=$B$2,INDEX(data!B$3:B$16128,SMALL(IF(data!$D$3:$D$16128='Надежда'!$B$1,ROW(data!$A$3:$A$16128)-ROW($A$3)+1),ROWS(C$4:C104))),"")</f>
        <v>-5</v>
      </c>
      <c r="D104" s="36">
        <f t="array" ref="D104">IF(ROWS(D$4:D104)&lt;=$B$2,INDEX(data!E$3:E$16128,SMALL(IF(data!$D$3:$D$16128='Надежда'!$B$1,ROW(data!$A$3:$A$16128)-ROW($A$3)+1),ROWS(D$4:D104))),"")</f>
        <v>38327</v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>
        <f t="array" ref="A105">IF(ROWS(A$4:A105)&lt;=$B$2,INDEX(data!C$3:C$16128,SMALL(IF(data!$D$3:$D$16128='Надежда'!$B$1,ROW(data!$A$3:$A$16128)-ROW($A$3)+1),ROWS(A$4:A105))),"")</f>
        <v>46135</v>
      </c>
      <c r="B105" s="19" t="str">
        <f t="array" ref="B105">IF(ROWS(B$4:B105)&lt;=$B$2,INDEX(data!A$3:A$16128,SMALL(IF(data!$D$3:$D$16128='Надежда'!$B$1,ROW(data!$A$3:$A$16128)-ROW($A$3)+1),ROWS(B$4:B105))),"")</f>
        <v>Каса ВАУЧЕРИ</v>
      </c>
      <c r="C105" s="19">
        <f t="array" ref="C105">IF(ROWS(C$4:C105)&lt;=$B$2,INDEX(data!B$3:B$16128,SMALL(IF(data!$D$3:$D$16128='Надежда'!$B$1,ROW(data!$A$3:$A$16128)-ROW($A$3)+1),ROWS(C$4:C105))),"")</f>
        <v>-31.5</v>
      </c>
      <c r="D105" s="7" t="str">
        <f t="array" ref="D105">IF(ROWS(D$4:D105)&lt;=$B$2,INDEX(data!E$3:E$16128,SMALL(IF(data!$D$3:$D$16128='Надежда'!$B$1,ROW(data!$A$3:$A$16128)-ROW($A$3)+1),ROWS(D$4:D105))),"")</f>
        <v>23-29.03</v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>
        <f t="array" ref="A106">IF(ROWS(A$4:A106)&lt;=$B$2,INDEX(data!C$3:C$16128,SMALL(IF(data!$D$3:$D$16128='Надежда'!$B$1,ROW(data!$A$3:$A$16128)-ROW($A$3)+1),ROWS(A$4:A106))),"")</f>
        <v>46135</v>
      </c>
      <c r="B106" s="19" t="str">
        <f t="array" ref="B106">IF(ROWS(B$4:B106)&lt;=$B$2,INDEX(data!A$3:A$16128,SMALL(IF(data!$D$3:$D$16128='Надежда'!$B$1,ROW(data!$A$3:$A$16128)-ROW($A$3)+1),ROWS(B$4:B106))),"")</f>
        <v>Каса ВАУЧЕРИ</v>
      </c>
      <c r="C106" s="19">
        <f t="array" ref="C106">IF(ROWS(C$4:C106)&lt;=$B$2,INDEX(data!B$3:B$16128,SMALL(IF(data!$D$3:$D$16128='Надежда'!$B$1,ROW(data!$A$3:$A$16128)-ROW($A$3)+1),ROWS(C$4:C106))),"")</f>
        <v>-2</v>
      </c>
      <c r="D106" s="7" t="str">
        <f t="array" ref="D106">IF(ROWS(D$4:D106)&lt;=$B$2,INDEX(data!E$3:E$16128,SMALL(IF(data!$D$3:$D$16128='Надежда'!$B$1,ROW(data!$A$3:$A$16128)-ROW($A$3)+1),ROWS(D$4:D106))),"")</f>
        <v>30.03-05.04</v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>
        <f t="array" ref="A107">IF(ROWS(A$4:A107)&lt;=$B$2,INDEX(data!C$3:C$16128,SMALL(IF(data!$D$3:$D$16128='Надежда'!$B$1,ROW(data!$A$3:$A$16128)-ROW($A$3)+1),ROWS(A$4:A107))),"")</f>
        <v>46135</v>
      </c>
      <c r="B107" s="19" t="str">
        <f t="array" ref="B107">IF(ROWS(B$4:B107)&lt;=$B$2,INDEX(data!A$3:A$16128,SMALL(IF(data!$D$3:$D$16128='Надежда'!$B$1,ROW(data!$A$3:$A$16128)-ROW($A$3)+1),ROWS(B$4:B107))),"")</f>
        <v>каса ФИКТИВНА</v>
      </c>
      <c r="C107" s="19">
        <f t="array" ref="C107">IF(ROWS(C$4:C107)&lt;=$B$2,INDEX(data!B$3:B$16128,SMALL(IF(data!$D$3:$D$16128='Надежда'!$B$1,ROW(data!$A$3:$A$16128)-ROW($A$3)+1),ROWS(C$4:C107))),"")</f>
        <v>-154</v>
      </c>
      <c r="D107" s="7" t="str">
        <f t="array" ref="D107">IF(ROWS(D$4:D107)&lt;=$B$2,INDEX(data!E$3:E$16128,SMALL(IF(data!$D$3:$D$16128='Надежда'!$B$1,ROW(data!$A$3:$A$16128)-ROW($A$3)+1),ROWS(D$4:D107))),"")</f>
        <v>колет Ния</v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>
        <f t="array" ref="A108">IF(ROWS(A$4:A108)&lt;=$B$2,INDEX(data!C$3:C$16128,SMALL(IF(data!$D$3:$D$16128='Надежда'!$B$1,ROW(data!$A$3:$A$16128)-ROW($A$3)+1),ROWS(A$4:A108))),"")</f>
        <v>46139</v>
      </c>
      <c r="B108" s="19" t="str">
        <f t="array" ref="B108">IF(ROWS(B$4:B108)&lt;=$B$2,INDEX(data!A$3:A$16128,SMALL(IF(data!$D$3:$D$16128='Надежда'!$B$1,ROW(data!$A$3:$A$16128)-ROW($A$3)+1),ROWS(B$4:B108))),"")</f>
        <v>MYPOS Бакалия</v>
      </c>
      <c r="C108" s="19">
        <f t="array" ref="C108">IF(ROWS(C$4:C108)&lt;=$B$2,INDEX(data!B$3:B$16128,SMALL(IF(data!$D$3:$D$16128='Надежда'!$B$1,ROW(data!$A$3:$A$16128)-ROW($A$3)+1),ROWS(C$4:C108))),"")</f>
        <v>-7915.34</v>
      </c>
      <c r="D108" s="7" t="str">
        <f t="array" ref="D108">IF(ROWS(D$4:D108)&lt;=$B$2,INDEX(data!E$3:E$16128,SMALL(IF(data!$D$3:$D$16128='Надежда'!$B$1,ROW(data!$A$3:$A$16128)-ROW($A$3)+1),ROWS(D$4:D108))),"")</f>
        <v/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>
        <f t="array" ref="A109">IF(ROWS(A$4:A109)&lt;=$B$2,INDEX(data!C$3:C$16128,SMALL(IF(data!$D$3:$D$16128='Надежда'!$B$1,ROW(data!$A$3:$A$16128)-ROW($A$3)+1),ROWS(A$4:A109))),"")</f>
        <v>46139</v>
      </c>
      <c r="B109" s="19" t="str">
        <f t="array" ref="B109">IF(ROWS(B$4:B109)&lt;=$B$2,INDEX(data!A$3:A$16128,SMALL(IF(data!$D$3:$D$16128='Надежда'!$B$1,ROW(data!$A$3:$A$16128)-ROW($A$3)+1),ROWS(B$4:B109))),"")</f>
        <v>КАСОВА КНИГА</v>
      </c>
      <c r="C109" s="19">
        <f t="array" ref="C109">IF(ROWS(C$4:C109)&lt;=$B$2,INDEX(data!B$3:B$16128,SMALL(IF(data!$D$3:$D$16128='Надежда'!$B$1,ROW(data!$A$3:$A$16128)-ROW($A$3)+1),ROWS(C$4:C109))),"")</f>
        <v>-1499.997</v>
      </c>
      <c r="D109" s="7" t="str">
        <f t="array" ref="D109">IF(ROWS(D$4:D109)&lt;=$B$2,INDEX(data!E$3:E$16128,SMALL(IF(data!$D$3:$D$16128='Надежда'!$B$1,ROW(data!$A$3:$A$16128)-ROW($A$3)+1),ROWS(D$4:D109))),"")</f>
        <v/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>
        <f t="array" ref="A110">IF(ROWS(A$4:A110)&lt;=$B$2,INDEX(data!C$3:C$16128,SMALL(IF(data!$D$3:$D$16128='Надежда'!$B$1,ROW(data!$A$3:$A$16128)-ROW($A$3)+1),ROWS(A$4:A110))),"")</f>
        <v>46143</v>
      </c>
      <c r="B110" s="19" t="str">
        <f t="array" ref="B110">IF(ROWS(B$4:B110)&lt;=$B$2,INDEX(data!A$3:A$16128,SMALL(IF(data!$D$3:$D$16128='Надежда'!$B$1,ROW(data!$A$3:$A$16128)-ROW($A$3)+1),ROWS(B$4:B110))),"")</f>
        <v>КАСОВА КНИГА</v>
      </c>
      <c r="C110" s="19">
        <f t="array" ref="C110">IF(ROWS(C$4:C110)&lt;=$B$2,INDEX(data!B$3:B$16128,SMALL(IF(data!$D$3:$D$16128='Надежда'!$B$1,ROW(data!$A$3:$A$16128)-ROW($A$3)+1),ROWS(C$4:C110))),"")</f>
        <v>-500</v>
      </c>
      <c r="D110" s="7" t="str">
        <f t="array" ref="D110">IF(ROWS(D$4:D110)&lt;=$B$2,INDEX(data!E$3:E$16128,SMALL(IF(data!$D$3:$D$16128='Надежда'!$B$1,ROW(data!$A$3:$A$16128)-ROW($A$3)+1),ROWS(D$4:D110))),"")</f>
        <v/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>
        <f t="array" ref="A111">IF(ROWS(A$4:A111)&lt;=$B$2,INDEX(data!C$3:C$16128,SMALL(IF(data!$D$3:$D$16128='Надежда'!$B$1,ROW(data!$A$3:$A$16128)-ROW($A$3)+1),ROWS(A$4:A111))),"")</f>
        <v>46146</v>
      </c>
      <c r="B111" s="19" t="str">
        <f t="array" ref="B111">IF(ROWS(B$4:B111)&lt;=$B$2,INDEX(data!A$3:A$16128,SMALL(IF(data!$D$3:$D$16128='Надежда'!$B$1,ROW(data!$A$3:$A$16128)-ROW($A$3)+1),ROWS(B$4:B111))),"")</f>
        <v>MYPOS Бакалия</v>
      </c>
      <c r="C111" s="19">
        <f t="array" ref="C111">IF(ROWS(C$4:C111)&lt;=$B$2,INDEX(data!B$3:B$16128,SMALL(IF(data!$D$3:$D$16128='Надежда'!$B$1,ROW(data!$A$3:$A$16128)-ROW($A$3)+1),ROWS(C$4:C111))),"")</f>
        <v>-7380.75</v>
      </c>
      <c r="D111" s="7" t="str">
        <f t="array" ref="D111">IF(ROWS(D$4:D111)&lt;=$B$2,INDEX(data!E$3:E$16128,SMALL(IF(data!$D$3:$D$16128='Надежда'!$B$1,ROW(data!$A$3:$A$16128)-ROW($A$3)+1),ROWS(D$4:D111))),"")</f>
        <v/>
      </c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>
        <f t="array" ref="A112">IF(ROWS(A$4:A112)&lt;=$B$2,INDEX(data!C$3:C$16128,SMALL(IF(data!$D$3:$D$16128='Надежда'!$B$1,ROW(data!$A$3:$A$16128)-ROW($A$3)+1),ROWS(A$4:A112))),"")</f>
        <v>46146</v>
      </c>
      <c r="B112" s="19" t="str">
        <f t="array" ref="B112">IF(ROWS(B$4:B112)&lt;=$B$2,INDEX(data!A$3:A$16128,SMALL(IF(data!$D$3:$D$16128='Надежда'!$B$1,ROW(data!$A$3:$A$16128)-ROW($A$3)+1),ROWS(B$4:B112))),"")</f>
        <v>КАСОВА КНИГА</v>
      </c>
      <c r="C112" s="19">
        <f t="array" ref="C112">IF(ROWS(C$4:C112)&lt;=$B$2,INDEX(data!B$3:B$16128,SMALL(IF(data!$D$3:$D$16128='Надежда'!$B$1,ROW(data!$A$3:$A$16128)-ROW($A$3)+1),ROWS(C$4:C112))),"")</f>
        <v>-1000</v>
      </c>
      <c r="D112" s="7" t="str">
        <f t="array" ref="D112">IF(ROWS(D$4:D112)&lt;=$B$2,INDEX(data!E$3:E$16128,SMALL(IF(data!$D$3:$D$16128='Надежда'!$B$1,ROW(data!$A$3:$A$16128)-ROW($A$3)+1),ROWS(D$4:D112))),"")</f>
        <v/>
      </c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3">
        <f t="array" ref="A113">IF(ROWS(A$4:A113)&lt;=$B$2,INDEX(data!C$3:C$16128,SMALL(IF(data!$D$3:$D$16128='Надежда'!$B$1,ROW(data!$A$3:$A$16128)-ROW($A$3)+1),ROWS(A$4:A113))),"")</f>
        <v>46146</v>
      </c>
      <c r="B113" s="19" t="str">
        <f t="array" ref="B113">IF(ROWS(B$4:B113)&lt;=$B$2,INDEX(data!A$3:A$16128,SMALL(IF(data!$D$3:$D$16128='Надежда'!$B$1,ROW(data!$A$3:$A$16128)-ROW($A$3)+1),ROWS(B$4:B113))),"")</f>
        <v>каса ФИКТИВНА</v>
      </c>
      <c r="C113" s="19">
        <f t="array" ref="C113">IF(ROWS(C$4:C113)&lt;=$B$2,INDEX(data!B$3:B$16128,SMALL(IF(data!$D$3:$D$16128='Надежда'!$B$1,ROW(data!$A$3:$A$16128)-ROW($A$3)+1),ROWS(C$4:C113))),"")</f>
        <v>-67.9</v>
      </c>
      <c r="D113" s="7" t="str">
        <f t="array" ref="D113">IF(ROWS(D$4:D113)&lt;=$B$2,INDEX(data!E$3:E$16128,SMALL(IF(data!$D$3:$D$16128='Надежда'!$B$1,ROW(data!$A$3:$A$16128)-ROW($A$3)+1),ROWS(D$4:D113))),"")</f>
        <v>коле Ния</v>
      </c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3">
        <f t="array" ref="A114">IF(ROWS(A$4:A114)&lt;=$B$2,INDEX(data!C$3:C$16128,SMALL(IF(data!$D$3:$D$16128='Надежда'!$B$1,ROW(data!$A$3:$A$16128)-ROW($A$3)+1),ROWS(A$4:A114))),"")</f>
        <v>46148</v>
      </c>
      <c r="B114" s="19" t="str">
        <f t="array" ref="B114">IF(ROWS(B$4:B114)&lt;=$B$2,INDEX(data!A$3:A$16128,SMALL(IF(data!$D$3:$D$16128='Надежда'!$B$1,ROW(data!$A$3:$A$16128)-ROW($A$3)+1),ROWS(B$4:B114))),"")</f>
        <v>ЗАЕМ</v>
      </c>
      <c r="C114" s="19">
        <f t="array" ref="C114">IF(ROWS(C$4:C114)&lt;=$B$2,INDEX(data!B$3:B$16128,SMALL(IF(data!$D$3:$D$16128='Надежда'!$B$1,ROW(data!$A$3:$A$16128)-ROW($A$3)+1),ROWS(C$4:C114))),"")</f>
        <v>52727.92</v>
      </c>
      <c r="D114" s="7" t="str">
        <f t="array" ref="D114">IF(ROWS(D$4:D114)&lt;=$B$2,INDEX(data!E$3:E$16128,SMALL(IF(data!$D$3:$D$16128='Надежда'!$B$1,ROW(data!$A$3:$A$16128)-ROW($A$3)+1),ROWS(D$4:D114))),"")</f>
        <v>Салдо склад + вътр. п-не</v>
      </c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>
        <f t="array" ref="A115">IF(ROWS(A$4:A115)&lt;=$B$2,INDEX(data!C$3:C$16128,SMALL(IF(data!$D$3:$D$16128='Надежда'!$B$1,ROW(data!$A$3:$A$16128)-ROW($A$3)+1),ROWS(A$4:A115))),"")</f>
        <v>46149</v>
      </c>
      <c r="B115" s="19" t="str">
        <f t="array" ref="B115">IF(ROWS(B$4:B115)&lt;=$B$2,INDEX(data!A$3:A$16128,SMALL(IF(data!$D$3:$D$16128='Надежда'!$B$1,ROW(data!$A$3:$A$16128)-ROW($A$3)+1),ROWS(B$4:B115))),"")</f>
        <v>КАСОВА КНИГА</v>
      </c>
      <c r="C115" s="19">
        <f t="array" ref="C115">IF(ROWS(C$4:C115)&lt;=$B$2,INDEX(data!B$3:B$16128,SMALL(IF(data!$D$3:$D$16128='Надежда'!$B$1,ROW(data!$A$3:$A$16128)-ROW($A$3)+1),ROWS(C$4:C115))),"")</f>
        <v>-500</v>
      </c>
      <c r="D115" s="7" t="str">
        <f t="array" ref="D115">IF(ROWS(D$4:D115)&lt;=$B$2,INDEX(data!E$3:E$16128,SMALL(IF(data!$D$3:$D$16128='Надежда'!$B$1,ROW(data!$A$3:$A$16128)-ROW($A$3)+1),ROWS(D$4:D115))),"")</f>
        <v/>
      </c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>
        <f t="array" ref="A116">IF(ROWS(A$4:A116)&lt;=$B$2,INDEX(data!C$3:C$16128,SMALL(IF(data!$D$3:$D$16128='Надежда'!$B$1,ROW(data!$A$3:$A$16128)-ROW($A$3)+1),ROWS(A$4:A116))),"")</f>
        <v>46149</v>
      </c>
      <c r="B116" s="19" t="str">
        <f t="array" ref="B116">IF(ROWS(B$4:B116)&lt;=$B$2,INDEX(data!A$3:A$16128,SMALL(IF(data!$D$3:$D$16128='Надежда'!$B$1,ROW(data!$A$3:$A$16128)-ROW($A$3)+1),ROWS(B$4:B116))),"")</f>
        <v>Каса ВАУЧЕРИ</v>
      </c>
      <c r="C116" s="19">
        <f t="array" ref="C116">IF(ROWS(C$4:C116)&lt;=$B$2,INDEX(data!B$3:B$16128,SMALL(IF(data!$D$3:$D$16128='Надежда'!$B$1,ROW(data!$A$3:$A$16128)-ROW($A$3)+1),ROWS(C$4:C116))),"")</f>
        <v>-10</v>
      </c>
      <c r="D116" s="7" t="str">
        <f t="array" ref="D116">IF(ROWS(D$4:D116)&lt;=$B$2,INDEX(data!E$3:E$16128,SMALL(IF(data!$D$3:$D$16128='Надежда'!$B$1,ROW(data!$A$3:$A$16128)-ROW($A$3)+1),ROWS(D$4:D116))),"")</f>
        <v>към 20.04</v>
      </c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>
        <f t="array" ref="A117">IF(ROWS(A$4:A117)&lt;=$B$2,INDEX(data!C$3:C$16128,SMALL(IF(data!$D$3:$D$16128='Надежда'!$B$1,ROW(data!$A$3:$A$16128)-ROW($A$3)+1),ROWS(A$4:A117))),"")</f>
        <v>46153</v>
      </c>
      <c r="B117" s="19" t="str">
        <f t="array" ref="B117">IF(ROWS(B$4:B117)&lt;=$B$2,INDEX(data!A$3:A$16128,SMALL(IF(data!$D$3:$D$16128='Надежда'!$B$1,ROW(data!$A$3:$A$16128)-ROW($A$3)+1),ROWS(B$4:B117))),"")</f>
        <v>MYPOS Бакалия</v>
      </c>
      <c r="C117" s="19">
        <f t="array" ref="C117">IF(ROWS(C$4:C117)&lt;=$B$2,INDEX(data!B$3:B$16128,SMALL(IF(data!$D$3:$D$16128='Надежда'!$B$1,ROW(data!$A$3:$A$16128)-ROW($A$3)+1),ROWS(C$4:C117))),"")</f>
        <v>-7445.59</v>
      </c>
      <c r="D117" s="7" t="str">
        <f t="array" ref="D117">IF(ROWS(D$4:D117)&lt;=$B$2,INDEX(data!E$3:E$16128,SMALL(IF(data!$D$3:$D$16128='Надежда'!$B$1,ROW(data!$A$3:$A$16128)-ROW($A$3)+1),ROWS(D$4:D117))),"")</f>
        <v/>
      </c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>
        <f t="array" ref="A118">IF(ROWS(A$4:A118)&lt;=$B$2,INDEX(data!C$3:C$16128,SMALL(IF(data!$D$3:$D$16128='Надежда'!$B$1,ROW(data!$A$3:$A$16128)-ROW($A$3)+1),ROWS(A$4:A118))),"")</f>
        <v>46153</v>
      </c>
      <c r="B118" s="19" t="str">
        <f t="array" ref="B118">IF(ROWS(B$4:B118)&lt;=$B$2,INDEX(data!A$3:A$16128,SMALL(IF(data!$D$3:$D$16128='Надежда'!$B$1,ROW(data!$A$3:$A$16128)-ROW($A$3)+1),ROWS(B$4:B118))),"")</f>
        <v>КАСОВА КНИГА</v>
      </c>
      <c r="C118" s="19">
        <f t="array" ref="C118">IF(ROWS(C$4:C118)&lt;=$B$2,INDEX(data!B$3:B$16128,SMALL(IF(data!$D$3:$D$16128='Надежда'!$B$1,ROW(data!$A$3:$A$16128)-ROW($A$3)+1),ROWS(C$4:C118))),"")</f>
        <v>-1500</v>
      </c>
      <c r="D118" s="7" t="str">
        <f t="array" ref="D118">IF(ROWS(D$4:D118)&lt;=$B$2,INDEX(data!E$3:E$16128,SMALL(IF(data!$D$3:$D$16128='Надежда'!$B$1,ROW(data!$A$3:$A$16128)-ROW($A$3)+1),ROWS(D$4:D118))),"")</f>
        <v/>
      </c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>
        <f t="array" ref="A119">IF(ROWS(A$4:A119)&lt;=$B$2,INDEX(data!C$3:C$16128,SMALL(IF(data!$D$3:$D$16128='Надежда'!$B$1,ROW(data!$A$3:$A$16128)-ROW($A$3)+1),ROWS(A$4:A119))),"")</f>
        <v>46155</v>
      </c>
      <c r="B119" s="19" t="str">
        <f t="array" ref="B119">IF(ROWS(B$4:B119)&lt;=$B$2,INDEX(data!A$3:A$16128,SMALL(IF(data!$D$3:$D$16128='Надежда'!$B$1,ROW(data!$A$3:$A$16128)-ROW($A$3)+1),ROWS(B$4:B119))),"")</f>
        <v>КАСОВА КНИГА</v>
      </c>
      <c r="C119" s="19">
        <f t="array" ref="C119">IF(ROWS(C$4:C119)&lt;=$B$2,INDEX(data!B$3:B$16128,SMALL(IF(data!$D$3:$D$16128='Надежда'!$B$1,ROW(data!$A$3:$A$16128)-ROW($A$3)+1),ROWS(C$4:C119))),"")</f>
        <v>-500</v>
      </c>
      <c r="D119" s="7" t="str">
        <f t="array" ref="D119">IF(ROWS(D$4:D119)&lt;=$B$2,INDEX(data!E$3:E$16128,SMALL(IF(data!$D$3:$D$16128='Надежда'!$B$1,ROW(data!$A$3:$A$16128)-ROW($A$3)+1),ROWS(D$4:D119))),"")</f>
        <v/>
      </c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>
        <f t="array" ref="A120">IF(ROWS(A$4:A120)&lt;=$B$2,INDEX(data!C$3:C$16128,SMALL(IF(data!$D$3:$D$16128='Надежда'!$B$1,ROW(data!$A$3:$A$16128)-ROW($A$3)+1),ROWS(A$4:A120))),"")</f>
        <v>46157</v>
      </c>
      <c r="B120" s="19" t="str">
        <f t="array" ref="B120">IF(ROWS(B$4:B120)&lt;=$B$2,INDEX(data!A$3:A$16128,SMALL(IF(data!$D$3:$D$16128='Надежда'!$B$1,ROW(data!$A$3:$A$16128)-ROW($A$3)+1),ROWS(B$4:B120))),"")</f>
        <v>КАСОВА КНИГА</v>
      </c>
      <c r="C120" s="19">
        <f t="array" ref="C120">IF(ROWS(C$4:C120)&lt;=$B$2,INDEX(data!B$3:B$16128,SMALL(IF(data!$D$3:$D$16128='Надежда'!$B$1,ROW(data!$A$3:$A$16128)-ROW($A$3)+1),ROWS(C$4:C120))),"")</f>
        <v>-1300</v>
      </c>
      <c r="D120" s="7" t="str">
        <f t="array" ref="D120">IF(ROWS(D$4:D120)&lt;=$B$2,INDEX(data!E$3:E$16128,SMALL(IF(data!$D$3:$D$16128='Надежда'!$B$1,ROW(data!$A$3:$A$16128)-ROW($A$3)+1),ROWS(D$4:D120))),"")</f>
        <v/>
      </c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3">
        <f t="array" ref="A121">IF(ROWS(A$4:A121)&lt;=$B$2,INDEX(data!C$3:C$16128,SMALL(IF(data!$D$3:$D$16128='Надежда'!$B$1,ROW(data!$A$3:$A$16128)-ROW($A$3)+1),ROWS(A$4:A121))),"")</f>
        <v>46157</v>
      </c>
      <c r="B121" s="19" t="str">
        <f t="array" ref="B121">IF(ROWS(B$4:B121)&lt;=$B$2,INDEX(data!A$3:A$16128,SMALL(IF(data!$D$3:$D$16128='Надежда'!$B$1,ROW(data!$A$3:$A$16128)-ROW($A$3)+1),ROWS(B$4:B121))),"")</f>
        <v>Каса ВАУЧЕРИ</v>
      </c>
      <c r="C121" s="19">
        <f t="array" ref="C121">IF(ROWS(C$4:C121)&lt;=$B$2,INDEX(data!B$3:B$16128,SMALL(IF(data!$D$3:$D$16128='Надежда'!$B$1,ROW(data!$A$3:$A$16128)-ROW($A$3)+1),ROWS(C$4:C121))),"")</f>
        <v>-20</v>
      </c>
      <c r="D121" s="7" t="str">
        <f t="array" ref="D121">IF(ROWS(D$4:D121)&lt;=$B$2,INDEX(data!E$3:E$16128,SMALL(IF(data!$D$3:$D$16128='Надежда'!$B$1,ROW(data!$A$3:$A$16128)-ROW($A$3)+1),ROWS(D$4:D121))),"")</f>
        <v/>
      </c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3">
        <f t="array" ref="A122">IF(ROWS(A$4:A122)&lt;=$B$2,INDEX(data!C$3:C$16128,SMALL(IF(data!$D$3:$D$16128='Надежда'!$B$1,ROW(data!$A$3:$A$16128)-ROW($A$3)+1),ROWS(A$4:A122))),"")</f>
        <v>46160</v>
      </c>
      <c r="B122" s="19" t="str">
        <f t="array" ref="B122">IF(ROWS(B$4:B122)&lt;=$B$2,INDEX(data!A$3:A$16128,SMALL(IF(data!$D$3:$D$16128='Надежда'!$B$1,ROW(data!$A$3:$A$16128)-ROW($A$3)+1),ROWS(B$4:B122))),"")</f>
        <v>MYPOS Бакалия</v>
      </c>
      <c r="C122" s="19">
        <f t="array" ref="C122">IF(ROWS(C$4:C122)&lt;=$B$2,INDEX(data!B$3:B$16128,SMALL(IF(data!$D$3:$D$16128='Надежда'!$B$1,ROW(data!$A$3:$A$16128)-ROW($A$3)+1),ROWS(C$4:C122))),"")</f>
        <v>-7626.91</v>
      </c>
      <c r="D122" s="7" t="str">
        <f t="array" ref="D122">IF(ROWS(D$4:D122)&lt;=$B$2,INDEX(data!E$3:E$16128,SMALL(IF(data!$D$3:$D$16128='Надежда'!$B$1,ROW(data!$A$3:$A$16128)-ROW($A$3)+1),ROWS(D$4:D122))),"")</f>
        <v/>
      </c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>
        <f t="array" ref="A123">IF(ROWS(A$4:A123)&lt;=$B$2,INDEX(data!C$3:C$16128,SMALL(IF(data!$D$3:$D$16128='Надежда'!$B$1,ROW(data!$A$3:$A$16128)-ROW($A$3)+1),ROWS(A$4:A123))),"")</f>
        <v>46160</v>
      </c>
      <c r="B123" s="19" t="str">
        <f t="array" ref="B123">IF(ROWS(B$4:B123)&lt;=$B$2,INDEX(data!A$3:A$16128,SMALL(IF(data!$D$3:$D$16128='Надежда'!$B$1,ROW(data!$A$3:$A$16128)-ROW($A$3)+1),ROWS(B$4:B123))),"")</f>
        <v>КАСОВА КНИГА</v>
      </c>
      <c r="C123" s="19">
        <f t="array" ref="C123">IF(ROWS(C$4:C123)&lt;=$B$2,INDEX(data!B$3:B$16128,SMALL(IF(data!$D$3:$D$16128='Надежда'!$B$1,ROW(data!$A$3:$A$16128)-ROW($A$3)+1),ROWS(C$4:C123))),"")</f>
        <v>-1500</v>
      </c>
      <c r="D123" s="7" t="str">
        <f t="array" ref="D123">IF(ROWS(D$4:D123)&lt;=$B$2,INDEX(data!E$3:E$16128,SMALL(IF(data!$D$3:$D$16128='Надежда'!$B$1,ROW(data!$A$3:$A$16128)-ROW($A$3)+1),ROWS(D$4:D123))),"")</f>
        <v/>
      </c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>
        <f t="array" ref="A124">IF(ROWS(A$4:A124)&lt;=$B$2,INDEX(data!C$3:C$16128,SMALL(IF(data!$D$3:$D$16128='Надежда'!$B$1,ROW(data!$A$3:$A$16128)-ROW($A$3)+1),ROWS(A$4:A124))),"")</f>
        <v>46162</v>
      </c>
      <c r="B124" s="19" t="str">
        <f t="array" ref="B124">IF(ROWS(B$4:B124)&lt;=$B$2,INDEX(data!A$3:A$16128,SMALL(IF(data!$D$3:$D$16128='Надежда'!$B$1,ROW(data!$A$3:$A$16128)-ROW($A$3)+1),ROWS(B$4:B124))),"")</f>
        <v>КАСОВА КНИГА</v>
      </c>
      <c r="C124" s="19">
        <f t="array" ref="C124">IF(ROWS(C$4:C124)&lt;=$B$2,INDEX(data!B$3:B$16128,SMALL(IF(data!$D$3:$D$16128='Надежда'!$B$1,ROW(data!$A$3:$A$16128)-ROW($A$3)+1),ROWS(C$4:C124))),"")</f>
        <v>-1500</v>
      </c>
      <c r="D124" s="7" t="str">
        <f t="array" ref="D124">IF(ROWS(D$4:D124)&lt;=$B$2,INDEX(data!E$3:E$16128,SMALL(IF(data!$D$3:$D$16128='Надежда'!$B$1,ROW(data!$A$3:$A$16128)-ROW($A$3)+1),ROWS(D$4:D124))),"")</f>
        <v/>
      </c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>
        <f t="array" ref="A125">IF(ROWS(A$4:A125)&lt;=$B$2,INDEX(data!C$3:C$16128,SMALL(IF(data!$D$3:$D$16128='Надежда'!$B$1,ROW(data!$A$3:$A$16128)-ROW($A$3)+1),ROWS(A$4:A125))),"")</f>
        <v>46162</v>
      </c>
      <c r="B125" s="19" t="str">
        <f t="array" ref="B125">IF(ROWS(B$4:B125)&lt;=$B$2,INDEX(data!A$3:A$16128,SMALL(IF(data!$D$3:$D$16128='Надежда'!$B$1,ROW(data!$A$3:$A$16128)-ROW($A$3)+1),ROWS(B$4:B125))),"")</f>
        <v>Каса ВАУЧЕРИ</v>
      </c>
      <c r="C125" s="19">
        <f t="array" ref="C125">IF(ROWS(C$4:C125)&lt;=$B$2,INDEX(data!B$3:B$16128,SMALL(IF(data!$D$3:$D$16128='Надежда'!$B$1,ROW(data!$A$3:$A$16128)-ROW($A$3)+1),ROWS(C$4:C125))),"")</f>
        <v>900</v>
      </c>
      <c r="D125" s="7" t="str">
        <f t="array" ref="D125">IF(ROWS(D$4:D125)&lt;=$B$2,INDEX(data!E$3:E$16128,SMALL(IF(data!$D$3:$D$16128='Надежда'!$B$1,ROW(data!$A$3:$A$16128)-ROW($A$3)+1),ROWS(D$4:D125))),"")</f>
        <v>ваучери персонал</v>
      </c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3">
        <f t="array" ref="A126">IF(ROWS(A$4:A126)&lt;=$B$2,INDEX(data!C$3:C$16128,SMALL(IF(data!$D$3:$D$16128='Надежда'!$B$1,ROW(data!$A$3:$A$16128)-ROW($A$3)+1),ROWS(A$4:A126))),"")</f>
        <v>46163</v>
      </c>
      <c r="B126" s="19" t="str">
        <f t="array" ref="B126">IF(ROWS(B$4:B126)&lt;=$B$2,INDEX(data!A$3:A$16128,SMALL(IF(data!$D$3:$D$16128='Надежда'!$B$1,ROW(data!$A$3:$A$16128)-ROW($A$3)+1),ROWS(B$4:B126))),"")</f>
        <v>Каса ВАУЧЕРИ</v>
      </c>
      <c r="C126" s="19">
        <f t="array" ref="C126">IF(ROWS(C$4:C126)&lt;=$B$2,INDEX(data!B$3:B$16128,SMALL(IF(data!$D$3:$D$16128='Надежда'!$B$1,ROW(data!$A$3:$A$16128)-ROW($A$3)+1),ROWS(C$4:C126))),"")</f>
        <v>-6.2</v>
      </c>
      <c r="D126" s="7" t="str">
        <f t="array" ref="D126">IF(ROWS(D$4:D126)&lt;=$B$2,INDEX(data!E$3:E$16128,SMALL(IF(data!$D$3:$D$16128='Надежда'!$B$1,ROW(data!$A$3:$A$16128)-ROW($A$3)+1),ROWS(D$4:D126))),"")</f>
        <v/>
      </c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3">
        <f t="array" ref="A127">IF(ROWS(A$4:A127)&lt;=$B$2,INDEX(data!C$3:C$16128,SMALL(IF(data!$D$3:$D$16128='Надежда'!$B$1,ROW(data!$A$3:$A$16128)-ROW($A$3)+1),ROWS(A$4:A127))),"")</f>
        <v>46167</v>
      </c>
      <c r="B127" s="19" t="str">
        <f t="array" ref="B127">IF(ROWS(B$4:B127)&lt;=$B$2,INDEX(data!A$3:A$16128,SMALL(IF(data!$D$3:$D$16128='Надежда'!$B$1,ROW(data!$A$3:$A$16128)-ROW($A$3)+1),ROWS(B$4:B127))),"")</f>
        <v>MYPOS Бакалия</v>
      </c>
      <c r="C127" s="19">
        <f t="array" ref="C127">IF(ROWS(C$4:C127)&lt;=$B$2,INDEX(data!B$3:B$16128,SMALL(IF(data!$D$3:$D$16128='Надежда'!$B$1,ROW(data!$A$3:$A$16128)-ROW($A$3)+1),ROWS(C$4:C127))),"")</f>
        <v>-8098.89</v>
      </c>
      <c r="D127" s="7" t="str">
        <f t="array" ref="D127">IF(ROWS(D$4:D127)&lt;=$B$2,INDEX(data!E$3:E$16128,SMALL(IF(data!$D$3:$D$16128='Надежда'!$B$1,ROW(data!$A$3:$A$16128)-ROW($A$3)+1),ROWS(D$4:D127))),"")</f>
        <v/>
      </c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3">
        <f t="array" ref="A128">IF(ROWS(A$4:A128)&lt;=$B$2,INDEX(data!C$3:C$16128,SMALL(IF(data!$D$3:$D$16128='Надежда'!$B$1,ROW(data!$A$3:$A$16128)-ROW($A$3)+1),ROWS(A$4:A128))),"")</f>
        <v>46168</v>
      </c>
      <c r="B128" s="19" t="str">
        <f t="array" ref="B128">IF(ROWS(B$4:B128)&lt;=$B$2,INDEX(data!A$3:A$16128,SMALL(IF(data!$D$3:$D$16128='Надежда'!$B$1,ROW(data!$A$3:$A$16128)-ROW($A$3)+1),ROWS(B$4:B128))),"")</f>
        <v>КАСОВА КНИГА</v>
      </c>
      <c r="C128" s="19">
        <f t="array" ref="C128">IF(ROWS(C$4:C128)&lt;=$B$2,INDEX(data!B$3:B$16128,SMALL(IF(data!$D$3:$D$16128='Надежда'!$B$1,ROW(data!$A$3:$A$16128)-ROW($A$3)+1),ROWS(C$4:C128))),"")</f>
        <v>-1500</v>
      </c>
      <c r="D128" s="7" t="str">
        <f t="array" ref="D128">IF(ROWS(D$4:D128)&lt;=$B$2,INDEX(data!E$3:E$16128,SMALL(IF(data!$D$3:$D$16128='Надежда'!$B$1,ROW(data!$A$3:$A$16128)-ROW($A$3)+1),ROWS(D$4:D128))),"")</f>
        <v/>
      </c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3">
        <f t="array" ref="A129">IF(ROWS(A$4:A129)&lt;=$B$2,INDEX(data!C$3:C$16128,SMALL(IF(data!$D$3:$D$16128='Надежда'!$B$1,ROW(data!$A$3:$A$16128)-ROW($A$3)+1),ROWS(A$4:A129))),"")</f>
        <v>46174</v>
      </c>
      <c r="B129" s="19" t="str">
        <f t="array" ref="B129">IF(ROWS(B$4:B129)&lt;=$B$2,INDEX(data!A$3:A$16128,SMALL(IF(data!$D$3:$D$16128='Надежда'!$B$1,ROW(data!$A$3:$A$16128)-ROW($A$3)+1),ROWS(B$4:B129))),"")</f>
        <v>MYPOS Бакалия</v>
      </c>
      <c r="C129" s="19">
        <f t="array" ref="C129">IF(ROWS(C$4:C129)&lt;=$B$2,INDEX(data!B$3:B$16128,SMALL(IF(data!$D$3:$D$16128='Надежда'!$B$1,ROW(data!$A$3:$A$16128)-ROW($A$3)+1),ROWS(C$4:C129))),"")</f>
        <v>-7646.05</v>
      </c>
      <c r="D129" s="7" t="str">
        <f t="array" ref="D129">IF(ROWS(D$4:D129)&lt;=$B$2,INDEX(data!E$3:E$16128,SMALL(IF(data!$D$3:$D$16128='Надежда'!$B$1,ROW(data!$A$3:$A$16128)-ROW($A$3)+1),ROWS(D$4:D129))),"")</f>
        <v/>
      </c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3">
        <f t="array" ref="A130">IF(ROWS(A$4:A130)&lt;=$B$2,INDEX(data!C$3:C$16128,SMALL(IF(data!$D$3:$D$16128='Надежда'!$B$1,ROW(data!$A$3:$A$16128)-ROW($A$3)+1),ROWS(A$4:A130))),"")</f>
        <v>46174</v>
      </c>
      <c r="B130" s="19" t="str">
        <f t="array" ref="B130">IF(ROWS(B$4:B130)&lt;=$B$2,INDEX(data!A$3:A$16128,SMALL(IF(data!$D$3:$D$16128='Надежда'!$B$1,ROW(data!$A$3:$A$16128)-ROW($A$3)+1),ROWS(B$4:B130))),"")</f>
        <v>КАСОВА КНИГА</v>
      </c>
      <c r="C130" s="19">
        <f t="array" ref="C130">IF(ROWS(C$4:C130)&lt;=$B$2,INDEX(data!B$3:B$16128,SMALL(IF(data!$D$3:$D$16128='Надежда'!$B$1,ROW(data!$A$3:$A$16128)-ROW($A$3)+1),ROWS(C$4:C130))),"")</f>
        <v>-2000</v>
      </c>
      <c r="D130" s="7" t="str">
        <f t="array" ref="D130">IF(ROWS(D$4:D130)&lt;=$B$2,INDEX(data!E$3:E$16128,SMALL(IF(data!$D$3:$D$16128='Надежда'!$B$1,ROW(data!$A$3:$A$16128)-ROW($A$3)+1),ROWS(D$4:D130))),"")</f>
        <v/>
      </c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3">
        <f t="array" ref="A131">IF(ROWS(A$4:A131)&lt;=$B$2,INDEX(data!C$3:C$16128,SMALL(IF(data!$D$3:$D$16128='Надежда'!$B$1,ROW(data!$A$3:$A$16128)-ROW($A$3)+1),ROWS(A$4:A131))),"")</f>
        <v>46174</v>
      </c>
      <c r="B131" s="19" t="str">
        <f t="array" ref="B131">IF(ROWS(B$4:B131)&lt;=$B$2,INDEX(data!A$3:A$16128,SMALL(IF(data!$D$3:$D$16128='Надежда'!$B$1,ROW(data!$A$3:$A$16128)-ROW($A$3)+1),ROWS(B$4:B131))),"")</f>
        <v>каса ФИКТИВНА</v>
      </c>
      <c r="C131" s="19">
        <f t="array" ref="C131">IF(ROWS(C$4:C131)&lt;=$B$2,INDEX(data!B$3:B$16128,SMALL(IF(data!$D$3:$D$16128='Надежда'!$B$1,ROW(data!$A$3:$A$16128)-ROW($A$3)+1),ROWS(C$4:C131))),"")</f>
        <v>-100</v>
      </c>
      <c r="D131" s="7" t="str">
        <f t="array" ref="D131">IF(ROWS(D$4:D131)&lt;=$B$2,INDEX(data!E$3:E$16128,SMALL(IF(data!$D$3:$D$16128='Надежда'!$B$1,ROW(data!$A$3:$A$16128)-ROW($A$3)+1),ROWS(D$4:D131))),"")</f>
        <v>Сашо пилето за Май</v>
      </c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3">
        <f t="array" ref="A132">IF(ROWS(A$4:A132)&lt;=$B$2,INDEX(data!C$3:C$16128,SMALL(IF(data!$D$3:$D$16128='Надежда'!$B$1,ROW(data!$A$3:$A$16128)-ROW($A$3)+1),ROWS(A$4:A132))),"")</f>
        <v>46175</v>
      </c>
      <c r="B132" s="19" t="str">
        <f t="array" ref="B132">IF(ROWS(B$4:B132)&lt;=$B$2,INDEX(data!A$3:A$16128,SMALL(IF(data!$D$3:$D$16128='Надежда'!$B$1,ROW(data!$A$3:$A$16128)-ROW($A$3)+1),ROWS(B$4:B132))),"")</f>
        <v>каса ФИКТИВНА</v>
      </c>
      <c r="C132" s="19">
        <f t="array" ref="C132">IF(ROWS(C$4:C132)&lt;=$B$2,INDEX(data!B$3:B$16128,SMALL(IF(data!$D$3:$D$16128='Надежда'!$B$1,ROW(data!$A$3:$A$16128)-ROW($A$3)+1),ROWS(C$4:C132))),"")</f>
        <v>-33.8</v>
      </c>
      <c r="D132" s="7" t="str">
        <f t="array" ref="D132">IF(ROWS(D$4:D132)&lt;=$B$2,INDEX(data!E$3:E$16128,SMALL(IF(data!$D$3:$D$16128='Надежда'!$B$1,ROW(data!$A$3:$A$16128)-ROW($A$3)+1),ROWS(D$4:D132))),"")</f>
        <v>колет Ния</v>
      </c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3">
        <f t="array" ref="A133">IF(ROWS(A$4:A133)&lt;=$B$2,INDEX(data!C$3:C$16128,SMALL(IF(data!$D$3:$D$16128='Надежда'!$B$1,ROW(data!$A$3:$A$16128)-ROW($A$3)+1),ROWS(A$4:A133))),"")</f>
        <v>46176</v>
      </c>
      <c r="B133" s="19" t="str">
        <f t="array" ref="B133">IF(ROWS(B$4:B133)&lt;=$B$2,INDEX(data!A$3:A$16128,SMALL(IF(data!$D$3:$D$16128='Надежда'!$B$1,ROW(data!$A$3:$A$16128)-ROW($A$3)+1),ROWS(B$4:B133))),"")</f>
        <v>КАСОВА КНИГА</v>
      </c>
      <c r="C133" s="19">
        <f t="array" ref="C133">IF(ROWS(C$4:C133)&lt;=$B$2,INDEX(data!B$3:B$16128,SMALL(IF(data!$D$3:$D$16128='Надежда'!$B$1,ROW(data!$A$3:$A$16128)-ROW($A$3)+1),ROWS(C$4:C133))),"")</f>
        <v>-1000</v>
      </c>
      <c r="D133" s="7" t="str">
        <f t="array" ref="D133">IF(ROWS(D$4:D133)&lt;=$B$2,INDEX(data!E$3:E$16128,SMALL(IF(data!$D$3:$D$16128='Надежда'!$B$1,ROW(data!$A$3:$A$16128)-ROW($A$3)+1),ROWS(D$4:D133))),"")</f>
        <v/>
      </c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3">
        <f t="array" ref="A134">IF(ROWS(A$4:A134)&lt;=$B$2,INDEX(data!C$3:C$16128,SMALL(IF(data!$D$3:$D$16128='Надежда'!$B$1,ROW(data!$A$3:$A$16128)-ROW($A$3)+1),ROWS(A$4:A134))),"")</f>
        <v>46176</v>
      </c>
      <c r="B134" s="19" t="str">
        <f t="array" ref="B134">IF(ROWS(B$4:B134)&lt;=$B$2,INDEX(data!A$3:A$16128,SMALL(IF(data!$D$3:$D$16128='Надежда'!$B$1,ROW(data!$A$3:$A$16128)-ROW($A$3)+1),ROWS(B$4:B134))),"")</f>
        <v>Каса ВАУЧЕРИ</v>
      </c>
      <c r="C134" s="19">
        <f t="array" ref="C134">IF(ROWS(C$4:C134)&lt;=$B$2,INDEX(data!B$3:B$16128,SMALL(IF(data!$D$3:$D$16128='Надежда'!$B$1,ROW(data!$A$3:$A$16128)-ROW($A$3)+1),ROWS(C$4:C134))),"")</f>
        <v>-3.1</v>
      </c>
      <c r="D134" s="7" t="str">
        <f t="array" ref="D134">IF(ROWS(D$4:D134)&lt;=$B$2,INDEX(data!E$3:E$16128,SMALL(IF(data!$D$3:$D$16128='Надежда'!$B$1,ROW(data!$A$3:$A$16128)-ROW($A$3)+1),ROWS(D$4:D134))),"")</f>
        <v>към 18.05</v>
      </c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3">
        <f t="array" ref="A135">IF(ROWS(A$4:A135)&lt;=$B$2,INDEX(data!C$3:C$16128,SMALL(IF(data!$D$3:$D$16128='Надежда'!$B$1,ROW(data!$A$3:$A$16128)-ROW($A$3)+1),ROWS(A$4:A135))),"")</f>
        <v>46178</v>
      </c>
      <c r="B135" s="19" t="str">
        <f t="array" ref="B135">IF(ROWS(B$4:B135)&lt;=$B$2,INDEX(data!A$3:A$16128,SMALL(IF(data!$D$3:$D$16128='Надежда'!$B$1,ROW(data!$A$3:$A$16128)-ROW($A$3)+1),ROWS(B$4:B135))),"")</f>
        <v>каса ФИКТИВНА</v>
      </c>
      <c r="C135" s="19">
        <f t="array" ref="C135">IF(ROWS(C$4:C135)&lt;=$B$2,INDEX(data!B$3:B$16128,SMALL(IF(data!$D$3:$D$16128='Надежда'!$B$1,ROW(data!$A$3:$A$16128)-ROW($A$3)+1),ROWS(C$4:C135))),"")</f>
        <v>-53.42</v>
      </c>
      <c r="D135" s="7" t="str">
        <f t="array" ref="D135">IF(ROWS(D$4:D135)&lt;=$B$2,INDEX(data!E$3:E$16128,SMALL(IF(data!$D$3:$D$16128='Надежда'!$B$1,ROW(data!$A$3:$A$16128)-ROW($A$3)+1),ROWS(D$4:D135))),"")</f>
        <v>колет Ния</v>
      </c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3">
        <f t="array" ref="A136">IF(ROWS(A$4:A136)&lt;=$B$2,INDEX(data!C$3:C$16128,SMALL(IF(data!$D$3:$D$16128='Надежда'!$B$1,ROW(data!$A$3:$A$16128)-ROW($A$3)+1),ROWS(A$4:A136))),"")</f>
        <v>46181</v>
      </c>
      <c r="B136" s="19" t="str">
        <f t="array" ref="B136">IF(ROWS(B$4:B136)&lt;=$B$2,INDEX(data!A$3:A$16128,SMALL(IF(data!$D$3:$D$16128='Надежда'!$B$1,ROW(data!$A$3:$A$16128)-ROW($A$3)+1),ROWS(B$4:B136))),"")</f>
        <v>КАСОВА КНИГА</v>
      </c>
      <c r="C136" s="19">
        <f t="array" ref="C136">IF(ROWS(C$4:C136)&lt;=$B$2,INDEX(data!B$3:B$16128,SMALL(IF(data!$D$3:$D$16128='Надежда'!$B$1,ROW(data!$A$3:$A$16128)-ROW($A$3)+1),ROWS(C$4:C136))),"")</f>
        <v>-1500</v>
      </c>
      <c r="D136" s="7" t="str">
        <f t="array" ref="D136">IF(ROWS(D$4:D136)&lt;=$B$2,INDEX(data!E$3:E$16128,SMALL(IF(data!$D$3:$D$16128='Надежда'!$B$1,ROW(data!$A$3:$A$16128)-ROW($A$3)+1),ROWS(D$4:D136))),"")</f>
        <v/>
      </c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3">
        <f t="array" ref="A137">IF(ROWS(A$4:A137)&lt;=$B$2,INDEX(data!C$3:C$16128,SMALL(IF(data!$D$3:$D$16128='Надежда'!$B$1,ROW(data!$A$3:$A$16128)-ROW($A$3)+1),ROWS(A$4:A137))),"")</f>
        <v>46182</v>
      </c>
      <c r="B137" s="19" t="str">
        <f t="array" ref="B137">IF(ROWS(B$4:B137)&lt;=$B$2,INDEX(data!A$3:A$16128,SMALL(IF(data!$D$3:$D$16128='Надежда'!$B$1,ROW(data!$A$3:$A$16128)-ROW($A$3)+1),ROWS(B$4:B137))),"")</f>
        <v>MYPOS Бакалия</v>
      </c>
      <c r="C137" s="19">
        <f t="array" ref="C137">IF(ROWS(C$4:C137)&lt;=$B$2,INDEX(data!B$3:B$16128,SMALL(IF(data!$D$3:$D$16128='Надежда'!$B$1,ROW(data!$A$3:$A$16128)-ROW($A$3)+1),ROWS(C$4:C137))),"")</f>
        <v>-7706.67</v>
      </c>
      <c r="D137" s="7" t="str">
        <f t="array" ref="D137">IF(ROWS(D$4:D137)&lt;=$B$2,INDEX(data!E$3:E$16128,SMALL(IF(data!$D$3:$D$16128='Надежда'!$B$1,ROW(data!$A$3:$A$16128)-ROW($A$3)+1),ROWS(D$4:D137))),"")</f>
        <v/>
      </c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3">
        <f t="array" ref="A138">IF(ROWS(A$4:A138)&lt;=$B$2,INDEX(data!C$3:C$16128,SMALL(IF(data!$D$3:$D$16128='Надежда'!$B$1,ROW(data!$A$3:$A$16128)-ROW($A$3)+1),ROWS(A$4:A138))),"")</f>
        <v>46183</v>
      </c>
      <c r="B138" s="19" t="str">
        <f t="array" ref="B138">IF(ROWS(B$4:B138)&lt;=$B$2,INDEX(data!A$3:A$16128,SMALL(IF(data!$D$3:$D$16128='Надежда'!$B$1,ROW(data!$A$3:$A$16128)-ROW($A$3)+1),ROWS(B$4:B138))),"")</f>
        <v>КАСОВА КНИГА</v>
      </c>
      <c r="C138" s="19">
        <f t="array" ref="C138">IF(ROWS(C$4:C138)&lt;=$B$2,INDEX(data!B$3:B$16128,SMALL(IF(data!$D$3:$D$16128='Надежда'!$B$1,ROW(data!$A$3:$A$16128)-ROW($A$3)+1),ROWS(C$4:C138))),"")</f>
        <v>-1000</v>
      </c>
      <c r="D138" s="7" t="str">
        <f t="array" ref="D138">IF(ROWS(D$4:D138)&lt;=$B$2,INDEX(data!E$3:E$16128,SMALL(IF(data!$D$3:$D$16128='Надежда'!$B$1,ROW(data!$A$3:$A$16128)-ROW($A$3)+1),ROWS(D$4:D138))),"")</f>
        <v/>
      </c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3">
        <f t="array" ref="A139">IF(ROWS(A$4:A139)&lt;=$B$2,INDEX(data!C$3:C$16128,SMALL(IF(data!$D$3:$D$16128='Надежда'!$B$1,ROW(data!$A$3:$A$16128)-ROW($A$3)+1),ROWS(A$4:A139))),"")</f>
        <v>46183</v>
      </c>
      <c r="B139" s="19" t="str">
        <f t="array" ref="B139">IF(ROWS(B$4:B139)&lt;=$B$2,INDEX(data!A$3:A$16128,SMALL(IF(data!$D$3:$D$16128='Надежда'!$B$1,ROW(data!$A$3:$A$16128)-ROW($A$3)+1),ROWS(B$4:B139))),"")</f>
        <v>каса ФИКТИВНА</v>
      </c>
      <c r="C139" s="19">
        <f t="array" ref="C139">IF(ROWS(C$4:C139)&lt;=$B$2,INDEX(data!B$3:B$16128,SMALL(IF(data!$D$3:$D$16128='Надежда'!$B$1,ROW(data!$A$3:$A$16128)-ROW($A$3)+1),ROWS(C$4:C139))),"")</f>
        <v>-239</v>
      </c>
      <c r="D139" s="7" t="str">
        <f t="array" ref="D139">IF(ROWS(D$4:D139)&lt;=$B$2,INDEX(data!E$3:E$16128,SMALL(IF(data!$D$3:$D$16128='Надежда'!$B$1,ROW(data!$A$3:$A$16128)-ROW($A$3)+1),ROWS(D$4:D139))),"")</f>
        <v>Ния колет</v>
      </c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3">
        <f t="array" ref="A140">IF(ROWS(A$4:A140)&lt;=$B$2,INDEX(data!C$3:C$16128,SMALL(IF(data!$D$3:$D$16128='Надежда'!$B$1,ROW(data!$A$3:$A$16128)-ROW($A$3)+1),ROWS(A$4:A140))),"")</f>
        <v>46188</v>
      </c>
      <c r="B140" s="19" t="str">
        <f t="array" ref="B140">IF(ROWS(B$4:B140)&lt;=$B$2,INDEX(data!A$3:A$16128,SMALL(IF(data!$D$3:$D$16128='Надежда'!$B$1,ROW(data!$A$3:$A$16128)-ROW($A$3)+1),ROWS(B$4:B140))),"")</f>
        <v>MYPOS Бакалия</v>
      </c>
      <c r="C140" s="19">
        <f t="array" ref="C140">IF(ROWS(C$4:C140)&lt;=$B$2,INDEX(data!B$3:B$16128,SMALL(IF(data!$D$3:$D$16128='Надежда'!$B$1,ROW(data!$A$3:$A$16128)-ROW($A$3)+1),ROWS(C$4:C140))),"")</f>
        <v>-7760.29</v>
      </c>
      <c r="D140" s="7" t="str">
        <f t="array" ref="D140">IF(ROWS(D$4:D140)&lt;=$B$2,INDEX(data!E$3:E$16128,SMALL(IF(data!$D$3:$D$16128='Надежда'!$B$1,ROW(data!$A$3:$A$16128)-ROW($A$3)+1),ROWS(D$4:D140))),"")</f>
        <v/>
      </c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3">
        <f t="array" ref="A141">IF(ROWS(A$4:A141)&lt;=$B$2,INDEX(data!C$3:C$16128,SMALL(IF(data!$D$3:$D$16128='Надежда'!$B$1,ROW(data!$A$3:$A$16128)-ROW($A$3)+1),ROWS(A$4:A141))),"")</f>
        <v>46188</v>
      </c>
      <c r="B141" s="19" t="str">
        <f t="array" ref="B141">IF(ROWS(B$4:B141)&lt;=$B$2,INDEX(data!A$3:A$16128,SMALL(IF(data!$D$3:$D$16128='Надежда'!$B$1,ROW(data!$A$3:$A$16128)-ROW($A$3)+1),ROWS(B$4:B141))),"")</f>
        <v>КАСОВА КНИГА</v>
      </c>
      <c r="C141" s="19">
        <f t="array" ref="C141">IF(ROWS(C$4:C141)&lt;=$B$2,INDEX(data!B$3:B$16128,SMALL(IF(data!$D$3:$D$16128='Надежда'!$B$1,ROW(data!$A$3:$A$16128)-ROW($A$3)+1),ROWS(C$4:C141))),"")</f>
        <v>-2000</v>
      </c>
      <c r="D141" s="7" t="str">
        <f t="array" ref="D141">IF(ROWS(D$4:D141)&lt;=$B$2,INDEX(data!E$3:E$16128,SMALL(IF(data!$D$3:$D$16128='Надежда'!$B$1,ROW(data!$A$3:$A$16128)-ROW($A$3)+1),ROWS(D$4:D141))),"")</f>
        <v/>
      </c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3">
        <f t="array" ref="A142">IF(ROWS(A$4:A142)&lt;=$B$2,INDEX(data!C$3:C$16128,SMALL(IF(data!$D$3:$D$16128='Надежда'!$B$1,ROW(data!$A$3:$A$16128)-ROW($A$3)+1),ROWS(A$4:A142))),"")</f>
        <v>46188</v>
      </c>
      <c r="B142" s="19" t="str">
        <f t="array" ref="B142">IF(ROWS(B$4:B142)&lt;=$B$2,INDEX(data!A$3:A$16128,SMALL(IF(data!$D$3:$D$16128='Надежда'!$B$1,ROW(data!$A$3:$A$16128)-ROW($A$3)+1),ROWS(B$4:B142))),"")</f>
        <v>каса ФИКТИВНА</v>
      </c>
      <c r="C142" s="19">
        <f t="array" ref="C142">IF(ROWS(C$4:C142)&lt;=$B$2,INDEX(data!B$3:B$16128,SMALL(IF(data!$D$3:$D$16128='Надежда'!$B$1,ROW(data!$A$3:$A$16128)-ROW($A$3)+1),ROWS(C$4:C142))),"")</f>
        <v>-169</v>
      </c>
      <c r="D142" s="7" t="str">
        <f t="array" ref="D142">IF(ROWS(D$4:D142)&lt;=$B$2,INDEX(data!E$3:E$16128,SMALL(IF(data!$D$3:$D$16128='Надежда'!$B$1,ROW(data!$A$3:$A$16128)-ROW($A$3)+1),ROWS(D$4:D142))),"")</f>
        <v>колет Милена</v>
      </c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3">
        <f t="array" ref="A143">IF(ROWS(A$4:A143)&lt;=$B$2,INDEX(data!C$3:C$16128,SMALL(IF(data!$D$3:$D$16128='Надежда'!$B$1,ROW(data!$A$3:$A$16128)-ROW($A$3)+1),ROWS(A$4:A143))),"")</f>
        <v>46188</v>
      </c>
      <c r="B143" s="19" t="str">
        <f t="array" ref="B143">IF(ROWS(B$4:B143)&lt;=$B$2,INDEX(data!A$3:A$16128,SMALL(IF(data!$D$3:$D$16128='Надежда'!$B$1,ROW(data!$A$3:$A$16128)-ROW($A$3)+1),ROWS(B$4:B143))),"")</f>
        <v>ЗАЕМ</v>
      </c>
      <c r="C143" s="19">
        <f t="array" ref="C143">IF(ROWS(C$4:C143)&lt;=$B$2,INDEX(data!B$3:B$16128,SMALL(IF(data!$D$3:$D$16128='Надежда'!$B$1,ROW(data!$A$3:$A$16128)-ROW($A$3)+1),ROWS(C$4:C143))),"")</f>
        <v>56864.05</v>
      </c>
      <c r="D143" s="7" t="str">
        <f t="array" ref="D143">IF(ROWS(D$4:D143)&lt;=$B$2,INDEX(data!E$3:E$16128,SMALL(IF(data!$D$3:$D$16128='Надежда'!$B$1,ROW(data!$A$3:$A$16128)-ROW($A$3)+1),ROWS(D$4:D143))),"")</f>
        <v>Салдо склад + вътр. п-не</v>
      </c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3">
        <f t="array" ref="A144">IF(ROWS(A$4:A144)&lt;=$B$2,INDEX(data!C$3:C$16128,SMALL(IF(data!$D$3:$D$16128='Надежда'!$B$1,ROW(data!$A$3:$A$16128)-ROW($A$3)+1),ROWS(A$4:A144))),"")</f>
        <v>46190</v>
      </c>
      <c r="B144" s="19" t="str">
        <f t="array" ref="B144">IF(ROWS(B$4:B144)&lt;=$B$2,INDEX(data!A$3:A$16128,SMALL(IF(data!$D$3:$D$16128='Надежда'!$B$1,ROW(data!$A$3:$A$16128)-ROW($A$3)+1),ROWS(B$4:B144))),"")</f>
        <v>КАСОВА КНИГА</v>
      </c>
      <c r="C144" s="19">
        <f t="array" ref="C144">IF(ROWS(C$4:C144)&lt;=$B$2,INDEX(data!B$3:B$16128,SMALL(IF(data!$D$3:$D$16128='Надежда'!$B$1,ROW(data!$A$3:$A$16128)-ROW($A$3)+1),ROWS(C$4:C144))),"")</f>
        <v>-1000</v>
      </c>
      <c r="D144" s="7" t="str">
        <f t="array" ref="D144">IF(ROWS(D$4:D144)&lt;=$B$2,INDEX(data!E$3:E$16128,SMALL(IF(data!$D$3:$D$16128='Надежда'!$B$1,ROW(data!$A$3:$A$16128)-ROW($A$3)+1),ROWS(D$4:D144))),"")</f>
        <v/>
      </c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3">
        <f t="array" ref="A145">IF(ROWS(A$4:A145)&lt;=$B$2,INDEX(data!C$3:C$16128,SMALL(IF(data!$D$3:$D$16128='Надежда'!$B$1,ROW(data!$A$3:$A$16128)-ROW($A$3)+1),ROWS(A$4:A145))),"")</f>
        <v>46190</v>
      </c>
      <c r="B145" s="19" t="str">
        <f t="array" ref="B145">IF(ROWS(B$4:B145)&lt;=$B$2,INDEX(data!A$3:A$16128,SMALL(IF(data!$D$3:$D$16128='Надежда'!$B$1,ROW(data!$A$3:$A$16128)-ROW($A$3)+1),ROWS(B$4:B145))),"")</f>
        <v>Каса ВАУЧЕРИ</v>
      </c>
      <c r="C145" s="19">
        <f t="array" ref="C145">IF(ROWS(C$4:C145)&lt;=$B$2,INDEX(data!B$3:B$16128,SMALL(IF(data!$D$3:$D$16128='Надежда'!$B$1,ROW(data!$A$3:$A$16128)-ROW($A$3)+1),ROWS(C$4:C145))),"")</f>
        <v>-45</v>
      </c>
      <c r="D145" s="7" t="str">
        <f t="array" ref="D145">IF(ROWS(D$4:D145)&lt;=$B$2,INDEX(data!E$3:E$16128,SMALL(IF(data!$D$3:$D$16128='Надежда'!$B$1,ROW(data!$A$3:$A$16128)-ROW($A$3)+1),ROWS(D$4:D145))),"")</f>
        <v>за 25-31.05</v>
      </c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3">
        <f t="array" ref="A146">IF(ROWS(A$4:A146)&lt;=$B$2,INDEX(data!C$3:C$16128,SMALL(IF(data!$D$3:$D$16128='Надежда'!$B$1,ROW(data!$A$3:$A$16128)-ROW($A$3)+1),ROWS(A$4:A146))),"")</f>
        <v>46192</v>
      </c>
      <c r="B146" s="19" t="str">
        <f t="array" ref="B146">IF(ROWS(B$4:B146)&lt;=$B$2,INDEX(data!A$3:A$16128,SMALL(IF(data!$D$3:$D$16128='Надежда'!$B$1,ROW(data!$A$3:$A$16128)-ROW($A$3)+1),ROWS(B$4:B146))),"")</f>
        <v>КАСОВА КНИГА</v>
      </c>
      <c r="C146" s="19">
        <f t="array" ref="C146">IF(ROWS(C$4:C146)&lt;=$B$2,INDEX(data!B$3:B$16128,SMALL(IF(data!$D$3:$D$16128='Надежда'!$B$1,ROW(data!$A$3:$A$16128)-ROW($A$3)+1),ROWS(C$4:C146))),"")</f>
        <v>-1000</v>
      </c>
      <c r="D146" s="7" t="str">
        <f t="array" ref="D146">IF(ROWS(D$4:D146)&lt;=$B$2,INDEX(data!E$3:E$16128,SMALL(IF(data!$D$3:$D$16128='Надежда'!$B$1,ROW(data!$A$3:$A$16128)-ROW($A$3)+1),ROWS(D$4:D146))),"")</f>
        <v/>
      </c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3">
        <f t="array" ref="A147">IF(ROWS(A$4:A147)&lt;=$B$2,INDEX(data!C$3:C$16128,SMALL(IF(data!$D$3:$D$16128='Надежда'!$B$1,ROW(data!$A$3:$A$16128)-ROW($A$3)+1),ROWS(A$4:A147))),"")</f>
        <v>46192</v>
      </c>
      <c r="B147" s="19" t="str">
        <f t="array" ref="B147">IF(ROWS(B$4:B147)&lt;=$B$2,INDEX(data!A$3:A$16128,SMALL(IF(data!$D$3:$D$16128='Надежда'!$B$1,ROW(data!$A$3:$A$16128)-ROW($A$3)+1),ROWS(B$4:B147))),"")</f>
        <v>Каса ВАУЧЕРИ</v>
      </c>
      <c r="C147" s="19">
        <f t="array" ref="C147">IF(ROWS(C$4:C147)&lt;=$B$2,INDEX(data!B$3:B$16128,SMALL(IF(data!$D$3:$D$16128='Надежда'!$B$1,ROW(data!$A$3:$A$16128)-ROW($A$3)+1),ROWS(C$4:C147))),"")</f>
        <v>700</v>
      </c>
      <c r="D147" s="7" t="str">
        <f t="array" ref="D147">IF(ROWS(D$4:D147)&lt;=$B$2,INDEX(data!E$3:E$16128,SMALL(IF(data!$D$3:$D$16128='Надежда'!$B$1,ROW(data!$A$3:$A$16128)-ROW($A$3)+1),ROWS(D$4:D147))),"")</f>
        <v>ваучери персонал</v>
      </c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3">
        <f t="array" ref="A148">IF(ROWS(A$4:A148)&lt;=$B$2,INDEX(data!C$3:C$16128,SMALL(IF(data!$D$3:$D$16128='Надежда'!$B$1,ROW(data!$A$3:$A$16128)-ROW($A$3)+1),ROWS(A$4:A148))),"")</f>
        <v>46195</v>
      </c>
      <c r="B148" s="19" t="str">
        <f t="array" ref="B148">IF(ROWS(B$4:B148)&lt;=$B$2,INDEX(data!A$3:A$16128,SMALL(IF(data!$D$3:$D$16128='Надежда'!$B$1,ROW(data!$A$3:$A$16128)-ROW($A$3)+1),ROWS(B$4:B148))),"")</f>
        <v>MYPOS Бакалия</v>
      </c>
      <c r="C148" s="19">
        <f t="array" ref="C148">IF(ROWS(C$4:C148)&lt;=$B$2,INDEX(data!B$3:B$16128,SMALL(IF(data!$D$3:$D$16128='Надежда'!$B$1,ROW(data!$A$3:$A$16128)-ROW($A$3)+1),ROWS(C$4:C148))),"")</f>
        <v>-6750.96</v>
      </c>
      <c r="D148" s="7" t="str">
        <f t="array" ref="D148">IF(ROWS(D$4:D148)&lt;=$B$2,INDEX(data!E$3:E$16128,SMALL(IF(data!$D$3:$D$16128='Надежда'!$B$1,ROW(data!$A$3:$A$16128)-ROW($A$3)+1),ROWS(D$4:D148))),"")</f>
        <v/>
      </c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3">
        <f t="array" ref="A149">IF(ROWS(A$4:A149)&lt;=$B$2,INDEX(data!C$3:C$16128,SMALL(IF(data!$D$3:$D$16128='Надежда'!$B$1,ROW(data!$A$3:$A$16128)-ROW($A$3)+1),ROWS(A$4:A149))),"")</f>
        <v>46195</v>
      </c>
      <c r="B149" s="19" t="str">
        <f t="array" ref="B149">IF(ROWS(B$4:B149)&lt;=$B$2,INDEX(data!A$3:A$16128,SMALL(IF(data!$D$3:$D$16128='Надежда'!$B$1,ROW(data!$A$3:$A$16128)-ROW($A$3)+1),ROWS(B$4:B149))),"")</f>
        <v>КАСОВА КНИГА</v>
      </c>
      <c r="C149" s="19">
        <f t="array" ref="C149">IF(ROWS(C$4:C149)&lt;=$B$2,INDEX(data!B$3:B$16128,SMALL(IF(data!$D$3:$D$16128='Надежда'!$B$1,ROW(data!$A$3:$A$16128)-ROW($A$3)+1),ROWS(C$4:C149))),"")</f>
        <v>-2000</v>
      </c>
      <c r="D149" s="7" t="str">
        <f t="array" ref="D149">IF(ROWS(D$4:D149)&lt;=$B$2,INDEX(data!E$3:E$16128,SMALL(IF(data!$D$3:$D$16128='Надежда'!$B$1,ROW(data!$A$3:$A$16128)-ROW($A$3)+1),ROWS(D$4:D149))),"")</f>
        <v/>
      </c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3">
        <f t="array" ref="A150">IF(ROWS(A$4:A150)&lt;=$B$2,INDEX(data!C$3:C$16128,SMALL(IF(data!$D$3:$D$16128='Надежда'!$B$1,ROW(data!$A$3:$A$16128)-ROW($A$3)+1),ROWS(A$4:A150))),"")</f>
        <v>46197</v>
      </c>
      <c r="B150" s="19" t="str">
        <f t="array" ref="B150">IF(ROWS(B$4:B150)&lt;=$B$2,INDEX(data!A$3:A$16128,SMALL(IF(data!$D$3:$D$16128='Надежда'!$B$1,ROW(data!$A$3:$A$16128)-ROW($A$3)+1),ROWS(B$4:B150))),"")</f>
        <v>КАСОВА КНИГА</v>
      </c>
      <c r="C150" s="19">
        <f t="array" ref="C150">IF(ROWS(C$4:C150)&lt;=$B$2,INDEX(data!B$3:B$16128,SMALL(IF(data!$D$3:$D$16128='Надежда'!$B$1,ROW(data!$A$3:$A$16128)-ROW($A$3)+1),ROWS(C$4:C150))),"")</f>
        <v>-1000</v>
      </c>
      <c r="D150" s="7" t="str">
        <f t="array" ref="D150">IF(ROWS(D$4:D150)&lt;=$B$2,INDEX(data!E$3:E$16128,SMALL(IF(data!$D$3:$D$16128='Надежда'!$B$1,ROW(data!$A$3:$A$16128)-ROW($A$3)+1),ROWS(D$4:D150))),"")</f>
        <v/>
      </c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3">
        <f t="array" ref="A151">IF(ROWS(A$4:A151)&lt;=$B$2,INDEX(data!C$3:C$16128,SMALL(IF(data!$D$3:$D$16128='Надежда'!$B$1,ROW(data!$A$3:$A$16128)-ROW($A$3)+1),ROWS(A$4:A151))),"")</f>
        <v>46197</v>
      </c>
      <c r="B151" s="19" t="str">
        <f t="array" ref="B151">IF(ROWS(B$4:B151)&lt;=$B$2,INDEX(data!A$3:A$16128,SMALL(IF(data!$D$3:$D$16128='Надежда'!$B$1,ROW(data!$A$3:$A$16128)-ROW($A$3)+1),ROWS(B$4:B151))),"")</f>
        <v>Каса ВАУЧЕРИ</v>
      </c>
      <c r="C151" s="19">
        <f t="array" ref="C151">IF(ROWS(C$4:C151)&lt;=$B$2,INDEX(data!B$3:B$16128,SMALL(IF(data!$D$3:$D$16128='Надежда'!$B$1,ROW(data!$A$3:$A$16128)-ROW($A$3)+1),ROWS(C$4:C151))),"")</f>
        <v>-45</v>
      </c>
      <c r="D151" s="7" t="str">
        <f t="array" ref="D151">IF(ROWS(D$4:D151)&lt;=$B$2,INDEX(data!E$3:E$16128,SMALL(IF(data!$D$3:$D$16128='Надежда'!$B$1,ROW(data!$A$3:$A$16128)-ROW($A$3)+1),ROWS(D$4:D151))),"")</f>
        <v/>
      </c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3">
        <f t="array" ref="A152">IF(ROWS(A$4:A152)&lt;=$B$2,INDEX(data!C$3:C$16128,SMALL(IF(data!$D$3:$D$16128='Надежда'!$B$1,ROW(data!$A$3:$A$16128)-ROW($A$3)+1),ROWS(A$4:A152))),"")</f>
        <v>46197</v>
      </c>
      <c r="B152" s="19" t="str">
        <f t="array" ref="B152">IF(ROWS(B$4:B152)&lt;=$B$2,INDEX(data!A$3:A$16128,SMALL(IF(data!$D$3:$D$16128='Надежда'!$B$1,ROW(data!$A$3:$A$16128)-ROW($A$3)+1),ROWS(B$4:B152))),"")</f>
        <v>каса ФИКТИВНА</v>
      </c>
      <c r="C152" s="19">
        <f t="array" ref="C152">IF(ROWS(C$4:C152)&lt;=$B$2,INDEX(data!B$3:B$16128,SMALL(IF(data!$D$3:$D$16128='Надежда'!$B$1,ROW(data!$A$3:$A$16128)-ROW($A$3)+1),ROWS(C$4:C152))),"")</f>
        <v>-100</v>
      </c>
      <c r="D152" s="7" t="str">
        <f t="array" ref="D152">IF(ROWS(D$4:D152)&lt;=$B$2,INDEX(data!E$3:E$16128,SMALL(IF(data!$D$3:$D$16128='Надежда'!$B$1,ROW(data!$A$3:$A$16128)-ROW($A$3)+1),ROWS(D$4:D152))),"")</f>
        <v>Сашо пилето</v>
      </c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3">
        <f t="array" ref="A153">IF(ROWS(A$4:A153)&lt;=$B$2,INDEX(data!C$3:C$16128,SMALL(IF(data!$D$3:$D$16128='Надежда'!$B$1,ROW(data!$A$3:$A$16128)-ROW($A$3)+1),ROWS(A$4:A153))),"")</f>
        <v>46197</v>
      </c>
      <c r="B153" s="19" t="str">
        <f t="array" ref="B153">IF(ROWS(B$4:B153)&lt;=$B$2,INDEX(data!A$3:A$16128,SMALL(IF(data!$D$3:$D$16128='Надежда'!$B$1,ROW(data!$A$3:$A$16128)-ROW($A$3)+1),ROWS(B$4:B153))),"")</f>
        <v>каса ФИКТИВНА</v>
      </c>
      <c r="C153" s="19">
        <f t="array" ref="C153">IF(ROWS(C$4:C153)&lt;=$B$2,INDEX(data!B$3:B$16128,SMALL(IF(data!$D$3:$D$16128='Надежда'!$B$1,ROW(data!$A$3:$A$16128)-ROW($A$3)+1),ROWS(C$4:C153))),"")</f>
        <v>-169</v>
      </c>
      <c r="D153" s="7" t="str">
        <f t="array" ref="D153">IF(ROWS(D$4:D153)&lt;=$B$2,INDEX(data!E$3:E$16128,SMALL(IF(data!$D$3:$D$16128='Надежда'!$B$1,ROW(data!$A$3:$A$16128)-ROW($A$3)+1),ROWS(D$4:D153))),"")</f>
        <v>колет Милена</v>
      </c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3">
        <f t="array" ref="A154">IF(ROWS(A$4:A154)&lt;=$B$2,INDEX(data!C$3:C$16128,SMALL(IF(data!$D$3:$D$16128='Надежда'!$B$1,ROW(data!$A$3:$A$16128)-ROW($A$3)+1),ROWS(A$4:A154))),"")</f>
        <v>46198</v>
      </c>
      <c r="B154" s="19" t="str">
        <f t="array" ref="B154">IF(ROWS(B$4:B154)&lt;=$B$2,INDEX(data!A$3:A$16128,SMALL(IF(data!$D$3:$D$16128='Надежда'!$B$1,ROW(data!$A$3:$A$16128)-ROW($A$3)+1),ROWS(B$4:B154))),"")</f>
        <v>каса ФИКТИВНА</v>
      </c>
      <c r="C154" s="19">
        <f t="array" ref="C154">IF(ROWS(C$4:C154)&lt;=$B$2,INDEX(data!B$3:B$16128,SMALL(IF(data!$D$3:$D$16128='Надежда'!$B$1,ROW(data!$A$3:$A$16128)-ROW($A$3)+1),ROWS(C$4:C154))),"")</f>
        <v>-135.1</v>
      </c>
      <c r="D154" s="7" t="str">
        <f t="array" ref="D154">IF(ROWS(D$4:D154)&lt;=$B$2,INDEX(data!E$3:E$16128,SMALL(IF(data!$D$3:$D$16128='Надежда'!$B$1,ROW(data!$A$3:$A$16128)-ROW($A$3)+1),ROWS(D$4:D154))),"")</f>
        <v>колет Ния</v>
      </c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3">
        <f t="array" ref="A155">IF(ROWS(A$4:A155)&lt;=$B$2,INDEX(data!C$3:C$16128,SMALL(IF(data!$D$3:$D$16128='Надежда'!$B$1,ROW(data!$A$3:$A$16128)-ROW($A$3)+1),ROWS(A$4:A155))),"")</f>
        <v>46200</v>
      </c>
      <c r="B155" s="19" t="str">
        <f t="array" ref="B155">IF(ROWS(B$4:B155)&lt;=$B$2,INDEX(data!A$3:A$16128,SMALL(IF(data!$D$3:$D$16128='Надежда'!$B$1,ROW(data!$A$3:$A$16128)-ROW($A$3)+1),ROWS(B$4:B155))),"")</f>
        <v>КАСОВА КНИГА</v>
      </c>
      <c r="C155" s="19">
        <f t="array" ref="C155">IF(ROWS(C$4:C155)&lt;=$B$2,INDEX(data!B$3:B$16128,SMALL(IF(data!$D$3:$D$16128='Надежда'!$B$1,ROW(data!$A$3:$A$16128)-ROW($A$3)+1),ROWS(C$4:C155))),"")</f>
        <v>-700</v>
      </c>
      <c r="D155" s="7" t="str">
        <f t="array" ref="D155">IF(ROWS(D$4:D155)&lt;=$B$2,INDEX(data!E$3:E$16128,SMALL(IF(data!$D$3:$D$16128='Надежда'!$B$1,ROW(data!$A$3:$A$16128)-ROW($A$3)+1),ROWS(D$4:D155))),"")</f>
        <v/>
      </c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3">
        <f t="array" ref="A156">IF(ROWS(A$4:A156)&lt;=$B$2,INDEX(data!C$3:C$16128,SMALL(IF(data!$D$3:$D$16128='Надежда'!$B$1,ROW(data!$A$3:$A$16128)-ROW($A$3)+1),ROWS(A$4:A156))),"")</f>
        <v>46202</v>
      </c>
      <c r="B156" s="19" t="str">
        <f t="array" ref="B156">IF(ROWS(B$4:B156)&lt;=$B$2,INDEX(data!A$3:A$16128,SMALL(IF(data!$D$3:$D$16128='Надежда'!$B$1,ROW(data!$A$3:$A$16128)-ROW($A$3)+1),ROWS(B$4:B156))),"")</f>
        <v>MYPOS Бакалия</v>
      </c>
      <c r="C156" s="19">
        <f t="array" ref="C156">IF(ROWS(C$4:C156)&lt;=$B$2,INDEX(data!B$3:B$16128,SMALL(IF(data!$D$3:$D$16128='Надежда'!$B$1,ROW(data!$A$3:$A$16128)-ROW($A$3)+1),ROWS(C$4:C156))),"")</f>
        <v>-7654.28</v>
      </c>
      <c r="D156" s="7" t="str">
        <f t="array" ref="D156">IF(ROWS(D$4:D156)&lt;=$B$2,INDEX(data!E$3:E$16128,SMALL(IF(data!$D$3:$D$16128='Надежда'!$B$1,ROW(data!$A$3:$A$16128)-ROW($A$3)+1),ROWS(D$4:D156))),"")</f>
        <v/>
      </c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3">
        <f t="array" ref="A157">IF(ROWS(A$4:A157)&lt;=$B$2,INDEX(data!C$3:C$16128,SMALL(IF(data!$D$3:$D$16128='Надежда'!$B$1,ROW(data!$A$3:$A$16128)-ROW($A$3)+1),ROWS(A$4:A157))),"")</f>
        <v>46202</v>
      </c>
      <c r="B157" s="19" t="str">
        <f t="array" ref="B157">IF(ROWS(B$4:B157)&lt;=$B$2,INDEX(data!A$3:A$16128,SMALL(IF(data!$D$3:$D$16128='Надежда'!$B$1,ROW(data!$A$3:$A$16128)-ROW($A$3)+1),ROWS(B$4:B157))),"")</f>
        <v>КАСОВА КНИГА</v>
      </c>
      <c r="C157" s="19">
        <f t="array" ref="C157">IF(ROWS(C$4:C157)&lt;=$B$2,INDEX(data!B$3:B$16128,SMALL(IF(data!$D$3:$D$16128='Надежда'!$B$1,ROW(data!$A$3:$A$16128)-ROW($A$3)+1),ROWS(C$4:C157))),"")</f>
        <v>-2000</v>
      </c>
      <c r="D157" s="7" t="str">
        <f t="array" ref="D157">IF(ROWS(D$4:D157)&lt;=$B$2,INDEX(data!E$3:E$16128,SMALL(IF(data!$D$3:$D$16128='Надежда'!$B$1,ROW(data!$A$3:$A$16128)-ROW($A$3)+1),ROWS(D$4:D157))),"")</f>
        <v/>
      </c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3">
        <f t="array" ref="A158">IF(ROWS(A$4:A158)&lt;=$B$2,INDEX(data!C$3:C$16128,SMALL(IF(data!$D$3:$D$16128='Надежда'!$B$1,ROW(data!$A$3:$A$16128)-ROW($A$3)+1),ROWS(A$4:A158))),"")</f>
        <v>46204</v>
      </c>
      <c r="B158" s="19" t="str">
        <f t="array" ref="B158">IF(ROWS(B$4:B158)&lt;=$B$2,INDEX(data!A$3:A$16128,SMALL(IF(data!$D$3:$D$16128='Надежда'!$B$1,ROW(data!$A$3:$A$16128)-ROW($A$3)+1),ROWS(B$4:B158))),"")</f>
        <v>КАСОВА КНИГА</v>
      </c>
      <c r="C158" s="19">
        <f t="array" ref="C158">IF(ROWS(C$4:C158)&lt;=$B$2,INDEX(data!B$3:B$16128,SMALL(IF(data!$D$3:$D$16128='Надежда'!$B$1,ROW(data!$A$3:$A$16128)-ROW($A$3)+1),ROWS(C$4:C158))),"")</f>
        <v>-800</v>
      </c>
      <c r="D158" s="7" t="str">
        <f t="array" ref="D158">IF(ROWS(D$4:D158)&lt;=$B$2,INDEX(data!E$3:E$16128,SMALL(IF(data!$D$3:$D$16128='Надежда'!$B$1,ROW(data!$A$3:$A$16128)-ROW($A$3)+1),ROWS(D$4:D158))),"")</f>
        <v/>
      </c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3">
        <f t="array" ref="A159">IF(ROWS(A$4:A159)&lt;=$B$2,INDEX(data!C$3:C$16128,SMALL(IF(data!$D$3:$D$16128='Надежда'!$B$1,ROW(data!$A$3:$A$16128)-ROW($A$3)+1),ROWS(A$4:A159))),"")</f>
        <v>46206</v>
      </c>
      <c r="B159" s="19" t="str">
        <f t="array" ref="B159">IF(ROWS(B$4:B159)&lt;=$B$2,INDEX(data!A$3:A$16128,SMALL(IF(data!$D$3:$D$16128='Надежда'!$B$1,ROW(data!$A$3:$A$16128)-ROW($A$3)+1),ROWS(B$4:B159))),"")</f>
        <v>каса ФИКТИВНА</v>
      </c>
      <c r="C159" s="19">
        <f t="array" ref="C159">IF(ROWS(C$4:C159)&lt;=$B$2,INDEX(data!B$3:B$16128,SMALL(IF(data!$D$3:$D$16128='Надежда'!$B$1,ROW(data!$A$3:$A$16128)-ROW($A$3)+1),ROWS(C$4:C159))),"")</f>
        <v>-48.39</v>
      </c>
      <c r="D159" s="7" t="str">
        <f t="array" ref="D159">IF(ROWS(D$4:D159)&lt;=$B$2,INDEX(data!E$3:E$16128,SMALL(IF(data!$D$3:$D$16128='Надежда'!$B$1,ROW(data!$A$3:$A$16128)-ROW($A$3)+1),ROWS(D$4:D159))),"")</f>
        <v>пазар Милена</v>
      </c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3">
        <f t="array" ref="A160">IF(ROWS(A$4:A160)&lt;=$B$2,INDEX(data!C$3:C$16128,SMALL(IF(data!$D$3:$D$16128='Надежда'!$B$1,ROW(data!$A$3:$A$16128)-ROW($A$3)+1),ROWS(A$4:A160))),"")</f>
        <v>46209</v>
      </c>
      <c r="B160" s="19" t="str">
        <f t="array" ref="B160">IF(ROWS(B$4:B160)&lt;=$B$2,INDEX(data!A$3:A$16128,SMALL(IF(data!$D$3:$D$16128='Надежда'!$B$1,ROW(data!$A$3:$A$16128)-ROW($A$3)+1),ROWS(B$4:B160))),"")</f>
        <v>MYPOS Бакалия</v>
      </c>
      <c r="C160" s="19">
        <f t="array" ref="C160">IF(ROWS(C$4:C160)&lt;=$B$2,INDEX(data!B$3:B$16128,SMALL(IF(data!$D$3:$D$16128='Надежда'!$B$1,ROW(data!$A$3:$A$16128)-ROW($A$3)+1),ROWS(C$4:C160))),"")</f>
        <v>-7588.02</v>
      </c>
      <c r="D160" s="7" t="str">
        <f t="array" ref="D160">IF(ROWS(D$4:D160)&lt;=$B$2,INDEX(data!E$3:E$16128,SMALL(IF(data!$D$3:$D$16128='Надежда'!$B$1,ROW(data!$A$3:$A$16128)-ROW($A$3)+1),ROWS(D$4:D160))),"")</f>
        <v/>
      </c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3">
        <f t="array" ref="A161">IF(ROWS(A$4:A161)&lt;=$B$2,INDEX(data!C$3:C$16128,SMALL(IF(data!$D$3:$D$16128='Надежда'!$B$1,ROW(data!$A$3:$A$16128)-ROW($A$3)+1),ROWS(A$4:A161))),"")</f>
        <v>46209</v>
      </c>
      <c r="B161" s="19" t="str">
        <f t="array" ref="B161">IF(ROWS(B$4:B161)&lt;=$B$2,INDEX(data!A$3:A$16128,SMALL(IF(data!$D$3:$D$16128='Надежда'!$B$1,ROW(data!$A$3:$A$16128)-ROW($A$3)+1),ROWS(B$4:B161))),"")</f>
        <v>КАСОВА КНИГА</v>
      </c>
      <c r="C161" s="19">
        <f t="array" ref="C161">IF(ROWS(C$4:C161)&lt;=$B$2,INDEX(data!B$3:B$16128,SMALL(IF(data!$D$3:$D$16128='Надежда'!$B$1,ROW(data!$A$3:$A$16128)-ROW($A$3)+1),ROWS(C$4:C161))),"")</f>
        <v>-1500</v>
      </c>
      <c r="D161" s="7" t="str">
        <f t="array" ref="D161">IF(ROWS(D$4:D161)&lt;=$B$2,INDEX(data!E$3:E$16128,SMALL(IF(data!$D$3:$D$16128='Надежда'!$B$1,ROW(data!$A$3:$A$16128)-ROW($A$3)+1),ROWS(D$4:D161))),"")</f>
        <v/>
      </c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3">
        <f t="array" ref="A162">IF(ROWS(A$4:A162)&lt;=$B$2,INDEX(data!C$3:C$16128,SMALL(IF(data!$D$3:$D$16128='Надежда'!$B$1,ROW(data!$A$3:$A$16128)-ROW($A$3)+1),ROWS(A$4:A162))),"")</f>
        <v>46209</v>
      </c>
      <c r="B162" s="19" t="str">
        <f t="array" ref="B162">IF(ROWS(B$4:B162)&lt;=$B$2,INDEX(data!A$3:A$16128,SMALL(IF(data!$D$3:$D$16128='Надежда'!$B$1,ROW(data!$A$3:$A$16128)-ROW($A$3)+1),ROWS(B$4:B162))),"")</f>
        <v>Каса ВАУЧЕРИ</v>
      </c>
      <c r="C162" s="19">
        <f t="array" ref="C162">IF(ROWS(C$4:C162)&lt;=$B$2,INDEX(data!B$3:B$16128,SMALL(IF(data!$D$3:$D$16128='Надежда'!$B$1,ROW(data!$A$3:$A$16128)-ROW($A$3)+1),ROWS(C$4:C162))),"")</f>
        <v>-33.4</v>
      </c>
      <c r="D162" s="7" t="str">
        <f t="array" ref="D162">IF(ROWS(D$4:D162)&lt;=$B$2,INDEX(data!E$3:E$16128,SMALL(IF(data!$D$3:$D$16128='Надежда'!$B$1,ROW(data!$A$3:$A$16128)-ROW($A$3)+1),ROWS(D$4:D162))),"")</f>
        <v>към 22.06</v>
      </c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3">
        <f t="array" ref="A163">IF(ROWS(A$4:A163)&lt;=$B$2,INDEX(data!C$3:C$16128,SMALL(IF(data!$D$3:$D$16128='Надежда'!$B$1,ROW(data!$A$3:$A$16128)-ROW($A$3)+1),ROWS(A$4:A163))),"")</f>
        <v>46211</v>
      </c>
      <c r="B163" s="19" t="str">
        <f t="array" ref="B163">IF(ROWS(B$4:B163)&lt;=$B$2,INDEX(data!A$3:A$16128,SMALL(IF(data!$D$3:$D$16128='Надежда'!$B$1,ROW(data!$A$3:$A$16128)-ROW($A$3)+1),ROWS(B$4:B163))),"")</f>
        <v>КАСОВА КНИГА</v>
      </c>
      <c r="C163" s="19">
        <f t="array" ref="C163">IF(ROWS(C$4:C163)&lt;=$B$2,INDEX(data!B$3:B$16128,SMALL(IF(data!$D$3:$D$16128='Надежда'!$B$1,ROW(data!$A$3:$A$16128)-ROW($A$3)+1),ROWS(C$4:C163))),"")</f>
        <v>-1000</v>
      </c>
      <c r="D163" s="7" t="str">
        <f t="array" ref="D163">IF(ROWS(D$4:D163)&lt;=$B$2,INDEX(data!E$3:E$16128,SMALL(IF(data!$D$3:$D$16128='Надежда'!$B$1,ROW(data!$A$3:$A$16128)-ROW($A$3)+1),ROWS(D$4:D163))),"")</f>
        <v/>
      </c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3">
        <f t="array" ref="A164">IF(ROWS(A$4:A164)&lt;=$B$2,INDEX(data!C$3:C$16128,SMALL(IF(data!$D$3:$D$16128='Надежда'!$B$1,ROW(data!$A$3:$A$16128)-ROW($A$3)+1),ROWS(A$4:A164))),"")</f>
        <v>46213</v>
      </c>
      <c r="B164" s="19" t="str">
        <f t="array" ref="B164">IF(ROWS(B$4:B164)&lt;=$B$2,INDEX(data!A$3:A$16128,SMALL(IF(data!$D$3:$D$16128='Надежда'!$B$1,ROW(data!$A$3:$A$16128)-ROW($A$3)+1),ROWS(B$4:B164))),"")</f>
        <v>каса ФИКТИВНА</v>
      </c>
      <c r="C164" s="19">
        <f t="array" ref="C164">IF(ROWS(C$4:C164)&lt;=$B$2,INDEX(data!B$3:B$16128,SMALL(IF(data!$D$3:$D$16128='Надежда'!$B$1,ROW(data!$A$3:$A$16128)-ROW($A$3)+1),ROWS(C$4:C164))),"")</f>
        <v>-24</v>
      </c>
      <c r="D164" s="7" t="str">
        <f t="array" ref="D164">IF(ROWS(D$4:D164)&lt;=$B$2,INDEX(data!E$3:E$16128,SMALL(IF(data!$D$3:$D$16128='Надежда'!$B$1,ROW(data!$A$3:$A$16128)-ROW($A$3)+1),ROWS(D$4:D164))),"")</f>
        <v>колет Ния</v>
      </c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3">
        <f t="array" ref="A165">IF(ROWS(A$4:A165)&lt;=$B$2,INDEX(data!C$3:C$16128,SMALL(IF(data!$D$3:$D$16128='Надежда'!$B$1,ROW(data!$A$3:$A$16128)-ROW($A$3)+1),ROWS(A$4:A165))),"")</f>
        <v>46216</v>
      </c>
      <c r="B165" s="19" t="str">
        <f t="array" ref="B165">IF(ROWS(B$4:B165)&lt;=$B$2,INDEX(data!A$3:A$16128,SMALL(IF(data!$D$3:$D$16128='Надежда'!$B$1,ROW(data!$A$3:$A$16128)-ROW($A$3)+1),ROWS(B$4:B165))),"")</f>
        <v>КАСОВА КНИГА</v>
      </c>
      <c r="C165" s="19">
        <f t="array" ref="C165">IF(ROWS(C$4:C165)&lt;=$B$2,INDEX(data!B$3:B$16128,SMALL(IF(data!$D$3:$D$16128='Надежда'!$B$1,ROW(data!$A$3:$A$16128)-ROW($A$3)+1),ROWS(C$4:C165))),"")</f>
        <v>-1500</v>
      </c>
      <c r="D165" s="7" t="str">
        <f t="array" ref="D165">IF(ROWS(D$4:D165)&lt;=$B$2,INDEX(data!E$3:E$16128,SMALL(IF(data!$D$3:$D$16128='Надежда'!$B$1,ROW(data!$A$3:$A$16128)-ROW($A$3)+1),ROWS(D$4:D165))),"")</f>
        <v/>
      </c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3">
        <f t="array" ref="A166">IF(ROWS(A$4:A166)&lt;=$B$2,INDEX(data!C$3:C$16128,SMALL(IF(data!$D$3:$D$16128='Надежда'!$B$1,ROW(data!$A$3:$A$16128)-ROW($A$3)+1),ROWS(A$4:A166))),"")</f>
        <v>46217</v>
      </c>
      <c r="B166" s="19" t="str">
        <f t="array" ref="B166">IF(ROWS(B$4:B166)&lt;=$B$2,INDEX(data!A$3:A$16128,SMALL(IF(data!$D$3:$D$16128='Надежда'!$B$1,ROW(data!$A$3:$A$16128)-ROW($A$3)+1),ROWS(B$4:B166))),"")</f>
        <v>каса ФИКТИВНА</v>
      </c>
      <c r="C166" s="19">
        <f t="array" ref="C166">IF(ROWS(C$4:C166)&lt;=$B$2,INDEX(data!B$3:B$16128,SMALL(IF(data!$D$3:$D$16128='Надежда'!$B$1,ROW(data!$A$3:$A$16128)-ROW($A$3)+1),ROWS(C$4:C166))),"")</f>
        <v>-100</v>
      </c>
      <c r="D166" s="7" t="str">
        <f t="array" ref="D166">IF(ROWS(D$4:D166)&lt;=$B$2,INDEX(data!E$3:E$16128,SMALL(IF(data!$D$3:$D$16128='Надежда'!$B$1,ROW(data!$A$3:$A$16128)-ROW($A$3)+1),ROWS(D$4:D166))),"")</f>
        <v>Сашо пилето</v>
      </c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3">
        <f t="array" ref="A167">IF(ROWS(A$4:A167)&lt;=$B$2,INDEX(data!C$3:C$16128,SMALL(IF(data!$D$3:$D$16128='Надежда'!$B$1,ROW(data!$A$3:$A$16128)-ROW($A$3)+1),ROWS(A$4:A167))),"")</f>
        <v>46218</v>
      </c>
      <c r="B167" s="19" t="str">
        <f t="array" ref="B167">IF(ROWS(B$4:B167)&lt;=$B$2,INDEX(data!A$3:A$16128,SMALL(IF(data!$D$3:$D$16128='Надежда'!$B$1,ROW(data!$A$3:$A$16128)-ROW($A$3)+1),ROWS(B$4:B167))),"")</f>
        <v>КАСОВА КНИГА</v>
      </c>
      <c r="C167" s="19">
        <f t="array" ref="C167">IF(ROWS(C$4:C167)&lt;=$B$2,INDEX(data!B$3:B$16128,SMALL(IF(data!$D$3:$D$16128='Надежда'!$B$1,ROW(data!$A$3:$A$16128)-ROW($A$3)+1),ROWS(C$4:C167))),"")</f>
        <v>-1000</v>
      </c>
      <c r="D167" s="7" t="str">
        <f t="array" ref="D167">IF(ROWS(D$4:D167)&lt;=$B$2,INDEX(data!E$3:E$16128,SMALL(IF(data!$D$3:$D$16128='Надежда'!$B$1,ROW(data!$A$3:$A$16128)-ROW($A$3)+1),ROWS(D$4:D167))),"")</f>
        <v/>
      </c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3">
        <f t="array" ref="A168">IF(ROWS(A$4:A168)&lt;=$B$2,INDEX(data!C$3:C$16128,SMALL(IF(data!$D$3:$D$16128='Надежда'!$B$1,ROW(data!$A$3:$A$16128)-ROW($A$3)+1),ROWS(A$4:A168))),"")</f>
        <v>46219</v>
      </c>
      <c r="B168" s="19" t="str">
        <f t="array" ref="B168">IF(ROWS(B$4:B168)&lt;=$B$2,INDEX(data!A$3:A$16128,SMALL(IF(data!$D$3:$D$16128='Надежда'!$B$1,ROW(data!$A$3:$A$16128)-ROW($A$3)+1),ROWS(B$4:B168))),"")</f>
        <v>Каса ВАУЧЕРИ</v>
      </c>
      <c r="C168" s="19">
        <f t="array" ref="C168">IF(ROWS(C$4:C168)&lt;=$B$2,INDEX(data!B$3:B$16128,SMALL(IF(data!$D$3:$D$16128='Надежда'!$B$1,ROW(data!$A$3:$A$16128)-ROW($A$3)+1),ROWS(C$4:C168))),"")</f>
        <v>-7</v>
      </c>
      <c r="D168" s="7" t="str">
        <f t="array" ref="D168">IF(ROWS(D$4:D168)&lt;=$B$2,INDEX(data!E$3:E$16128,SMALL(IF(data!$D$3:$D$16128='Надежда'!$B$1,ROW(data!$A$3:$A$16128)-ROW($A$3)+1),ROWS(D$4:D168))),"")</f>
        <v>за 22-28.06</v>
      </c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3">
        <f t="array" ref="A169">IF(ROWS(A$4:A169)&lt;=$B$2,INDEX(data!C$3:C$16128,SMALL(IF(data!$D$3:$D$16128='Надежда'!$B$1,ROW(data!$A$3:$A$16128)-ROW($A$3)+1),ROWS(A$4:A169))),"")</f>
        <v>46219</v>
      </c>
      <c r="B169" s="19" t="str">
        <f t="array" ref="B169">IF(ROWS(B$4:B169)&lt;=$B$2,INDEX(data!A$3:A$16128,SMALL(IF(data!$D$3:$D$16128='Надежда'!$B$1,ROW(data!$A$3:$A$16128)-ROW($A$3)+1),ROWS(B$4:B169))),"")</f>
        <v>Каса ВАУЧЕРИ</v>
      </c>
      <c r="C169" s="19">
        <f t="array" ref="C169">IF(ROWS(C$4:C169)&lt;=$B$2,INDEX(data!B$3:B$16128,SMALL(IF(data!$D$3:$D$16128='Надежда'!$B$1,ROW(data!$A$3:$A$16128)-ROW($A$3)+1),ROWS(C$4:C169))),"")</f>
        <v>-20</v>
      </c>
      <c r="D169" s="7" t="str">
        <f t="array" ref="D169">IF(ROWS(D$4:D169)&lt;=$B$2,INDEX(data!E$3:E$16128,SMALL(IF(data!$D$3:$D$16128='Надежда'!$B$1,ROW(data!$A$3:$A$16128)-ROW($A$3)+1),ROWS(D$4:D169))),"")</f>
        <v>за 29.06-05.07</v>
      </c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3">
        <f t="array" ref="A170">IF(ROWS(A$4:A170)&lt;=$B$2,INDEX(data!C$3:C$16128,SMALL(IF(data!$D$3:$D$16128='Надежда'!$B$1,ROW(data!$A$3:$A$16128)-ROW($A$3)+1),ROWS(A$4:A170))),"")</f>
        <v>46223</v>
      </c>
      <c r="B170" s="19" t="str">
        <f t="array" ref="B170">IF(ROWS(B$4:B170)&lt;=$B$2,INDEX(data!A$3:A$16128,SMALL(IF(data!$D$3:$D$16128='Надежда'!$B$1,ROW(data!$A$3:$A$16128)-ROW($A$3)+1),ROWS(B$4:B170))),"")</f>
        <v>КАСОВА КНИГА</v>
      </c>
      <c r="C170" s="19">
        <f t="array" ref="C170">IF(ROWS(C$4:C170)&lt;=$B$2,INDEX(data!B$3:B$16128,SMALL(IF(data!$D$3:$D$16128='Надежда'!$B$1,ROW(data!$A$3:$A$16128)-ROW($A$3)+1),ROWS(C$4:C170))),"")</f>
        <v>-1000</v>
      </c>
      <c r="D170" s="7" t="str">
        <f t="array" ref="D170">IF(ROWS(D$4:D170)&lt;=$B$2,INDEX(data!E$3:E$16128,SMALL(IF(data!$D$3:$D$16128='Надежда'!$B$1,ROW(data!$A$3:$A$16128)-ROW($A$3)+1),ROWS(D$4:D170))),"")</f>
        <v/>
      </c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3">
        <f t="array" ref="A171">IF(ROWS(A$4:A171)&lt;=$B$2,INDEX(data!C$3:C$16128,SMALL(IF(data!$D$3:$D$16128='Надежда'!$B$1,ROW(data!$A$3:$A$16128)-ROW($A$3)+1),ROWS(A$4:A171))),"")</f>
        <v>46223</v>
      </c>
      <c r="B171" s="19" t="str">
        <f t="array" ref="B171">IF(ROWS(B$4:B171)&lt;=$B$2,INDEX(data!A$3:A$16128,SMALL(IF(data!$D$3:$D$16128='Надежда'!$B$1,ROW(data!$A$3:$A$16128)-ROW($A$3)+1),ROWS(B$4:B171))),"")</f>
        <v>Каса ВАУЧЕРИ</v>
      </c>
      <c r="C171" s="19">
        <f t="array" ref="C171">IF(ROWS(C$4:C171)&lt;=$B$2,INDEX(data!B$3:B$16128,SMALL(IF(data!$D$3:$D$16128='Надежда'!$B$1,ROW(data!$A$3:$A$16128)-ROW($A$3)+1),ROWS(C$4:C171))),"")</f>
        <v>800</v>
      </c>
      <c r="D171" s="7" t="str">
        <f t="array" ref="D171">IF(ROWS(D$4:D171)&lt;=$B$2,INDEX(data!E$3:E$16128,SMALL(IF(data!$D$3:$D$16128='Надежда'!$B$1,ROW(data!$A$3:$A$16128)-ROW($A$3)+1),ROWS(D$4:D171))),"")</f>
        <v>ваучери персонал</v>
      </c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3">
        <f t="array" ref="A172">IF(ROWS(A$4:A172)&lt;=$B$2,INDEX(data!C$3:C$16128,SMALL(IF(data!$D$3:$D$16128='Надежда'!$B$1,ROW(data!$A$3:$A$16128)-ROW($A$3)+1),ROWS(A$4:A172))),"")</f>
        <v>46223</v>
      </c>
      <c r="B172" s="19" t="str">
        <f t="array" ref="B172">IF(ROWS(B$4:B172)&lt;=$B$2,INDEX(data!A$3:A$16128,SMALL(IF(data!$D$3:$D$16128='Надежда'!$B$1,ROW(data!$A$3:$A$16128)-ROW($A$3)+1),ROWS(B$4:B172))),"")</f>
        <v>каса ФИКТИВНА</v>
      </c>
      <c r="C172" s="19">
        <f t="array" ref="C172">IF(ROWS(C$4:C172)&lt;=$B$2,INDEX(data!B$3:B$16128,SMALL(IF(data!$D$3:$D$16128='Надежда'!$B$1,ROW(data!$A$3:$A$16128)-ROW($A$3)+1),ROWS(C$4:C172))),"")</f>
        <v>-57</v>
      </c>
      <c r="D172" s="7" t="str">
        <f t="array" ref="D172">IF(ROWS(D$4:D172)&lt;=$B$2,INDEX(data!E$3:E$16128,SMALL(IF(data!$D$3:$D$16128='Надежда'!$B$1,ROW(data!$A$3:$A$16128)-ROW($A$3)+1),ROWS(D$4:D172))),"")</f>
        <v>колет Ния</v>
      </c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3">
        <f t="array" ref="A173">IF(ROWS(A$4:A173)&lt;=$B$2,INDEX(data!C$3:C$16128,SMALL(IF(data!$D$3:$D$16128='Надежда'!$B$1,ROW(data!$A$3:$A$16128)-ROW($A$3)+1),ROWS(A$4:A173))),"")</f>
        <v>46223</v>
      </c>
      <c r="B173" s="19" t="str">
        <f t="array" ref="B173">IF(ROWS(B$4:B173)&lt;=$B$2,INDEX(data!A$3:A$16128,SMALL(IF(data!$D$3:$D$16128='Надежда'!$B$1,ROW(data!$A$3:$A$16128)-ROW($A$3)+1),ROWS(B$4:B173))),"")</f>
        <v>MYPOS Бакалия</v>
      </c>
      <c r="C173" s="19">
        <f t="array" ref="C173">IF(ROWS(C$4:C173)&lt;=$B$2,INDEX(data!B$3:B$16128,SMALL(IF(data!$D$3:$D$16128='Надежда'!$B$1,ROW(data!$A$3:$A$16128)-ROW($A$3)+1),ROWS(C$4:C173))),"")</f>
        <v>-14273.7</v>
      </c>
      <c r="D173" s="7" t="str">
        <f t="array" ref="D173">IF(ROWS(D$4:D173)&lt;=$B$2,INDEX(data!E$3:E$16128,SMALL(IF(data!$D$3:$D$16128='Надежда'!$B$1,ROW(data!$A$3:$A$16128)-ROW($A$3)+1),ROWS(D$4:D173))),"")</f>
        <v/>
      </c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3">
        <f t="array" ref="A174">IF(ROWS(A$4:A174)&lt;=$B$2,INDEX(data!C$3:C$16128,SMALL(IF(data!$D$3:$D$16128='Надежда'!$B$1,ROW(data!$A$3:$A$16128)-ROW($A$3)+1),ROWS(A$4:A174))),"")</f>
        <v>46224</v>
      </c>
      <c r="B174" s="19" t="str">
        <f t="array" ref="B174">IF(ROWS(B$4:B174)&lt;=$B$2,INDEX(data!A$3:A$16128,SMALL(IF(data!$D$3:$D$16128='Надежда'!$B$1,ROW(data!$A$3:$A$16128)-ROW($A$3)+1),ROWS(B$4:B174))),"")</f>
        <v>ЗАЕМ</v>
      </c>
      <c r="C174" s="19">
        <f t="array" ref="C174">IF(ROWS(C$4:C174)&lt;=$B$2,INDEX(data!B$3:B$16128,SMALL(IF(data!$D$3:$D$16128='Надежда'!$B$1,ROW(data!$A$3:$A$16128)-ROW($A$3)+1),ROWS(C$4:C174))),"")</f>
        <v>54587.28</v>
      </c>
      <c r="D174" s="7" t="str">
        <f t="array" ref="D174">IF(ROWS(D$4:D174)&lt;=$B$2,INDEX(data!E$3:E$16128,SMALL(IF(data!$D$3:$D$16128='Надежда'!$B$1,ROW(data!$A$3:$A$16128)-ROW($A$3)+1),ROWS(D$4:D174))),"")</f>
        <v>Салдо склад + вътр. п-не</v>
      </c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3">
        <f t="array" ref="A175">IF(ROWS(A$4:A175)&lt;=$B$2,INDEX(data!C$3:C$16128,SMALL(IF(data!$D$3:$D$16128='Надежда'!$B$1,ROW(data!$A$3:$A$16128)-ROW($A$3)+1),ROWS(A$4:A175))),"")</f>
        <v>46225</v>
      </c>
      <c r="B175" s="19" t="str">
        <f t="array" ref="B175">IF(ROWS(B$4:B175)&lt;=$B$2,INDEX(data!A$3:A$16128,SMALL(IF(data!$D$3:$D$16128='Надежда'!$B$1,ROW(data!$A$3:$A$16128)-ROW($A$3)+1),ROWS(B$4:B175))),"")</f>
        <v>КАСОВА КНИГА</v>
      </c>
      <c r="C175" s="19">
        <f t="array" ref="C175">IF(ROWS(C$4:C175)&lt;=$B$2,INDEX(data!B$3:B$16128,SMALL(IF(data!$D$3:$D$16128='Надежда'!$B$1,ROW(data!$A$3:$A$16128)-ROW($A$3)+1),ROWS(C$4:C175))),"")</f>
        <v>-500</v>
      </c>
      <c r="D175" s="7" t="str">
        <f t="array" ref="D175">IF(ROWS(D$4:D175)&lt;=$B$2,INDEX(data!E$3:E$16128,SMALL(IF(data!$D$3:$D$16128='Надежда'!$B$1,ROW(data!$A$3:$A$16128)-ROW($A$3)+1),ROWS(D$4:D175))),"")</f>
        <v/>
      </c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3">
        <f t="array" ref="A176">IF(ROWS(A$4:A176)&lt;=$B$2,INDEX(data!C$3:C$16128,SMALL(IF(data!$D$3:$D$16128='Надежда'!$B$1,ROW(data!$A$3:$A$16128)-ROW($A$3)+1),ROWS(A$4:A176))),"")</f>
        <v>46225</v>
      </c>
      <c r="B176" s="19" t="str">
        <f t="array" ref="B176">IF(ROWS(B$4:B176)&lt;=$B$2,INDEX(data!A$3:A$16128,SMALL(IF(data!$D$3:$D$16128='Надежда'!$B$1,ROW(data!$A$3:$A$16128)-ROW($A$3)+1),ROWS(B$4:B176))),"")</f>
        <v>каса ФИКТИВНА</v>
      </c>
      <c r="C176" s="19">
        <f t="array" ref="C176">IF(ROWS(C$4:C176)&lt;=$B$2,INDEX(data!B$3:B$16128,SMALL(IF(data!$D$3:$D$16128='Надежда'!$B$1,ROW(data!$A$3:$A$16128)-ROW($A$3)+1),ROWS(C$4:C176))),"")</f>
        <v>-54</v>
      </c>
      <c r="D176" s="7" t="str">
        <f t="array" ref="D176">IF(ROWS(D$4:D176)&lt;=$B$2,INDEX(data!E$3:E$16128,SMALL(IF(data!$D$3:$D$16128='Надежда'!$B$1,ROW(data!$A$3:$A$16128)-ROW($A$3)+1),ROWS(D$4:D176))),"")</f>
        <v>колет шефа</v>
      </c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3">
        <f t="array" ref="A177">IF(ROWS(A$4:A177)&lt;=$B$2,INDEX(data!C$3:C$16128,SMALL(IF(data!$D$3:$D$16128='Надежда'!$B$1,ROW(data!$A$3:$A$16128)-ROW($A$3)+1),ROWS(A$4:A177))),"")</f>
        <v>46226</v>
      </c>
      <c r="B177" s="19" t="str">
        <f t="array" ref="B177">IF(ROWS(B$4:B177)&lt;=$B$2,INDEX(data!A$3:A$16128,SMALL(IF(data!$D$3:$D$16128='Надежда'!$B$1,ROW(data!$A$3:$A$16128)-ROW($A$3)+1),ROWS(B$4:B177))),"")</f>
        <v>Каса ВАУЧЕРИ</v>
      </c>
      <c r="C177" s="19">
        <f t="array" ref="C177">IF(ROWS(C$4:C177)&lt;=$B$2,INDEX(data!B$3:B$16128,SMALL(IF(data!$D$3:$D$16128='Надежда'!$B$1,ROW(data!$A$3:$A$16128)-ROW($A$3)+1),ROWS(C$4:C177))),"")</f>
        <v>-1</v>
      </c>
      <c r="D177" s="7" t="str">
        <f t="array" ref="D177">IF(ROWS(D$4:D177)&lt;=$B$2,INDEX(data!E$3:E$16128,SMALL(IF(data!$D$3:$D$16128='Надежда'!$B$1,ROW(data!$A$3:$A$16128)-ROW($A$3)+1),ROWS(D$4:D177))),"")</f>
        <v>към 13.07</v>
      </c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3">
        <f t="array" ref="A178">IF(ROWS(A$4:A178)&lt;=$B$2,INDEX(data!C$3:C$16128,SMALL(IF(data!$D$3:$D$16128='Надежда'!$B$1,ROW(data!$A$3:$A$16128)-ROW($A$3)+1),ROWS(A$4:A178))),"")</f>
        <v>46227</v>
      </c>
      <c r="B178" s="19" t="str">
        <f t="array" ref="B178">IF(ROWS(B$4:B178)&lt;=$B$2,INDEX(data!A$3:A$16128,SMALL(IF(data!$D$3:$D$16128='Надежда'!$B$1,ROW(data!$A$3:$A$16128)-ROW($A$3)+1),ROWS(B$4:B178))),"")</f>
        <v>КАСОВА КНИГА</v>
      </c>
      <c r="C178" s="19">
        <f t="array" ref="C178">IF(ROWS(C$4:C178)&lt;=$B$2,INDEX(data!B$3:B$16128,SMALL(IF(data!$D$3:$D$16128='Надежда'!$B$1,ROW(data!$A$3:$A$16128)-ROW($A$3)+1),ROWS(C$4:C178))),"")</f>
        <v>-1000</v>
      </c>
      <c r="D178" s="7" t="str">
        <f t="array" ref="D178">IF(ROWS(D$4:D178)&lt;=$B$2,INDEX(data!E$3:E$16128,SMALL(IF(data!$D$3:$D$16128='Надежда'!$B$1,ROW(data!$A$3:$A$16128)-ROW($A$3)+1),ROWS(D$4:D178))),"")</f>
        <v/>
      </c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3">
        <f t="array" ref="A179">IF(ROWS(A$4:A179)&lt;=$B$2,INDEX(data!C$3:C$16128,SMALL(IF(data!$D$3:$D$16128='Надежда'!$B$1,ROW(data!$A$3:$A$16128)-ROW($A$3)+1),ROWS(A$4:A179))),"")</f>
        <v>46230</v>
      </c>
      <c r="B179" s="19" t="str">
        <f t="array" ref="B179">IF(ROWS(B$4:B179)&lt;=$B$2,INDEX(data!A$3:A$16128,SMALL(IF(data!$D$3:$D$16128='Надежда'!$B$1,ROW(data!$A$3:$A$16128)-ROW($A$3)+1),ROWS(B$4:B179))),"")</f>
        <v>КАСОВА КНИГА</v>
      </c>
      <c r="C179" s="19">
        <f t="array" ref="C179">IF(ROWS(C$4:C179)&lt;=$B$2,INDEX(data!B$3:B$16128,SMALL(IF(data!$D$3:$D$16128='Надежда'!$B$1,ROW(data!$A$3:$A$16128)-ROW($A$3)+1),ROWS(C$4:C179))),"")</f>
        <v>-1500</v>
      </c>
      <c r="D179" s="7" t="str">
        <f t="array" ref="D179">IF(ROWS(D$4:D179)&lt;=$B$2,INDEX(data!E$3:E$16128,SMALL(IF(data!$D$3:$D$16128='Надежда'!$B$1,ROW(data!$A$3:$A$16128)-ROW($A$3)+1),ROWS(D$4:D179))),"")</f>
        <v/>
      </c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3">
        <f t="array" ref="A180">IF(ROWS(A$4:A180)&lt;=$B$2,INDEX(data!C$3:C$16128,SMALL(IF(data!$D$3:$D$16128='Надежда'!$B$1,ROW(data!$A$3:$A$16128)-ROW($A$3)+1),ROWS(A$4:A180))),"")</f>
        <v>46231</v>
      </c>
      <c r="B180" s="19" t="str">
        <f t="array" ref="B180">IF(ROWS(B$4:B180)&lt;=$B$2,INDEX(data!A$3:A$16128,SMALL(IF(data!$D$3:$D$16128='Надежда'!$B$1,ROW(data!$A$3:$A$16128)-ROW($A$3)+1),ROWS(B$4:B180))),"")</f>
        <v>MYPOS Бакалия</v>
      </c>
      <c r="C180" s="19">
        <f t="array" ref="C180">IF(ROWS(C$4:C180)&lt;=$B$2,INDEX(data!B$3:B$16128,SMALL(IF(data!$D$3:$D$16128='Надежда'!$B$1,ROW(data!$A$3:$A$16128)-ROW($A$3)+1),ROWS(C$4:C180))),"")</f>
        <v>-6960.55</v>
      </c>
      <c r="D180" s="7" t="str">
        <f t="array" ref="D180">IF(ROWS(D$4:D180)&lt;=$B$2,INDEX(data!E$3:E$16128,SMALL(IF(data!$D$3:$D$16128='Надежда'!$B$1,ROW(data!$A$3:$A$16128)-ROW($A$3)+1),ROWS(D$4:D180))),"")</f>
        <v/>
      </c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3">
        <f t="array" ref="A181">IF(ROWS(A$4:A181)&lt;=$B$2,INDEX(data!C$3:C$16128,SMALL(IF(data!$D$3:$D$16128='Надежда'!$B$1,ROW(data!$A$3:$A$16128)-ROW($A$3)+1),ROWS(A$4:A181))),"")</f>
        <v>46232</v>
      </c>
      <c r="B181" s="19" t="str">
        <f t="array" ref="B181">IF(ROWS(B$4:B181)&lt;=$B$2,INDEX(data!A$3:A$16128,SMALL(IF(data!$D$3:$D$16128='Надежда'!$B$1,ROW(data!$A$3:$A$16128)-ROW($A$3)+1),ROWS(B$4:B181))),"")</f>
        <v>КАСОВА КНИГА</v>
      </c>
      <c r="C181" s="19">
        <f t="array" ref="C181">IF(ROWS(C$4:C181)&lt;=$B$2,INDEX(data!B$3:B$16128,SMALL(IF(data!$D$3:$D$16128='Надежда'!$B$1,ROW(data!$A$3:$A$16128)-ROW($A$3)+1),ROWS(C$4:C181))),"")</f>
        <v>-500</v>
      </c>
      <c r="D181" s="7" t="str">
        <f t="array" ref="D181">IF(ROWS(D$4:D181)&lt;=$B$2,INDEX(data!E$3:E$16128,SMALL(IF(data!$D$3:$D$16128='Надежда'!$B$1,ROW(data!$A$3:$A$16128)-ROW($A$3)+1),ROWS(D$4:D181))),"")</f>
        <v/>
      </c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3">
        <f t="array" ref="A182">IF(ROWS(A$4:A182)&lt;=$B$2,INDEX(data!C$3:C$16128,SMALL(IF(data!$D$3:$D$16128='Надежда'!$B$1,ROW(data!$A$3:$A$16128)-ROW($A$3)+1),ROWS(A$4:A182))),"")</f>
        <v>46234</v>
      </c>
      <c r="B182" s="19" t="str">
        <f t="array" ref="B182">IF(ROWS(B$4:B182)&lt;=$B$2,INDEX(data!A$3:A$16128,SMALL(IF(data!$D$3:$D$16128='Надежда'!$B$1,ROW(data!$A$3:$A$16128)-ROW($A$3)+1),ROWS(B$4:B182))),"")</f>
        <v>КАСОВА КНИГА</v>
      </c>
      <c r="C182" s="19">
        <f t="array" ref="C182">IF(ROWS(C$4:C182)&lt;=$B$2,INDEX(data!B$3:B$16128,SMALL(IF(data!$D$3:$D$16128='Надежда'!$B$1,ROW(data!$A$3:$A$16128)-ROW($A$3)+1),ROWS(C$4:C182))),"")</f>
        <v>-410</v>
      </c>
      <c r="D182" s="7" t="str">
        <f t="array" ref="D182">IF(ROWS(D$4:D182)&lt;=$B$2,INDEX(data!E$3:E$16128,SMALL(IF(data!$D$3:$D$16128='Надежда'!$B$1,ROW(data!$A$3:$A$16128)-ROW($A$3)+1),ROWS(D$4:D182))),"")</f>
        <v>Надежда - Камелия - Чужденци</v>
      </c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3">
        <f t="array" ref="A183">IF(ROWS(A$4:A183)&lt;=$B$2,INDEX(data!C$3:C$16128,SMALL(IF(data!$D$3:$D$16128='Надежда'!$B$1,ROW(data!$A$3:$A$16128)-ROW($A$3)+1),ROWS(A$4:A183))),"")</f>
        <v>46234</v>
      </c>
      <c r="B183" s="19" t="str">
        <f t="array" ref="B183">IF(ROWS(B$4:B183)&lt;=$B$2,INDEX(data!A$3:A$16128,SMALL(IF(data!$D$3:$D$16128='Надежда'!$B$1,ROW(data!$A$3:$A$16128)-ROW($A$3)+1),ROWS(B$4:B183))),"")</f>
        <v>каса ФИКТИВНА</v>
      </c>
      <c r="C183" s="19">
        <f t="array" ref="C183">IF(ROWS(C$4:C183)&lt;=$B$2,INDEX(data!B$3:B$16128,SMALL(IF(data!$D$3:$D$16128='Надежда'!$B$1,ROW(data!$A$3:$A$16128)-ROW($A$3)+1),ROWS(C$4:C183))),"")</f>
        <v>-100.2</v>
      </c>
      <c r="D183" s="7" t="str">
        <f t="array" ref="D183">IF(ROWS(D$4:D183)&lt;=$B$2,INDEX(data!E$3:E$16128,SMALL(IF(data!$D$3:$D$16128='Надежда'!$B$1,ROW(data!$A$3:$A$16128)-ROW($A$3)+1),ROWS(D$4:D183))),"")</f>
        <v>Колет Ния</v>
      </c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3">
        <f t="array" ref="A184">IF(ROWS(A$4:A184)&lt;=$B$2,INDEX(data!C$3:C$16128,SMALL(IF(data!$D$3:$D$16128='Надежда'!$B$1,ROW(data!$A$3:$A$16128)-ROW($A$3)+1),ROWS(A$4:A184))),"")</f>
        <v>46234</v>
      </c>
      <c r="B184" s="19" t="str">
        <f t="array" ref="B184">IF(ROWS(B$4:B184)&lt;=$B$2,INDEX(data!A$3:A$16128,SMALL(IF(data!$D$3:$D$16128='Надежда'!$B$1,ROW(data!$A$3:$A$16128)-ROW($A$3)+1),ROWS(B$4:B184))),"")</f>
        <v>каса ФИКТИВНА</v>
      </c>
      <c r="C184" s="19">
        <f t="array" ref="C184">IF(ROWS(C$4:C184)&lt;=$B$2,INDEX(data!B$3:B$16128,SMALL(IF(data!$D$3:$D$16128='Надежда'!$B$1,ROW(data!$A$3:$A$16128)-ROW($A$3)+1),ROWS(C$4:C184))),"")</f>
        <v>-55</v>
      </c>
      <c r="D184" s="7" t="str">
        <f t="array" ref="D184">IF(ROWS(D$4:D184)&lt;=$B$2,INDEX(data!E$3:E$16128,SMALL(IF(data!$D$3:$D$16128='Надежда'!$B$1,ROW(data!$A$3:$A$16128)-ROW($A$3)+1),ROWS(D$4:D184))),"")</f>
        <v>Колет Тихомир</v>
      </c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3">
        <f t="array" ref="A185">IF(ROWS(A$4:A185)&lt;=$B$2,INDEX(data!C$3:C$16128,SMALL(IF(data!$D$3:$D$16128='Надежда'!$B$1,ROW(data!$A$3:$A$16128)-ROW($A$3)+1),ROWS(A$4:A185))),"")</f>
        <v>46237</v>
      </c>
      <c r="B185" s="19" t="str">
        <f t="array" ref="B185">IF(ROWS(B$4:B185)&lt;=$B$2,INDEX(data!A$3:A$16128,SMALL(IF(data!$D$3:$D$16128='Надежда'!$B$1,ROW(data!$A$3:$A$16128)-ROW($A$3)+1),ROWS(B$4:B185))),"")</f>
        <v>MYPOS Бакалия</v>
      </c>
      <c r="C185" s="19">
        <f t="array" ref="C185">IF(ROWS(C$4:C185)&lt;=$B$2,INDEX(data!B$3:B$16128,SMALL(IF(data!$D$3:$D$16128='Надежда'!$B$1,ROW(data!$A$3:$A$16128)-ROW($A$3)+1),ROWS(C$4:C185))),"")</f>
        <v>-8155.41</v>
      </c>
      <c r="D185" s="7" t="str">
        <f t="array" ref="D185">IF(ROWS(D$4:D185)&lt;=$B$2,INDEX(data!E$3:E$16128,SMALL(IF(data!$D$3:$D$16128='Надежда'!$B$1,ROW(data!$A$3:$A$16128)-ROW($A$3)+1),ROWS(D$4:D185))),"")</f>
        <v/>
      </c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3">
        <f t="array" ref="A186">IF(ROWS(A$4:A186)&lt;=$B$2,INDEX(data!C$3:C$16128,SMALL(IF(data!$D$3:$D$16128='Надежда'!$B$1,ROW(data!$A$3:$A$16128)-ROW($A$3)+1),ROWS(A$4:A186))),"")</f>
        <v>46237</v>
      </c>
      <c r="B186" s="19" t="str">
        <f t="array" ref="B186">IF(ROWS(B$4:B186)&lt;=$B$2,INDEX(data!A$3:A$16128,SMALL(IF(data!$D$3:$D$16128='Надежда'!$B$1,ROW(data!$A$3:$A$16128)-ROW($A$3)+1),ROWS(B$4:B186))),"")</f>
        <v>КАСОВА КНИГА</v>
      </c>
      <c r="C186" s="19">
        <f t="array" ref="C186">IF(ROWS(C$4:C186)&lt;=$B$2,INDEX(data!B$3:B$16128,SMALL(IF(data!$D$3:$D$16128='Надежда'!$B$1,ROW(data!$A$3:$A$16128)-ROW($A$3)+1),ROWS(C$4:C186))),"")</f>
        <v>-1500</v>
      </c>
      <c r="D186" s="7" t="str">
        <f t="array" ref="D186">IF(ROWS(D$4:D186)&lt;=$B$2,INDEX(data!E$3:E$16128,SMALL(IF(data!$D$3:$D$16128='Надежда'!$B$1,ROW(data!$A$3:$A$16128)-ROW($A$3)+1),ROWS(D$4:D186))),"")</f>
        <v/>
      </c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3">
        <f t="array" ref="A187">IF(ROWS(A$4:A187)&lt;=$B$2,INDEX(data!C$3:C$16128,SMALL(IF(data!$D$3:$D$16128='Надежда'!$B$1,ROW(data!$A$3:$A$16128)-ROW($A$3)+1),ROWS(A$4:A187))),"")</f>
        <v>46239</v>
      </c>
      <c r="B187" s="19" t="str">
        <f t="array" ref="B187">IF(ROWS(B$4:B187)&lt;=$B$2,INDEX(data!A$3:A$16128,SMALL(IF(data!$D$3:$D$16128='Надежда'!$B$1,ROW(data!$A$3:$A$16128)-ROW($A$3)+1),ROWS(B$4:B187))),"")</f>
        <v>КАСОВА КНИГА</v>
      </c>
      <c r="C187" s="19">
        <f t="array" ref="C187">IF(ROWS(C$4:C187)&lt;=$B$2,INDEX(data!B$3:B$16128,SMALL(IF(data!$D$3:$D$16128='Надежда'!$B$1,ROW(data!$A$3:$A$16128)-ROW($A$3)+1),ROWS(C$4:C187))),"")</f>
        <v>-700</v>
      </c>
      <c r="D187" s="7" t="str">
        <f t="array" ref="D187">IF(ROWS(D$4:D187)&lt;=$B$2,INDEX(data!E$3:E$16128,SMALL(IF(data!$D$3:$D$16128='Надежда'!$B$1,ROW(data!$A$3:$A$16128)-ROW($A$3)+1),ROWS(D$4:D187))),"")</f>
        <v/>
      </c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3">
        <f t="array" ref="A188">IF(ROWS(A$4:A188)&lt;=$B$2,INDEX(data!C$3:C$16128,SMALL(IF(data!$D$3:$D$16128='Надежда'!$B$1,ROW(data!$A$3:$A$16128)-ROW($A$3)+1),ROWS(A$4:A188))),"")</f>
        <v>46241</v>
      </c>
      <c r="B188" s="19" t="str">
        <f t="array" ref="B188">IF(ROWS(B$4:B188)&lt;=$B$2,INDEX(data!A$3:A$16128,SMALL(IF(data!$D$3:$D$16128='Надежда'!$B$1,ROW(data!$A$3:$A$16128)-ROW($A$3)+1),ROWS(B$4:B188))),"")</f>
        <v>КАСОВА КНИГА</v>
      </c>
      <c r="C188" s="19">
        <f t="array" ref="C188">IF(ROWS(C$4:C188)&lt;=$B$2,INDEX(data!B$3:B$16128,SMALL(IF(data!$D$3:$D$16128='Надежда'!$B$1,ROW(data!$A$3:$A$16128)-ROW($A$3)+1),ROWS(C$4:C188))),"")</f>
        <v>-180</v>
      </c>
      <c r="D188" s="7" t="str">
        <f t="array" ref="D188">IF(ROWS(D$4:D188)&lt;=$B$2,INDEX(data!E$3:E$16128,SMALL(IF(data!$D$3:$D$16128='Надежда'!$B$1,ROW(data!$A$3:$A$16128)-ROW($A$3)+1),ROWS(D$4:D188))),"")</f>
        <v>гражданска Митко</v>
      </c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3">
        <f t="array" ref="A189">IF(ROWS(A$4:A189)&lt;=$B$2,INDEX(data!C$3:C$16128,SMALL(IF(data!$D$3:$D$16128='Надежда'!$B$1,ROW(data!$A$3:$A$16128)-ROW($A$3)+1),ROWS(A$4:A189))),"")</f>
        <v>46244</v>
      </c>
      <c r="B189" s="19" t="str">
        <f t="array" ref="B189">IF(ROWS(B$4:B189)&lt;=$B$2,INDEX(data!A$3:A$16128,SMALL(IF(data!$D$3:$D$16128='Надежда'!$B$1,ROW(data!$A$3:$A$16128)-ROW($A$3)+1),ROWS(B$4:B189))),"")</f>
        <v>MYPOS Бакалия</v>
      </c>
      <c r="C189" s="19">
        <f t="array" ref="C189">IF(ROWS(C$4:C189)&lt;=$B$2,INDEX(data!B$3:B$16128,SMALL(IF(data!$D$3:$D$16128='Надежда'!$B$1,ROW(data!$A$3:$A$16128)-ROW($A$3)+1),ROWS(C$4:C189))),"")</f>
        <v>-7467.18</v>
      </c>
      <c r="D189" s="7" t="str">
        <f t="array" ref="D189">IF(ROWS(D$4:D189)&lt;=$B$2,INDEX(data!E$3:E$16128,SMALL(IF(data!$D$3:$D$16128='Надежда'!$B$1,ROW(data!$A$3:$A$16128)-ROW($A$3)+1),ROWS(D$4:D189))),"")</f>
        <v/>
      </c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3">
        <f t="array" ref="A190">IF(ROWS(A$4:A190)&lt;=$B$2,INDEX(data!C$3:C$16128,SMALL(IF(data!$D$3:$D$16128='Надежда'!$B$1,ROW(data!$A$3:$A$16128)-ROW($A$3)+1),ROWS(A$4:A190))),"")</f>
        <v>46244</v>
      </c>
      <c r="B190" s="19" t="str">
        <f t="array" ref="B190">IF(ROWS(B$4:B190)&lt;=$B$2,INDEX(data!A$3:A$16128,SMALL(IF(data!$D$3:$D$16128='Надежда'!$B$1,ROW(data!$A$3:$A$16128)-ROW($A$3)+1),ROWS(B$4:B190))),"")</f>
        <v>КАСОВА КНИГА</v>
      </c>
      <c r="C190" s="19">
        <f t="array" ref="C190">IF(ROWS(C$4:C190)&lt;=$B$2,INDEX(data!B$3:B$16128,SMALL(IF(data!$D$3:$D$16128='Надежда'!$B$1,ROW(data!$A$3:$A$16128)-ROW($A$3)+1),ROWS(C$4:C190))),"")</f>
        <v>-1000</v>
      </c>
      <c r="D190" s="7" t="str">
        <f t="array" ref="D190">IF(ROWS(D$4:D190)&lt;=$B$2,INDEX(data!E$3:E$16128,SMALL(IF(data!$D$3:$D$16128='Надежда'!$B$1,ROW(data!$A$3:$A$16128)-ROW($A$3)+1),ROWS(D$4:D190))),"")</f>
        <v/>
      </c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3">
        <f t="array" ref="A191">IF(ROWS(A$4:A191)&lt;=$B$2,INDEX(data!C$3:C$16128,SMALL(IF(data!$D$3:$D$16128='Надежда'!$B$1,ROW(data!$A$3:$A$16128)-ROW($A$3)+1),ROWS(A$4:A191))),"")</f>
        <v>46244</v>
      </c>
      <c r="B191" s="19" t="str">
        <f t="array" ref="B191">IF(ROWS(B$4:B191)&lt;=$B$2,INDEX(data!A$3:A$16128,SMALL(IF(data!$D$3:$D$16128='Надежда'!$B$1,ROW(data!$A$3:$A$16128)-ROW($A$3)+1),ROWS(B$4:B191))),"")</f>
        <v>каса ФИКТИВНА</v>
      </c>
      <c r="C191" s="19">
        <f t="array" ref="C191">IF(ROWS(C$4:C191)&lt;=$B$2,INDEX(data!B$3:B$16128,SMALL(IF(data!$D$3:$D$16128='Надежда'!$B$1,ROW(data!$A$3:$A$16128)-ROW($A$3)+1),ROWS(C$4:C191))),"")</f>
        <v>-218</v>
      </c>
      <c r="D191" s="7" t="str">
        <f t="array" ref="D191">IF(ROWS(D$4:D191)&lt;=$B$2,INDEX(data!E$3:E$16128,SMALL(IF(data!$D$3:$D$16128='Надежда'!$B$1,ROW(data!$A$3:$A$16128)-ROW($A$3)+1),ROWS(D$4:D191))),"")</f>
        <v>колет Ния</v>
      </c>
      <c r="E191" s="11"/>
      <c r="F191" s="11"/>
      <c r="G191" s="11"/>
      <c r="H191" s="14"/>
      <c r="I191" s="14"/>
      <c r="J191" s="14"/>
      <c r="K191" s="14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3">
        <f t="array" ref="A192">IF(ROWS(A$4:A192)&lt;=$B$2,INDEX(data!C$3:C$16128,SMALL(IF(data!$D$3:$D$16128='Надежда'!$B$1,ROW(data!$A$3:$A$16128)-ROW($A$3)+1),ROWS(A$4:A192))),"")</f>
        <v>46246</v>
      </c>
      <c r="B192" s="19" t="str">
        <f t="array" ref="B192">IF(ROWS(B$4:B192)&lt;=$B$2,INDEX(data!A$3:A$16128,SMALL(IF(data!$D$3:$D$16128='Надежда'!$B$1,ROW(data!$A$3:$A$16128)-ROW($A$3)+1),ROWS(B$4:B192))),"")</f>
        <v>КАСОВА КНИГА</v>
      </c>
      <c r="C192" s="19">
        <f t="array" ref="C192">IF(ROWS(C$4:C192)&lt;=$B$2,INDEX(data!B$3:B$16128,SMALL(IF(data!$D$3:$D$16128='Надежда'!$B$1,ROW(data!$A$3:$A$16128)-ROW($A$3)+1),ROWS(C$4:C192))),"")</f>
        <v>-500</v>
      </c>
      <c r="D192" s="7" t="str">
        <f t="array" ref="D192">IF(ROWS(D$4:D192)&lt;=$B$2,INDEX(data!E$3:E$16128,SMALL(IF(data!$D$3:$D$16128='Надежда'!$B$1,ROW(data!$A$3:$A$16128)-ROW($A$3)+1),ROWS(D$4:D192))),"")</f>
        <v/>
      </c>
      <c r="E192" s="11"/>
      <c r="F192" s="11"/>
      <c r="G192" s="11"/>
      <c r="H192" s="14"/>
      <c r="I192" s="14"/>
      <c r="J192" s="14"/>
      <c r="K192" s="1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3">
        <f t="array" ref="A193">IF(ROWS(A$4:A193)&lt;=$B$2,INDEX(data!C$3:C$16128,SMALL(IF(data!$D$3:$D$16128='Надежда'!$B$1,ROW(data!$A$3:$A$16128)-ROW($A$3)+1),ROWS(A$4:A193))),"")</f>
        <v>46247</v>
      </c>
      <c r="B193" s="19" t="str">
        <f t="array" ref="B193">IF(ROWS(B$4:B193)&lt;=$B$2,INDEX(data!A$3:A$16128,SMALL(IF(data!$D$3:$D$16128='Надежда'!$B$1,ROW(data!$A$3:$A$16128)-ROW($A$3)+1),ROWS(B$4:B193))),"")</f>
        <v>каса ФИКТИВНА</v>
      </c>
      <c r="C193" s="19">
        <f t="array" ref="C193">IF(ROWS(C$4:C193)&lt;=$B$2,INDEX(data!B$3:B$16128,SMALL(IF(data!$D$3:$D$16128='Надежда'!$B$1,ROW(data!$A$3:$A$16128)-ROW($A$3)+1),ROWS(C$4:C193))),"")</f>
        <v>-174.86</v>
      </c>
      <c r="D193" s="7" t="str">
        <f t="array" ref="D193">IF(ROWS(D$4:D193)&lt;=$B$2,INDEX(data!E$3:E$16128,SMALL(IF(data!$D$3:$D$16128='Надежда'!$B$1,ROW(data!$A$3:$A$16128)-ROW($A$3)+1),ROWS(D$4:D193))),"")</f>
        <v>колет Милена</v>
      </c>
      <c r="E193" s="11"/>
      <c r="F193" s="11"/>
      <c r="G193" s="11"/>
      <c r="H193" s="14"/>
      <c r="I193" s="14"/>
      <c r="J193" s="14"/>
      <c r="K193" s="14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3">
        <f t="array" ref="A194">IF(ROWS(A$4:A194)&lt;=$B$2,INDEX(data!C$3:C$16128,SMALL(IF(data!$D$3:$D$16128='Надежда'!$B$1,ROW(data!$A$3:$A$16128)-ROW($A$3)+1),ROWS(A$4:A194))),"")</f>
        <v>46248</v>
      </c>
      <c r="B194" s="19" t="str">
        <f t="array" ref="B194">IF(ROWS(B$4:B194)&lt;=$B$2,INDEX(data!A$3:A$16128,SMALL(IF(data!$D$3:$D$16128='Надежда'!$B$1,ROW(data!$A$3:$A$16128)-ROW($A$3)+1),ROWS(B$4:B194))),"")</f>
        <v>КАСОВА КНИГА</v>
      </c>
      <c r="C194" s="19">
        <f t="array" ref="C194">IF(ROWS(C$4:C194)&lt;=$B$2,INDEX(data!B$3:B$16128,SMALL(IF(data!$D$3:$D$16128='Надежда'!$B$1,ROW(data!$A$3:$A$16128)-ROW($A$3)+1),ROWS(C$4:C194))),"")</f>
        <v>-890</v>
      </c>
      <c r="D194" s="7" t="str">
        <f t="array" ref="D194">IF(ROWS(D$4:D194)&lt;=$B$2,INDEX(data!E$3:E$16128,SMALL(IF(data!$D$3:$D$16128='Надежда'!$B$1,ROW(data!$A$3:$A$16128)-ROW($A$3)+1),ROWS(D$4:D194))),"")</f>
        <v/>
      </c>
      <c r="E194" s="11"/>
      <c r="F194" s="11"/>
      <c r="G194" s="11"/>
      <c r="H194" s="14"/>
      <c r="I194" s="14"/>
      <c r="J194" s="14"/>
      <c r="K194" s="14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3">
        <f t="array" ref="A195">IF(ROWS(A$4:A195)&lt;=$B$2,INDEX(data!C$3:C$16128,SMALL(IF(data!$D$3:$D$16128='Надежда'!$B$1,ROW(data!$A$3:$A$16128)-ROW($A$3)+1),ROWS(A$4:A195))),"")</f>
        <v>46248</v>
      </c>
      <c r="B195" s="19" t="str">
        <f t="array" ref="B195">IF(ROWS(B$4:B195)&lt;=$B$2,INDEX(data!A$3:A$16128,SMALL(IF(data!$D$3:$D$16128='Надежда'!$B$1,ROW(data!$A$3:$A$16128)-ROW($A$3)+1),ROWS(B$4:B195))),"")</f>
        <v>КАСОВА КНИГА</v>
      </c>
      <c r="C195" s="19">
        <f t="array" ref="C195">IF(ROWS(C$4:C195)&lt;=$B$2,INDEX(data!B$3:B$16128,SMALL(IF(data!$D$3:$D$16128='Надежда'!$B$1,ROW(data!$A$3:$A$16128)-ROW($A$3)+1),ROWS(C$4:C195))),"")</f>
        <v>-80</v>
      </c>
      <c r="D195" s="7" t="str">
        <f t="array" ref="D195">IF(ROWS(D$4:D195)&lt;=$B$2,INDEX(data!E$3:E$16128,SMALL(IF(data!$D$3:$D$16128='Надежда'!$B$1,ROW(data!$A$3:$A$16128)-ROW($A$3)+1),ROWS(D$4:D195))),"")</f>
        <v>гражданска Митко</v>
      </c>
      <c r="E195" s="11"/>
      <c r="F195" s="11"/>
      <c r="G195" s="11"/>
      <c r="H195" s="14"/>
      <c r="I195" s="14"/>
      <c r="J195" s="14"/>
      <c r="K195" s="14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3">
        <f t="array" ref="A196">IF(ROWS(A$4:A196)&lt;=$B$2,INDEX(data!C$3:C$16128,SMALL(IF(data!$D$3:$D$16128='Надежда'!$B$1,ROW(data!$A$3:$A$16128)-ROW($A$3)+1),ROWS(A$4:A196))),"")</f>
        <v>46248</v>
      </c>
      <c r="B196" s="19" t="str">
        <f t="array" ref="B196">IF(ROWS(B$4:B196)&lt;=$B$2,INDEX(data!A$3:A$16128,SMALL(IF(data!$D$3:$D$16128='Надежда'!$B$1,ROW(data!$A$3:$A$16128)-ROW($A$3)+1),ROWS(B$4:B196))),"")</f>
        <v>Каса ВАУЧЕРИ</v>
      </c>
      <c r="C196" s="19">
        <f t="array" ref="C196">IF(ROWS(C$4:C196)&lt;=$B$2,INDEX(data!B$3:B$16128,SMALL(IF(data!$D$3:$D$16128='Надежда'!$B$1,ROW(data!$A$3:$A$16128)-ROW($A$3)+1),ROWS(C$4:C196))),"")</f>
        <v>-2</v>
      </c>
      <c r="D196" s="7" t="str">
        <f t="array" ref="D196">IF(ROWS(D$4:D196)&lt;=$B$2,INDEX(data!E$3:E$16128,SMALL(IF(data!$D$3:$D$16128='Надежда'!$B$1,ROW(data!$A$3:$A$16128)-ROW($A$3)+1),ROWS(D$4:D196))),"")</f>
        <v>към 29.07</v>
      </c>
      <c r="E196" s="11"/>
      <c r="F196" s="11"/>
      <c r="G196" s="11"/>
      <c r="H196" s="14"/>
      <c r="I196" s="14"/>
      <c r="J196" s="14"/>
      <c r="K196" s="14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3">
        <f t="array" ref="A197">IF(ROWS(A$4:A197)&lt;=$B$2,INDEX(data!C$3:C$16128,SMALL(IF(data!$D$3:$D$16128='Надежда'!$B$1,ROW(data!$A$3:$A$16128)-ROW($A$3)+1),ROWS(A$4:A197))),"")</f>
        <v>46248</v>
      </c>
      <c r="B197" s="19" t="str">
        <f t="array" ref="B197">IF(ROWS(B$4:B197)&lt;=$B$2,INDEX(data!A$3:A$16128,SMALL(IF(data!$D$3:$D$16128='Надежда'!$B$1,ROW(data!$A$3:$A$16128)-ROW($A$3)+1),ROWS(B$4:B197))),"")</f>
        <v>Каса ВАУЧЕРИ</v>
      </c>
      <c r="C197" s="19">
        <f t="array" ref="C197">IF(ROWS(C$4:C197)&lt;=$B$2,INDEX(data!B$3:B$16128,SMALL(IF(data!$D$3:$D$16128='Надежда'!$B$1,ROW(data!$A$3:$A$16128)-ROW($A$3)+1),ROWS(C$4:C197))),"")</f>
        <v>-10</v>
      </c>
      <c r="D197" s="7" t="str">
        <f t="array" ref="D197">IF(ROWS(D$4:D197)&lt;=$B$2,INDEX(data!E$3:E$16128,SMALL(IF(data!$D$3:$D$16128='Надежда'!$B$1,ROW(data!$A$3:$A$16128)-ROW($A$3)+1),ROWS(D$4:D197))),"")</f>
        <v>към 03.08</v>
      </c>
      <c r="E197" s="11"/>
      <c r="F197" s="11"/>
      <c r="G197" s="11"/>
      <c r="H197" s="14"/>
      <c r="I197" s="14"/>
      <c r="J197" s="14"/>
      <c r="K197" s="14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3">
        <f t="array" ref="A198">IF(ROWS(A$4:A198)&lt;=$B$2,INDEX(data!C$3:C$16128,SMALL(IF(data!$D$3:$D$16128='Надежда'!$B$1,ROW(data!$A$3:$A$16128)-ROW($A$3)+1),ROWS(A$4:A198))),"")</f>
        <v>46251</v>
      </c>
      <c r="B198" s="19" t="str">
        <f t="array" ref="B198">IF(ROWS(B$4:B198)&lt;=$B$2,INDEX(data!A$3:A$16128,SMALL(IF(data!$D$3:$D$16128='Надежда'!$B$1,ROW(data!$A$3:$A$16128)-ROW($A$3)+1),ROWS(B$4:B198))),"")</f>
        <v>MYPOS Бакалия</v>
      </c>
      <c r="C198" s="19">
        <f t="array" ref="C198">IF(ROWS(C$4:C198)&lt;=$B$2,INDEX(data!B$3:B$16128,SMALL(IF(data!$D$3:$D$16128='Надежда'!$B$1,ROW(data!$A$3:$A$16128)-ROW($A$3)+1),ROWS(C$4:C198))),"")</f>
        <v>-6981.89</v>
      </c>
      <c r="D198" s="7" t="str">
        <f t="array" ref="D198">IF(ROWS(D$4:D198)&lt;=$B$2,INDEX(data!E$3:E$16128,SMALL(IF(data!$D$3:$D$16128='Надежда'!$B$1,ROW(data!$A$3:$A$16128)-ROW($A$3)+1),ROWS(D$4:D198))),"")</f>
        <v/>
      </c>
      <c r="E198" s="11"/>
      <c r="F198" s="11"/>
      <c r="G198" s="11"/>
      <c r="H198" s="14"/>
      <c r="I198" s="14"/>
      <c r="J198" s="14"/>
      <c r="K198" s="14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3">
        <f t="array" ref="A199">IF(ROWS(A$4:A199)&lt;=$B$2,INDEX(data!C$3:C$16128,SMALL(IF(data!$D$3:$D$16128='Надежда'!$B$1,ROW(data!$A$3:$A$16128)-ROW($A$3)+1),ROWS(A$4:A199))),"")</f>
        <v>46251</v>
      </c>
      <c r="B199" s="19" t="str">
        <f t="array" ref="B199">IF(ROWS(B$4:B199)&lt;=$B$2,INDEX(data!A$3:A$16128,SMALL(IF(data!$D$3:$D$16128='Надежда'!$B$1,ROW(data!$A$3:$A$16128)-ROW($A$3)+1),ROWS(B$4:B199))),"")</f>
        <v>КАСОВА КНИГА</v>
      </c>
      <c r="C199" s="19">
        <f t="array" ref="C199">IF(ROWS(C$4:C199)&lt;=$B$2,INDEX(data!B$3:B$16128,SMALL(IF(data!$D$3:$D$16128='Надежда'!$B$1,ROW(data!$A$3:$A$16128)-ROW($A$3)+1),ROWS(C$4:C199))),"")</f>
        <v>-1000</v>
      </c>
      <c r="D199" s="7" t="str">
        <f t="array" ref="D199">IF(ROWS(D$4:D199)&lt;=$B$2,INDEX(data!E$3:E$16128,SMALL(IF(data!$D$3:$D$16128='Надежда'!$B$1,ROW(data!$A$3:$A$16128)-ROW($A$3)+1),ROWS(D$4:D199))),"")</f>
        <v/>
      </c>
      <c r="E199" s="11"/>
      <c r="F199" s="11"/>
      <c r="G199" s="11"/>
      <c r="H199" s="14"/>
      <c r="I199" s="14"/>
      <c r="J199" s="14"/>
      <c r="K199" s="14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3">
        <f t="array" ref="A200">IF(ROWS(A$4:A200)&lt;=$B$2,INDEX(data!C$3:C$16128,SMALL(IF(data!$D$3:$D$16128='Надежда'!$B$1,ROW(data!$A$3:$A$16128)-ROW($A$3)+1),ROWS(A$4:A200))),"")</f>
        <v>46253</v>
      </c>
      <c r="B200" s="19" t="str">
        <f t="array" ref="B200">IF(ROWS(B$4:B200)&lt;=$B$2,INDEX(data!A$3:A$16128,SMALL(IF(data!$D$3:$D$16128='Надежда'!$B$1,ROW(data!$A$3:$A$16128)-ROW($A$3)+1),ROWS(B$4:B200))),"")</f>
        <v>КАСОВА КНИГА</v>
      </c>
      <c r="C200" s="19">
        <f t="array" ref="C200">IF(ROWS(C$4:C200)&lt;=$B$2,INDEX(data!B$3:B$16128,SMALL(IF(data!$D$3:$D$16128='Надежда'!$B$1,ROW(data!$A$3:$A$16128)-ROW($A$3)+1),ROWS(C$4:C200))),"")</f>
        <v>-1000</v>
      </c>
      <c r="D200" s="7" t="str">
        <f t="array" ref="D200">IF(ROWS(D$4:D200)&lt;=$B$2,INDEX(data!E$3:E$16128,SMALL(IF(data!$D$3:$D$16128='Надежда'!$B$1,ROW(data!$A$3:$A$16128)-ROW($A$3)+1),ROWS(D$4:D200))),"")</f>
        <v/>
      </c>
      <c r="E200" s="11"/>
      <c r="F200" s="11"/>
      <c r="G200" s="11"/>
      <c r="H200" s="14"/>
      <c r="I200" s="14"/>
      <c r="J200" s="14"/>
      <c r="K200" s="14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3">
        <f t="array" ref="A201">IF(ROWS(A$4:A201)&lt;=$B$2,INDEX(data!C$3:C$16128,SMALL(IF(data!$D$3:$D$16128='Надежда'!$B$1,ROW(data!$A$3:$A$16128)-ROW($A$3)+1),ROWS(A$4:A201))),"")</f>
        <v>46255</v>
      </c>
      <c r="B201" s="19" t="str">
        <f t="array" ref="B201">IF(ROWS(B$4:B201)&lt;=$B$2,INDEX(data!A$3:A$16128,SMALL(IF(data!$D$3:$D$16128='Надежда'!$B$1,ROW(data!$A$3:$A$16128)-ROW($A$3)+1),ROWS(B$4:B201))),"")</f>
        <v>Каса ВАУЧЕРИ</v>
      </c>
      <c r="C201" s="19">
        <f t="array" ref="C201">IF(ROWS(C$4:C201)&lt;=$B$2,INDEX(data!B$3:B$16128,SMALL(IF(data!$D$3:$D$16128='Надежда'!$B$1,ROW(data!$A$3:$A$16128)-ROW($A$3)+1),ROWS(C$4:C201))),"")</f>
        <v>700</v>
      </c>
      <c r="D201" s="7" t="str">
        <f t="array" ref="D201">IF(ROWS(D$4:D201)&lt;=$B$2,INDEX(data!E$3:E$16128,SMALL(IF(data!$D$3:$D$16128='Надежда'!$B$1,ROW(data!$A$3:$A$16128)-ROW($A$3)+1),ROWS(D$4:D201))),"")</f>
        <v>ваучери персонал</v>
      </c>
      <c r="E201" s="11"/>
      <c r="F201" s="11"/>
      <c r="G201" s="11"/>
      <c r="H201" s="14"/>
      <c r="I201" s="14"/>
      <c r="J201" s="14"/>
      <c r="K201" s="14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3">
        <f t="array" ref="A202">IF(ROWS(A$4:A202)&lt;=$B$2,INDEX(data!C$3:C$16128,SMALL(IF(data!$D$3:$D$16128='Надежда'!$B$1,ROW(data!$A$3:$A$16128)-ROW($A$3)+1),ROWS(A$4:A202))),"")</f>
        <v>46258</v>
      </c>
      <c r="B202" s="19" t="str">
        <f t="array" ref="B202">IF(ROWS(B$4:B202)&lt;=$B$2,INDEX(data!A$3:A$16128,SMALL(IF(data!$D$3:$D$16128='Надежда'!$B$1,ROW(data!$A$3:$A$16128)-ROW($A$3)+1),ROWS(B$4:B202))),"")</f>
        <v>MYPOS Бакалия</v>
      </c>
      <c r="C202" s="19">
        <f t="array" ref="C202">IF(ROWS(C$4:C202)&lt;=$B$2,INDEX(data!B$3:B$16128,SMALL(IF(data!$D$3:$D$16128='Надежда'!$B$1,ROW(data!$A$3:$A$16128)-ROW($A$3)+1),ROWS(C$4:C202))),"")</f>
        <v>-7677.7</v>
      </c>
      <c r="D202" s="7" t="str">
        <f t="array" ref="D202">IF(ROWS(D$4:D202)&lt;=$B$2,INDEX(data!E$3:E$16128,SMALL(IF(data!$D$3:$D$16128='Надежда'!$B$1,ROW(data!$A$3:$A$16128)-ROW($A$3)+1),ROWS(D$4:D202))),"")</f>
        <v/>
      </c>
      <c r="E202" s="11"/>
      <c r="F202" s="11"/>
      <c r="G202" s="11"/>
      <c r="H202" s="14"/>
      <c r="I202" s="14"/>
      <c r="J202" s="14"/>
      <c r="K202" s="14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3">
        <f t="array" ref="A203">IF(ROWS(A$4:A203)&lt;=$B$2,INDEX(data!C$3:C$16128,SMALL(IF(data!$D$3:$D$16128='Надежда'!$B$1,ROW(data!$A$3:$A$16128)-ROW($A$3)+1),ROWS(A$4:A203))),"")</f>
        <v>46258</v>
      </c>
      <c r="B203" s="19" t="str">
        <f t="array" ref="B203">IF(ROWS(B$4:B203)&lt;=$B$2,INDEX(data!A$3:A$16128,SMALL(IF(data!$D$3:$D$16128='Надежда'!$B$1,ROW(data!$A$3:$A$16128)-ROW($A$3)+1),ROWS(B$4:B203))),"")</f>
        <v>КАСОВА КНИГА</v>
      </c>
      <c r="C203" s="19">
        <f t="array" ref="C203">IF(ROWS(C$4:C203)&lt;=$B$2,INDEX(data!B$3:B$16128,SMALL(IF(data!$D$3:$D$16128='Надежда'!$B$1,ROW(data!$A$3:$A$16128)-ROW($A$3)+1),ROWS(C$4:C203))),"")</f>
        <v>-1500</v>
      </c>
      <c r="D203" s="7" t="str">
        <f t="array" ref="D203">IF(ROWS(D$4:D203)&lt;=$B$2,INDEX(data!E$3:E$16128,SMALL(IF(data!$D$3:$D$16128='Надежда'!$B$1,ROW(data!$A$3:$A$16128)-ROW($A$3)+1),ROWS(D$4:D203))),"")</f>
        <v/>
      </c>
      <c r="E203" s="11"/>
      <c r="F203" s="11"/>
      <c r="G203" s="11"/>
      <c r="H203" s="14"/>
      <c r="I203" s="14"/>
      <c r="J203" s="14"/>
      <c r="K203" s="14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3" t="str">
        <f t="array" ref="A204">IF(ROWS(A$4:A204)&lt;=$B$2,INDEX(data!C$3:C$16128,SMALL(IF(data!$D$3:$D$16128='Надежда'!$B$1,ROW(data!$A$3:$A$16128)-ROW($A$3)+1),ROWS(A$4:A204))),"")</f>
        <v/>
      </c>
      <c r="B204" s="19" t="str">
        <f t="array" ref="B204">IF(ROWS(B$4:B204)&lt;=$B$2,INDEX(data!A$3:A$16128,SMALL(IF(data!$D$3:$D$16128='Надежда'!$B$1,ROW(data!$A$3:$A$16128)-ROW($A$3)+1),ROWS(B$4:B204))),"")</f>
        <v/>
      </c>
      <c r="C204" s="19" t="str">
        <f t="array" ref="C204">IF(ROWS(C$4:C204)&lt;=$B$2,INDEX(data!B$3:B$16128,SMALL(IF(data!$D$3:$D$16128='Надежда'!$B$1,ROW(data!$A$3:$A$16128)-ROW($A$3)+1),ROWS(C$4:C204))),"")</f>
        <v/>
      </c>
      <c r="D204" s="7" t="str">
        <f t="array" ref="D204">IF(ROWS(D$4:D204)&lt;=$B$2,INDEX(data!E$3:E$16128,SMALL(IF(data!$D$3:$D$16128='Надежда'!$B$1,ROW(data!$A$3:$A$16128)-ROW($A$3)+1),ROWS(D$4:D204))),"")</f>
        <v/>
      </c>
      <c r="E204" s="11"/>
      <c r="F204" s="11"/>
      <c r="G204" s="11"/>
      <c r="H204" s="14"/>
      <c r="I204" s="14"/>
      <c r="J204" s="14"/>
      <c r="K204" s="14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3" t="str">
        <f t="array" ref="A205">IF(ROWS(A$4:A205)&lt;=$B$2,INDEX(data!C$3:C$16128,SMALL(IF(data!$D$3:$D$16128='Надежда'!$B$1,ROW(data!$A$3:$A$16128)-ROW($A$3)+1),ROWS(A$4:A205))),"")</f>
        <v/>
      </c>
      <c r="B205" s="19" t="str">
        <f t="array" ref="B205">IF(ROWS(B$4:B205)&lt;=$B$2,INDEX(data!A$3:A$16128,SMALL(IF(data!$D$3:$D$16128='Надежда'!$B$1,ROW(data!$A$3:$A$16128)-ROW($A$3)+1),ROWS(B$4:B205))),"")</f>
        <v/>
      </c>
      <c r="C205" s="19" t="str">
        <f t="array" ref="C205">IF(ROWS(C$4:C205)&lt;=$B$2,INDEX(data!B$3:B$16128,SMALL(IF(data!$D$3:$D$16128='Надежда'!$B$1,ROW(data!$A$3:$A$16128)-ROW($A$3)+1),ROWS(C$4:C205))),"")</f>
        <v/>
      </c>
      <c r="D205" s="7" t="str">
        <f t="array" ref="D205">IF(ROWS(D$4:D205)&lt;=$B$2,INDEX(data!E$3:E$16128,SMALL(IF(data!$D$3:$D$16128='Надежда'!$B$1,ROW(data!$A$3:$A$16128)-ROW($A$3)+1),ROWS(D$4:D205))),"")</f>
        <v/>
      </c>
      <c r="E205" s="11"/>
      <c r="F205" s="11"/>
      <c r="G205" s="11"/>
      <c r="H205" s="14"/>
      <c r="I205" s="14"/>
      <c r="J205" s="14"/>
      <c r="K205" s="14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3" t="str">
        <f t="array" ref="A206">IF(ROWS(A$4:A206)&lt;=$B$2,INDEX(data!C$3:C$16128,SMALL(IF(data!$D$3:$D$16128='Надежда'!$B$1,ROW(data!$A$3:$A$16128)-ROW($A$3)+1),ROWS(A$4:A206))),"")</f>
        <v/>
      </c>
      <c r="B206" s="19" t="str">
        <f t="array" ref="B206">IF(ROWS(B$4:B206)&lt;=$B$2,INDEX(data!A$3:A$16128,SMALL(IF(data!$D$3:$D$16128='Надежда'!$B$1,ROW(data!$A$3:$A$16128)-ROW($A$3)+1),ROWS(B$4:B206))),"")</f>
        <v/>
      </c>
      <c r="C206" s="19" t="str">
        <f t="array" ref="C206">IF(ROWS(C$4:C206)&lt;=$B$2,INDEX(data!B$3:B$16128,SMALL(IF(data!$D$3:$D$16128='Надежда'!$B$1,ROW(data!$A$3:$A$16128)-ROW($A$3)+1),ROWS(C$4:C206))),"")</f>
        <v/>
      </c>
      <c r="D206" s="7" t="str">
        <f t="array" ref="D206">IF(ROWS(D$4:D206)&lt;=$B$2,INDEX(data!E$3:E$16128,SMALL(IF(data!$D$3:$D$16128='Надежда'!$B$1,ROW(data!$A$3:$A$16128)-ROW($A$3)+1),ROWS(D$4:D206))),"")</f>
        <v/>
      </c>
      <c r="E206" s="11"/>
      <c r="F206" s="11"/>
      <c r="G206" s="11"/>
      <c r="H206" s="14"/>
      <c r="I206" s="14"/>
      <c r="J206" s="14"/>
      <c r="K206" s="14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3" t="str">
        <f t="array" ref="A207">IF(ROWS(A$4:A207)&lt;=$B$2,INDEX(data!C$3:C$16128,SMALL(IF(data!$D$3:$D$16128='Надежда'!$B$1,ROW(data!$A$3:$A$16128)-ROW($A$3)+1),ROWS(A$4:A207))),"")</f>
        <v/>
      </c>
      <c r="B207" s="19" t="str">
        <f t="array" ref="B207">IF(ROWS(B$4:B207)&lt;=$B$2,INDEX(data!A$3:A$16128,SMALL(IF(data!$D$3:$D$16128='Надежда'!$B$1,ROW(data!$A$3:$A$16128)-ROW($A$3)+1),ROWS(B$4:B207))),"")</f>
        <v/>
      </c>
      <c r="C207" s="19" t="str">
        <f t="array" ref="C207">IF(ROWS(C$4:C207)&lt;=$B$2,INDEX(data!B$3:B$16128,SMALL(IF(data!$D$3:$D$16128='Надежда'!$B$1,ROW(data!$A$3:$A$16128)-ROW($A$3)+1),ROWS(C$4:C207))),"")</f>
        <v/>
      </c>
      <c r="D207" s="7" t="str">
        <f t="array" ref="D207">IF(ROWS(D$4:D207)&lt;=$B$2,INDEX(data!E$3:E$16128,SMALL(IF(data!$D$3:$D$16128='Надежда'!$B$1,ROW(data!$A$3:$A$16128)-ROW($A$3)+1),ROWS(D$4:D207))),"")</f>
        <v/>
      </c>
      <c r="E207" s="11"/>
      <c r="F207" s="11"/>
      <c r="G207" s="11"/>
      <c r="H207" s="14"/>
      <c r="I207" s="14"/>
      <c r="J207" s="14"/>
      <c r="K207" s="14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3" t="str">
        <f t="array" ref="A208">IF(ROWS(A$4:A208)&lt;=$B$2,INDEX(data!C$3:C$16128,SMALL(IF(data!$D$3:$D$16128='Надежда'!$B$1,ROW(data!$A$3:$A$16128)-ROW($A$3)+1),ROWS(A$4:A208))),"")</f>
        <v/>
      </c>
      <c r="B208" s="19" t="str">
        <f t="array" ref="B208">IF(ROWS(B$4:B208)&lt;=$B$2,INDEX(data!A$3:A$16128,SMALL(IF(data!$D$3:$D$16128='Надежда'!$B$1,ROW(data!$A$3:$A$16128)-ROW($A$3)+1),ROWS(B$4:B208))),"")</f>
        <v/>
      </c>
      <c r="C208" s="19" t="str">
        <f t="array" ref="C208">IF(ROWS(C$4:C208)&lt;=$B$2,INDEX(data!B$3:B$16128,SMALL(IF(data!$D$3:$D$16128='Надежда'!$B$1,ROW(data!$A$3:$A$16128)-ROW($A$3)+1),ROWS(C$4:C208))),"")</f>
        <v/>
      </c>
      <c r="D208" s="7" t="str">
        <f t="array" ref="D208">IF(ROWS(D$4:D208)&lt;=$B$2,INDEX(data!E$3:E$16128,SMALL(IF(data!$D$3:$D$16128='Надежда'!$B$1,ROW(data!$A$3:$A$16128)-ROW($A$3)+1),ROWS(D$4:D208))),"")</f>
        <v/>
      </c>
      <c r="E208" s="11"/>
      <c r="F208" s="11"/>
      <c r="G208" s="11"/>
      <c r="H208" s="14"/>
      <c r="I208" s="14"/>
      <c r="J208" s="14"/>
      <c r="K208" s="14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3" t="str">
        <f t="array" ref="A209">IF(ROWS(A$4:A209)&lt;=$B$2,INDEX(data!C$3:C$16128,SMALL(IF(data!$D$3:$D$16128='Надежда'!$B$1,ROW(data!$A$3:$A$16128)-ROW($A$3)+1),ROWS(A$4:A209))),"")</f>
        <v/>
      </c>
      <c r="B209" s="19" t="str">
        <f t="array" ref="B209">IF(ROWS(B$4:B209)&lt;=$B$2,INDEX(data!A$3:A$16128,SMALL(IF(data!$D$3:$D$16128='Надежда'!$B$1,ROW(data!$A$3:$A$16128)-ROW($A$3)+1),ROWS(B$4:B209))),"")</f>
        <v/>
      </c>
      <c r="C209" s="19" t="str">
        <f t="array" ref="C209">IF(ROWS(C$4:C209)&lt;=$B$2,INDEX(data!B$3:B$16128,SMALL(IF(data!$D$3:$D$16128='Надежда'!$B$1,ROW(data!$A$3:$A$16128)-ROW($A$3)+1),ROWS(C$4:C209))),"")</f>
        <v/>
      </c>
      <c r="D209" s="7" t="str">
        <f t="array" ref="D209">IF(ROWS(D$4:D209)&lt;=$B$2,INDEX(data!E$3:E$16128,SMALL(IF(data!$D$3:$D$16128='Надежда'!$B$1,ROW(data!$A$3:$A$16128)-ROW($A$3)+1),ROWS(D$4:D209))),"")</f>
        <v/>
      </c>
      <c r="E209" s="11"/>
      <c r="F209" s="11"/>
      <c r="G209" s="11"/>
      <c r="H209" s="14"/>
      <c r="I209" s="14"/>
      <c r="J209" s="14"/>
      <c r="K209" s="14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3" t="str">
        <f t="array" ref="A210">IF(ROWS(A$4:A210)&lt;=$B$2,INDEX(data!C$3:C$16128,SMALL(IF(data!$D$3:$D$16128='Надежда'!$B$1,ROW(data!$A$3:$A$16128)-ROW($A$3)+1),ROWS(A$4:A210))),"")</f>
        <v/>
      </c>
      <c r="B210" s="19" t="str">
        <f t="array" ref="B210">IF(ROWS(B$4:B210)&lt;=$B$2,INDEX(data!A$3:A$16128,SMALL(IF(data!$D$3:$D$16128='Надежда'!$B$1,ROW(data!$A$3:$A$16128)-ROW($A$3)+1),ROWS(B$4:B210))),"")</f>
        <v/>
      </c>
      <c r="C210" s="19" t="str">
        <f t="array" ref="C210">IF(ROWS(C$4:C210)&lt;=$B$2,INDEX(data!B$3:B$16128,SMALL(IF(data!$D$3:$D$16128='Надежда'!$B$1,ROW(data!$A$3:$A$16128)-ROW($A$3)+1),ROWS(C$4:C210))),"")</f>
        <v/>
      </c>
      <c r="D210" s="7" t="str">
        <f t="array" ref="D210">IF(ROWS(D$4:D210)&lt;=$B$2,INDEX(data!E$3:E$16128,SMALL(IF(data!$D$3:$D$16128='Надежда'!$B$1,ROW(data!$A$3:$A$16128)-ROW($A$3)+1),ROWS(D$4:D210))),"")</f>
        <v/>
      </c>
      <c r="E210" s="11"/>
      <c r="F210" s="11"/>
      <c r="G210" s="11"/>
      <c r="H210" s="14"/>
      <c r="I210" s="14"/>
      <c r="J210" s="14"/>
      <c r="K210" s="14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3" t="str">
        <f t="array" ref="A211">IF(ROWS(A$4:A211)&lt;=$B$2,INDEX(data!C$3:C$16128,SMALL(IF(data!$D$3:$D$16128='Надежда'!$B$1,ROW(data!$A$3:$A$16128)-ROW($A$3)+1),ROWS(A$4:A211))),"")</f>
        <v/>
      </c>
      <c r="B211" s="19" t="str">
        <f t="array" ref="B211">IF(ROWS(B$4:B211)&lt;=$B$2,INDEX(data!A$3:A$16128,SMALL(IF(data!$D$3:$D$16128='Надежда'!$B$1,ROW(data!$A$3:$A$16128)-ROW($A$3)+1),ROWS(B$4:B211))),"")</f>
        <v/>
      </c>
      <c r="C211" s="19" t="str">
        <f t="array" ref="C211">IF(ROWS(C$4:C211)&lt;=$B$2,INDEX(data!B$3:B$16128,SMALL(IF(data!$D$3:$D$16128='Надежда'!$B$1,ROW(data!$A$3:$A$16128)-ROW($A$3)+1),ROWS(C$4:C211))),"")</f>
        <v/>
      </c>
      <c r="D211" s="7" t="str">
        <f t="array" ref="D211">IF(ROWS(D$4:D211)&lt;=$B$2,INDEX(data!E$3:E$16128,SMALL(IF(data!$D$3:$D$16128='Надежда'!$B$1,ROW(data!$A$3:$A$16128)-ROW($A$3)+1),ROWS(D$4:D211))),"")</f>
        <v/>
      </c>
      <c r="E211" s="11"/>
      <c r="F211" s="11"/>
      <c r="G211" s="11"/>
      <c r="H211" s="14"/>
      <c r="I211" s="14"/>
      <c r="J211" s="14"/>
      <c r="K211" s="14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3" t="str">
        <f t="array" ref="A212">IF(ROWS(A$4:A212)&lt;=$B$2,INDEX(data!C$3:C$16128,SMALL(IF(data!$D$3:$D$16128='Надежда'!$B$1,ROW(data!$A$3:$A$16128)-ROW($A$3)+1),ROWS(A$4:A212))),"")</f>
        <v/>
      </c>
      <c r="B212" s="19" t="str">
        <f t="array" ref="B212">IF(ROWS(B$4:B212)&lt;=$B$2,INDEX(data!A$3:A$16128,SMALL(IF(data!$D$3:$D$16128='Надежда'!$B$1,ROW(data!$A$3:$A$16128)-ROW($A$3)+1),ROWS(B$4:B212))),"")</f>
        <v/>
      </c>
      <c r="C212" s="19" t="str">
        <f t="array" ref="C212">IF(ROWS(C$4:C212)&lt;=$B$2,INDEX(data!B$3:B$16128,SMALL(IF(data!$D$3:$D$16128='Надежда'!$B$1,ROW(data!$A$3:$A$16128)-ROW($A$3)+1),ROWS(C$4:C212))),"")</f>
        <v/>
      </c>
      <c r="D212" s="7" t="str">
        <f t="array" ref="D212">IF(ROWS(D$4:D212)&lt;=$B$2,INDEX(data!E$3:E$16128,SMALL(IF(data!$D$3:$D$16128='Надежда'!$B$1,ROW(data!$A$3:$A$16128)-ROW($A$3)+1),ROWS(D$4:D212))),"")</f>
        <v/>
      </c>
      <c r="E212" s="11"/>
      <c r="F212" s="11"/>
      <c r="G212" s="11"/>
      <c r="H212" s="14"/>
      <c r="I212" s="14"/>
      <c r="J212" s="14"/>
      <c r="K212" s="14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3" t="str">
        <f t="array" ref="A213">IF(ROWS(A$4:A213)&lt;=$B$2,INDEX(data!C$3:C$16128,SMALL(IF(data!$D$3:$D$16128='Надежда'!$B$1,ROW(data!$A$3:$A$16128)-ROW($A$3)+1),ROWS(A$4:A213))),"")</f>
        <v/>
      </c>
      <c r="B213" s="19" t="str">
        <f t="array" ref="B213">IF(ROWS(B$4:B213)&lt;=$B$2,INDEX(data!A$3:A$16128,SMALL(IF(data!$D$3:$D$16128='Надежда'!$B$1,ROW(data!$A$3:$A$16128)-ROW($A$3)+1),ROWS(B$4:B213))),"")</f>
        <v/>
      </c>
      <c r="C213" s="19" t="str">
        <f t="array" ref="C213">IF(ROWS(C$4:C213)&lt;=$B$2,INDEX(data!B$3:B$16128,SMALL(IF(data!$D$3:$D$16128='Надежда'!$B$1,ROW(data!$A$3:$A$16128)-ROW($A$3)+1),ROWS(C$4:C213))),"")</f>
        <v/>
      </c>
      <c r="D213" s="7" t="str">
        <f t="array" ref="D213">IF(ROWS(D$4:D213)&lt;=$B$2,INDEX(data!E$3:E$16128,SMALL(IF(data!$D$3:$D$16128='Надежда'!$B$1,ROW(data!$A$3:$A$16128)-ROW($A$3)+1),ROWS(D$4:D213))),"")</f>
        <v/>
      </c>
      <c r="E213" s="11"/>
      <c r="F213" s="11"/>
      <c r="G213" s="11"/>
      <c r="H213" s="14"/>
      <c r="I213" s="14"/>
      <c r="J213" s="14"/>
      <c r="K213" s="14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3" t="str">
        <f t="array" ref="A214">IF(ROWS(A$4:A214)&lt;=$B$2,INDEX(data!C$3:C$16128,SMALL(IF(data!$D$3:$D$16128='Надежда'!$B$1,ROW(data!$A$3:$A$16128)-ROW($A$3)+1),ROWS(A$4:A214))),"")</f>
        <v/>
      </c>
      <c r="B214" s="19" t="str">
        <f t="array" ref="B214">IF(ROWS(B$4:B214)&lt;=$B$2,INDEX(data!A$3:A$16128,SMALL(IF(data!$D$3:$D$16128='Надежда'!$B$1,ROW(data!$A$3:$A$16128)-ROW($A$3)+1),ROWS(B$4:B214))),"")</f>
        <v/>
      </c>
      <c r="C214" s="19" t="str">
        <f t="array" ref="C214">IF(ROWS(C$4:C214)&lt;=$B$2,INDEX(data!B$3:B$16128,SMALL(IF(data!$D$3:$D$16128='Надежда'!$B$1,ROW(data!$A$3:$A$16128)-ROW($A$3)+1),ROWS(C$4:C214))),"")</f>
        <v/>
      </c>
      <c r="D214" s="7" t="str">
        <f t="array" ref="D214">IF(ROWS(D$4:D214)&lt;=$B$2,INDEX(data!E$3:E$16128,SMALL(IF(data!$D$3:$D$16128='Надежда'!$B$1,ROW(data!$A$3:$A$16128)-ROW($A$3)+1),ROWS(D$4:D214))),"")</f>
        <v/>
      </c>
      <c r="E214" s="11"/>
      <c r="F214" s="11"/>
      <c r="G214" s="11"/>
      <c r="H214" s="14"/>
      <c r="I214" s="14"/>
      <c r="J214" s="14"/>
      <c r="K214" s="14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9"/>
      <c r="B215" s="40"/>
      <c r="C215" s="40"/>
      <c r="D215" s="40"/>
      <c r="E215" s="11"/>
      <c r="F215" s="11"/>
      <c r="G215" s="11"/>
      <c r="H215" s="14"/>
      <c r="I215" s="14"/>
      <c r="J215" s="14"/>
      <c r="K215" s="14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9"/>
      <c r="B216" s="40"/>
      <c r="C216" s="40"/>
      <c r="D216" s="40"/>
      <c r="E216" s="11"/>
      <c r="F216" s="11"/>
      <c r="G216" s="11"/>
      <c r="H216" s="14"/>
      <c r="I216" s="14"/>
      <c r="J216" s="14"/>
      <c r="K216" s="14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9"/>
      <c r="B217" s="40"/>
      <c r="C217" s="40"/>
      <c r="D217" s="40"/>
      <c r="E217" s="11"/>
      <c r="F217" s="11"/>
      <c r="G217" s="11"/>
      <c r="H217" s="14"/>
      <c r="I217" s="14"/>
      <c r="J217" s="14"/>
      <c r="K217" s="14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9"/>
      <c r="B218" s="40"/>
      <c r="C218" s="40"/>
      <c r="D218" s="40"/>
      <c r="E218" s="11"/>
      <c r="F218" s="11"/>
      <c r="G218" s="11"/>
      <c r="H218" s="14"/>
      <c r="I218" s="14"/>
      <c r="J218" s="14"/>
      <c r="K218" s="14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9"/>
      <c r="B219" s="40"/>
      <c r="C219" s="40"/>
      <c r="D219" s="40"/>
      <c r="E219" s="11"/>
      <c r="F219" s="11"/>
      <c r="G219" s="11"/>
      <c r="H219" s="14"/>
      <c r="I219" s="14"/>
      <c r="J219" s="14"/>
      <c r="K219" s="14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9"/>
      <c r="B220" s="40"/>
      <c r="C220" s="40"/>
      <c r="D220" s="40"/>
      <c r="E220" s="11"/>
      <c r="F220" s="11"/>
      <c r="G220" s="11"/>
      <c r="H220" s="14"/>
      <c r="I220" s="14"/>
      <c r="J220" s="14"/>
      <c r="K220" s="14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9"/>
      <c r="B221" s="40"/>
      <c r="C221" s="40"/>
      <c r="D221" s="40"/>
      <c r="E221" s="11"/>
      <c r="F221" s="11"/>
      <c r="G221" s="11"/>
      <c r="H221" s="14"/>
      <c r="I221" s="14"/>
      <c r="J221" s="14"/>
      <c r="K221" s="14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9"/>
      <c r="B222" s="40"/>
      <c r="C222" s="40"/>
      <c r="D222" s="40"/>
      <c r="E222" s="11"/>
      <c r="F222" s="11"/>
      <c r="G222" s="11"/>
      <c r="H222" s="14"/>
      <c r="I222" s="14"/>
      <c r="J222" s="14"/>
      <c r="K222" s="14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9"/>
      <c r="B223" s="40"/>
      <c r="C223" s="40"/>
      <c r="D223" s="40"/>
      <c r="E223" s="11"/>
      <c r="F223" s="11"/>
      <c r="G223" s="11"/>
      <c r="H223" s="14"/>
      <c r="I223" s="14"/>
      <c r="J223" s="14"/>
      <c r="K223" s="14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9"/>
      <c r="B224" s="40"/>
      <c r="C224" s="40"/>
      <c r="D224" s="40"/>
      <c r="E224" s="11"/>
      <c r="F224" s="11"/>
      <c r="G224" s="11"/>
      <c r="H224" s="14"/>
      <c r="I224" s="14"/>
      <c r="J224" s="14"/>
      <c r="K224" s="14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9"/>
      <c r="B225" s="40"/>
      <c r="C225" s="40"/>
      <c r="D225" s="40"/>
      <c r="E225" s="11"/>
      <c r="F225" s="11"/>
      <c r="G225" s="11"/>
      <c r="H225" s="14"/>
      <c r="I225" s="14"/>
      <c r="J225" s="14"/>
      <c r="K225" s="14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9"/>
      <c r="B226" s="40"/>
      <c r="C226" s="40"/>
      <c r="D226" s="40"/>
      <c r="E226" s="11"/>
      <c r="F226" s="11"/>
      <c r="G226" s="11"/>
      <c r="H226" s="14"/>
      <c r="I226" s="14"/>
      <c r="J226" s="14"/>
      <c r="K226" s="14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9"/>
      <c r="B227" s="40"/>
      <c r="C227" s="40"/>
      <c r="D227" s="40"/>
      <c r="E227" s="11"/>
      <c r="F227" s="11"/>
      <c r="G227" s="11"/>
      <c r="H227" s="14"/>
      <c r="I227" s="14"/>
      <c r="J227" s="14"/>
      <c r="K227" s="14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9"/>
      <c r="B228" s="40"/>
      <c r="C228" s="40"/>
      <c r="D228" s="40"/>
      <c r="E228" s="11"/>
      <c r="F228" s="11"/>
      <c r="G228" s="11"/>
      <c r="H228" s="14"/>
      <c r="I228" s="14"/>
      <c r="J228" s="14"/>
      <c r="K228" s="14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9"/>
      <c r="B229" s="40"/>
      <c r="C229" s="40"/>
      <c r="D229" s="40"/>
      <c r="E229" s="11"/>
      <c r="F229" s="11"/>
      <c r="G229" s="11"/>
      <c r="H229" s="14"/>
      <c r="I229" s="14"/>
      <c r="J229" s="14"/>
      <c r="K229" s="14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9"/>
      <c r="B230" s="40"/>
      <c r="C230" s="40"/>
      <c r="D230" s="40"/>
      <c r="E230" s="11"/>
      <c r="F230" s="11"/>
      <c r="G230" s="11"/>
      <c r="H230" s="14"/>
      <c r="I230" s="14"/>
      <c r="J230" s="14"/>
      <c r="K230" s="14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9"/>
      <c r="B231" s="40"/>
      <c r="C231" s="40"/>
      <c r="D231" s="40"/>
      <c r="E231" s="11"/>
      <c r="F231" s="11"/>
      <c r="G231" s="11"/>
      <c r="H231" s="14"/>
      <c r="I231" s="14"/>
      <c r="J231" s="14"/>
      <c r="K231" s="14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9"/>
      <c r="B232" s="40"/>
      <c r="C232" s="40"/>
      <c r="D232" s="40"/>
      <c r="E232" s="11"/>
      <c r="F232" s="11"/>
      <c r="G232" s="11"/>
      <c r="H232" s="14"/>
      <c r="I232" s="14"/>
      <c r="J232" s="14"/>
      <c r="K232" s="14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9"/>
      <c r="B233" s="40"/>
      <c r="C233" s="40"/>
      <c r="D233" s="40"/>
      <c r="E233" s="11"/>
      <c r="F233" s="11"/>
      <c r="G233" s="11"/>
      <c r="H233" s="14"/>
      <c r="I233" s="14"/>
      <c r="J233" s="14"/>
      <c r="K233" s="14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9"/>
      <c r="B234" s="40"/>
      <c r="C234" s="40"/>
      <c r="D234" s="40"/>
      <c r="E234" s="11"/>
      <c r="F234" s="11"/>
      <c r="G234" s="11"/>
      <c r="H234" s="14"/>
      <c r="I234" s="14"/>
      <c r="J234" s="14"/>
      <c r="K234" s="14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9"/>
      <c r="B235" s="40"/>
      <c r="C235" s="40"/>
      <c r="D235" s="40"/>
      <c r="E235" s="11"/>
      <c r="F235" s="11"/>
      <c r="G235" s="11"/>
      <c r="H235" s="14"/>
      <c r="I235" s="14"/>
      <c r="J235" s="14"/>
      <c r="K235" s="14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9"/>
      <c r="B236" s="40"/>
      <c r="C236" s="40"/>
      <c r="D236" s="40"/>
      <c r="E236" s="11"/>
      <c r="F236" s="11"/>
      <c r="G236" s="11"/>
      <c r="H236" s="14"/>
      <c r="I236" s="14"/>
      <c r="J236" s="14"/>
      <c r="K236" s="1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9"/>
      <c r="B237" s="40"/>
      <c r="C237" s="40"/>
      <c r="D237" s="40"/>
      <c r="E237" s="11"/>
      <c r="F237" s="11"/>
      <c r="G237" s="11"/>
      <c r="H237" s="14"/>
      <c r="I237" s="14"/>
      <c r="J237" s="14"/>
      <c r="K237" s="14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9"/>
      <c r="B238" s="40"/>
      <c r="C238" s="40"/>
      <c r="D238" s="40"/>
      <c r="E238" s="11"/>
      <c r="F238" s="11"/>
      <c r="G238" s="11"/>
      <c r="H238" s="14"/>
      <c r="I238" s="14"/>
      <c r="J238" s="14"/>
      <c r="K238" s="14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9"/>
      <c r="B239" s="40"/>
      <c r="C239" s="40"/>
      <c r="D239" s="40"/>
      <c r="E239" s="11"/>
      <c r="F239" s="11"/>
      <c r="G239" s="11"/>
      <c r="H239" s="14"/>
      <c r="I239" s="14"/>
      <c r="J239" s="14"/>
      <c r="K239" s="14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9"/>
      <c r="B240" s="40"/>
      <c r="C240" s="40"/>
      <c r="D240" s="40"/>
      <c r="E240" s="11"/>
      <c r="F240" s="11"/>
      <c r="G240" s="11"/>
      <c r="H240" s="14"/>
      <c r="I240" s="14"/>
      <c r="J240" s="14"/>
      <c r="K240" s="14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9"/>
      <c r="B241" s="40"/>
      <c r="C241" s="40"/>
      <c r="D241" s="40"/>
      <c r="E241" s="11"/>
      <c r="F241" s="11"/>
      <c r="G241" s="11"/>
      <c r="H241" s="14"/>
      <c r="I241" s="14"/>
      <c r="J241" s="14"/>
      <c r="K241" s="14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9"/>
      <c r="B242" s="40"/>
      <c r="C242" s="40"/>
      <c r="D242" s="40"/>
      <c r="E242" s="11"/>
      <c r="F242" s="11"/>
      <c r="G242" s="11"/>
      <c r="H242" s="14"/>
      <c r="I242" s="14"/>
      <c r="J242" s="14"/>
      <c r="K242" s="14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9"/>
      <c r="B243" s="40"/>
      <c r="C243" s="40"/>
      <c r="D243" s="40"/>
      <c r="E243" s="11"/>
      <c r="F243" s="11"/>
      <c r="G243" s="11"/>
      <c r="H243" s="14"/>
      <c r="I243" s="14"/>
      <c r="J243" s="14"/>
      <c r="K243" s="14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9"/>
      <c r="B244" s="40"/>
      <c r="C244" s="40"/>
      <c r="D244" s="40"/>
      <c r="E244" s="11"/>
      <c r="F244" s="11"/>
      <c r="G244" s="11"/>
      <c r="H244" s="14"/>
      <c r="I244" s="14"/>
      <c r="J244" s="14"/>
      <c r="K244" s="14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9"/>
      <c r="B245" s="40"/>
      <c r="C245" s="40"/>
      <c r="D245" s="40"/>
      <c r="E245" s="11"/>
      <c r="F245" s="11"/>
      <c r="G245" s="11"/>
      <c r="H245" s="14"/>
      <c r="I245" s="14"/>
      <c r="J245" s="14"/>
      <c r="K245" s="14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9"/>
      <c r="B246" s="40"/>
      <c r="C246" s="40"/>
      <c r="D246" s="40"/>
      <c r="E246" s="11"/>
      <c r="F246" s="11"/>
      <c r="G246" s="11"/>
      <c r="H246" s="14"/>
      <c r="I246" s="14"/>
      <c r="J246" s="14"/>
      <c r="K246" s="14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9"/>
      <c r="B247" s="40"/>
      <c r="C247" s="40"/>
      <c r="D247" s="40"/>
      <c r="E247" s="11"/>
      <c r="F247" s="11"/>
      <c r="G247" s="11"/>
      <c r="H247" s="14"/>
      <c r="I247" s="14"/>
      <c r="J247" s="14"/>
      <c r="K247" s="14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9"/>
      <c r="B248" s="40"/>
      <c r="C248" s="40"/>
      <c r="D248" s="40"/>
      <c r="E248" s="11"/>
      <c r="F248" s="11"/>
      <c r="G248" s="11"/>
      <c r="H248" s="14"/>
      <c r="I248" s="14"/>
      <c r="J248" s="14"/>
      <c r="K248" s="14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9"/>
      <c r="B249" s="40"/>
      <c r="C249" s="40"/>
      <c r="D249" s="40"/>
      <c r="E249" s="11"/>
      <c r="F249" s="11"/>
      <c r="G249" s="11"/>
      <c r="H249" s="14"/>
      <c r="I249" s="14"/>
      <c r="J249" s="14"/>
      <c r="K249" s="14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9"/>
      <c r="B250" s="40"/>
      <c r="C250" s="40"/>
      <c r="D250" s="40"/>
      <c r="E250" s="11"/>
      <c r="F250" s="11"/>
      <c r="G250" s="11"/>
      <c r="H250" s="14"/>
      <c r="I250" s="14"/>
      <c r="J250" s="14"/>
      <c r="K250" s="14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9"/>
      <c r="B251" s="40"/>
      <c r="C251" s="40"/>
      <c r="D251" s="40"/>
      <c r="E251" s="11"/>
      <c r="F251" s="11"/>
      <c r="G251" s="11"/>
      <c r="H251" s="14"/>
      <c r="I251" s="14"/>
      <c r="J251" s="14"/>
      <c r="K251" s="14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9"/>
      <c r="B252" s="40"/>
      <c r="C252" s="40"/>
      <c r="D252" s="40"/>
      <c r="E252" s="11"/>
      <c r="F252" s="11"/>
      <c r="G252" s="11"/>
      <c r="H252" s="14"/>
      <c r="I252" s="14"/>
      <c r="J252" s="14"/>
      <c r="K252" s="14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9"/>
      <c r="B253" s="40"/>
      <c r="C253" s="40"/>
      <c r="D253" s="40"/>
      <c r="E253" s="11"/>
      <c r="F253" s="11"/>
      <c r="G253" s="11"/>
      <c r="H253" s="14"/>
      <c r="I253" s="14"/>
      <c r="J253" s="14"/>
      <c r="K253" s="14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9"/>
      <c r="B254" s="40"/>
      <c r="C254" s="40"/>
      <c r="D254" s="40"/>
      <c r="E254" s="11"/>
      <c r="F254" s="11"/>
      <c r="G254" s="11"/>
      <c r="H254" s="14"/>
      <c r="I254" s="14"/>
      <c r="J254" s="14"/>
      <c r="K254" s="14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39"/>
      <c r="B255" s="40"/>
      <c r="C255" s="40"/>
      <c r="D255" s="40"/>
      <c r="E255" s="11"/>
      <c r="F255" s="11"/>
      <c r="G255" s="11"/>
      <c r="H255" s="14"/>
      <c r="I255" s="14"/>
      <c r="J255" s="14"/>
      <c r="K255" s="14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39"/>
      <c r="B256" s="40"/>
      <c r="C256" s="40"/>
      <c r="D256" s="40"/>
      <c r="E256" s="11"/>
      <c r="F256" s="11"/>
      <c r="G256" s="11"/>
      <c r="H256" s="14"/>
      <c r="I256" s="14"/>
      <c r="J256" s="14"/>
      <c r="K256" s="14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39"/>
      <c r="B257" s="40"/>
      <c r="C257" s="40"/>
      <c r="D257" s="40"/>
      <c r="E257" s="11"/>
      <c r="F257" s="11"/>
      <c r="G257" s="11"/>
      <c r="H257" s="14"/>
      <c r="I257" s="14"/>
      <c r="J257" s="14"/>
      <c r="K257" s="14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39"/>
      <c r="B258" s="40"/>
      <c r="C258" s="40"/>
      <c r="D258" s="40"/>
      <c r="E258" s="11"/>
      <c r="F258" s="11"/>
      <c r="G258" s="11"/>
      <c r="H258" s="14"/>
      <c r="I258" s="14"/>
      <c r="J258" s="14"/>
      <c r="K258" s="14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39"/>
      <c r="B259" s="40"/>
      <c r="C259" s="40"/>
      <c r="D259" s="40"/>
      <c r="E259" s="11"/>
      <c r="F259" s="11"/>
      <c r="G259" s="11"/>
      <c r="H259" s="14"/>
      <c r="I259" s="14"/>
      <c r="J259" s="14"/>
      <c r="K259" s="14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39"/>
      <c r="B260" s="40"/>
      <c r="C260" s="40"/>
      <c r="D260" s="40"/>
      <c r="E260" s="11"/>
      <c r="F260" s="11"/>
      <c r="G260" s="11"/>
      <c r="H260" s="14"/>
      <c r="I260" s="14"/>
      <c r="J260" s="14"/>
      <c r="K260" s="14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9"/>
      <c r="B261" s="40"/>
      <c r="C261" s="40"/>
      <c r="D261" s="40"/>
      <c r="E261" s="11"/>
      <c r="F261" s="11"/>
      <c r="G261" s="11"/>
      <c r="H261" s="14"/>
      <c r="I261" s="14"/>
      <c r="J261" s="14"/>
      <c r="K261" s="14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39"/>
      <c r="B262" s="40"/>
      <c r="C262" s="40"/>
      <c r="D262" s="40"/>
      <c r="E262" s="11"/>
      <c r="F262" s="11"/>
      <c r="G262" s="11"/>
      <c r="H262" s="14"/>
      <c r="I262" s="14"/>
      <c r="J262" s="14"/>
      <c r="K262" s="14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39"/>
      <c r="B263" s="40"/>
      <c r="C263" s="40"/>
      <c r="D263" s="40"/>
      <c r="E263" s="11"/>
      <c r="F263" s="11"/>
      <c r="G263" s="11"/>
      <c r="H263" s="14"/>
      <c r="I263" s="14"/>
      <c r="J263" s="14"/>
      <c r="K263" s="14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9"/>
      <c r="B264" s="40"/>
      <c r="C264" s="40"/>
      <c r="D264" s="40"/>
      <c r="E264" s="11"/>
      <c r="F264" s="11"/>
      <c r="G264" s="11"/>
      <c r="H264" s="14"/>
      <c r="I264" s="14"/>
      <c r="J264" s="14"/>
      <c r="K264" s="14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39"/>
      <c r="B265" s="40"/>
      <c r="C265" s="40"/>
      <c r="D265" s="40"/>
      <c r="E265" s="11"/>
      <c r="F265" s="11"/>
      <c r="G265" s="11"/>
      <c r="H265" s="14"/>
      <c r="I265" s="14"/>
      <c r="J265" s="14"/>
      <c r="K265" s="14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39"/>
      <c r="B266" s="40"/>
      <c r="C266" s="40"/>
      <c r="D266" s="40"/>
      <c r="E266" s="11"/>
      <c r="F266" s="11"/>
      <c r="G266" s="11"/>
      <c r="H266" s="14"/>
      <c r="I266" s="14"/>
      <c r="J266" s="14"/>
      <c r="K266" s="14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39"/>
      <c r="B267" s="40"/>
      <c r="C267" s="40"/>
      <c r="D267" s="40"/>
      <c r="E267" s="11"/>
      <c r="F267" s="11"/>
      <c r="G267" s="11"/>
      <c r="H267" s="14"/>
      <c r="I267" s="14"/>
      <c r="J267" s="14"/>
      <c r="K267" s="14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39"/>
      <c r="B268" s="40"/>
      <c r="C268" s="40"/>
      <c r="D268" s="40"/>
      <c r="E268" s="11"/>
      <c r="F268" s="11"/>
      <c r="G268" s="11"/>
      <c r="H268" s="14"/>
      <c r="I268" s="14"/>
      <c r="J268" s="14"/>
      <c r="K268" s="14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39"/>
      <c r="B269" s="40"/>
      <c r="C269" s="40"/>
      <c r="D269" s="40"/>
      <c r="E269" s="11"/>
      <c r="F269" s="11"/>
      <c r="G269" s="11"/>
      <c r="H269" s="14"/>
      <c r="I269" s="14"/>
      <c r="J269" s="14"/>
      <c r="K269" s="14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39"/>
      <c r="B270" s="40"/>
      <c r="C270" s="40"/>
      <c r="D270" s="40"/>
      <c r="E270" s="11"/>
      <c r="F270" s="11"/>
      <c r="G270" s="11"/>
      <c r="H270" s="14"/>
      <c r="I270" s="14"/>
      <c r="J270" s="14"/>
      <c r="K270" s="14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39"/>
      <c r="B271" s="40"/>
      <c r="C271" s="40"/>
      <c r="D271" s="40"/>
      <c r="E271" s="11"/>
      <c r="F271" s="11"/>
      <c r="G271" s="11"/>
      <c r="H271" s="14"/>
      <c r="I271" s="14"/>
      <c r="J271" s="14"/>
      <c r="K271" s="14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39"/>
      <c r="B272" s="40"/>
      <c r="C272" s="40"/>
      <c r="D272" s="40"/>
      <c r="E272" s="11"/>
      <c r="F272" s="11"/>
      <c r="G272" s="11"/>
      <c r="H272" s="14"/>
      <c r="I272" s="14"/>
      <c r="J272" s="14"/>
      <c r="K272" s="14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39"/>
      <c r="B273" s="40"/>
      <c r="C273" s="40"/>
      <c r="D273" s="40"/>
      <c r="E273" s="11"/>
      <c r="F273" s="11"/>
      <c r="G273" s="11"/>
      <c r="H273" s="14"/>
      <c r="I273" s="14"/>
      <c r="J273" s="14"/>
      <c r="K273" s="14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39"/>
      <c r="B274" s="40"/>
      <c r="C274" s="40"/>
      <c r="D274" s="40"/>
      <c r="E274" s="11"/>
      <c r="F274" s="11"/>
      <c r="G274" s="11"/>
      <c r="H274" s="14"/>
      <c r="I274" s="14"/>
      <c r="J274" s="14"/>
      <c r="K274" s="14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9"/>
      <c r="B275" s="40"/>
      <c r="C275" s="40"/>
      <c r="D275" s="40"/>
      <c r="E275" s="11"/>
      <c r="F275" s="11"/>
      <c r="G275" s="11"/>
      <c r="H275" s="14"/>
      <c r="I275" s="14"/>
      <c r="J275" s="14"/>
      <c r="K275" s="14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39"/>
      <c r="B276" s="40"/>
      <c r="C276" s="40"/>
      <c r="D276" s="40"/>
      <c r="E276" s="11"/>
      <c r="F276" s="11"/>
      <c r="G276" s="11"/>
      <c r="H276" s="14"/>
      <c r="I276" s="14"/>
      <c r="J276" s="14"/>
      <c r="K276" s="14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39"/>
      <c r="B277" s="40"/>
      <c r="C277" s="40"/>
      <c r="D277" s="40"/>
      <c r="E277" s="11"/>
      <c r="F277" s="11"/>
      <c r="G277" s="11"/>
      <c r="H277" s="14"/>
      <c r="I277" s="14"/>
      <c r="J277" s="14"/>
      <c r="K277" s="14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39"/>
      <c r="B278" s="40"/>
      <c r="C278" s="40"/>
      <c r="D278" s="40"/>
      <c r="E278" s="11"/>
      <c r="F278" s="11"/>
      <c r="G278" s="11"/>
      <c r="H278" s="14"/>
      <c r="I278" s="14"/>
      <c r="J278" s="14"/>
      <c r="K278" s="14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9"/>
      <c r="B279" s="40"/>
      <c r="C279" s="40"/>
      <c r="D279" s="40"/>
      <c r="E279" s="11"/>
      <c r="F279" s="11"/>
      <c r="G279" s="11"/>
      <c r="H279" s="14"/>
      <c r="I279" s="14"/>
      <c r="J279" s="14"/>
      <c r="K279" s="14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39"/>
      <c r="B280" s="40"/>
      <c r="C280" s="40"/>
      <c r="D280" s="40"/>
      <c r="E280" s="11"/>
      <c r="F280" s="11"/>
      <c r="G280" s="11"/>
      <c r="H280" s="14"/>
      <c r="I280" s="14"/>
      <c r="J280" s="14"/>
      <c r="K280" s="14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39"/>
      <c r="B281" s="40"/>
      <c r="C281" s="40"/>
      <c r="D281" s="40"/>
      <c r="E281" s="11"/>
      <c r="F281" s="11"/>
      <c r="G281" s="11"/>
      <c r="H281" s="14"/>
      <c r="I281" s="14"/>
      <c r="J281" s="14"/>
      <c r="K281" s="14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39"/>
      <c r="B282" s="40"/>
      <c r="C282" s="40"/>
      <c r="D282" s="40"/>
      <c r="E282" s="11"/>
      <c r="F282" s="11"/>
      <c r="G282" s="11"/>
      <c r="H282" s="14"/>
      <c r="I282" s="14"/>
      <c r="J282" s="14"/>
      <c r="K282" s="1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39"/>
      <c r="B283" s="40"/>
      <c r="C283" s="40"/>
      <c r="D283" s="40"/>
      <c r="E283" s="11"/>
      <c r="F283" s="11"/>
      <c r="G283" s="11"/>
      <c r="H283" s="14"/>
      <c r="I283" s="14"/>
      <c r="J283" s="14"/>
      <c r="K283" s="14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39"/>
      <c r="B284" s="40"/>
      <c r="C284" s="40"/>
      <c r="D284" s="40"/>
      <c r="E284" s="11"/>
      <c r="F284" s="11"/>
      <c r="G284" s="11"/>
      <c r="H284" s="14"/>
      <c r="I284" s="14"/>
      <c r="J284" s="14"/>
      <c r="K284" s="14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39"/>
      <c r="B285" s="40"/>
      <c r="C285" s="40"/>
      <c r="D285" s="40"/>
      <c r="E285" s="11"/>
      <c r="F285" s="11"/>
      <c r="G285" s="11"/>
      <c r="H285" s="14"/>
      <c r="I285" s="14"/>
      <c r="J285" s="14"/>
      <c r="K285" s="14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39"/>
      <c r="B286" s="40"/>
      <c r="C286" s="40"/>
      <c r="D286" s="40"/>
      <c r="E286" s="11"/>
      <c r="F286" s="11"/>
      <c r="G286" s="11"/>
      <c r="H286" s="14"/>
      <c r="I286" s="14"/>
      <c r="J286" s="14"/>
      <c r="K286" s="14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39"/>
      <c r="B287" s="40"/>
      <c r="C287" s="40"/>
      <c r="D287" s="40"/>
      <c r="E287" s="11"/>
      <c r="F287" s="11"/>
      <c r="G287" s="11"/>
      <c r="H287" s="14"/>
      <c r="I287" s="14"/>
      <c r="J287" s="14"/>
      <c r="K287" s="14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39"/>
      <c r="B288" s="40"/>
      <c r="C288" s="40"/>
      <c r="D288" s="40"/>
      <c r="E288" s="11"/>
      <c r="F288" s="11"/>
      <c r="G288" s="11"/>
      <c r="H288" s="14"/>
      <c r="I288" s="14"/>
      <c r="J288" s="14"/>
      <c r="K288" s="14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9"/>
      <c r="B289" s="40"/>
      <c r="C289" s="40"/>
      <c r="D289" s="40"/>
      <c r="E289" s="11"/>
      <c r="F289" s="11"/>
      <c r="G289" s="11"/>
      <c r="H289" s="14"/>
      <c r="I289" s="14"/>
      <c r="J289" s="14"/>
      <c r="K289" s="14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39"/>
      <c r="B290" s="40"/>
      <c r="C290" s="40"/>
      <c r="D290" s="40"/>
      <c r="E290" s="11"/>
      <c r="F290" s="11"/>
      <c r="G290" s="11"/>
      <c r="H290" s="14"/>
      <c r="I290" s="14"/>
      <c r="J290" s="14"/>
      <c r="K290" s="14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39"/>
      <c r="B291" s="40"/>
      <c r="C291" s="40"/>
      <c r="D291" s="40"/>
      <c r="E291" s="11"/>
      <c r="F291" s="11"/>
      <c r="G291" s="11"/>
      <c r="H291" s="14"/>
      <c r="I291" s="14"/>
      <c r="J291" s="14"/>
      <c r="K291" s="14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39"/>
      <c r="B292" s="40"/>
      <c r="C292" s="40"/>
      <c r="D292" s="40"/>
      <c r="E292" s="11"/>
      <c r="F292" s="11"/>
      <c r="G292" s="11"/>
      <c r="H292" s="14"/>
      <c r="I292" s="14"/>
      <c r="J292" s="14"/>
      <c r="K292" s="14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39"/>
      <c r="B293" s="40"/>
      <c r="C293" s="40"/>
      <c r="D293" s="40"/>
      <c r="E293" s="11"/>
      <c r="F293" s="11"/>
      <c r="G293" s="11"/>
      <c r="H293" s="14"/>
      <c r="I293" s="14"/>
      <c r="J293" s="14"/>
      <c r="K293" s="14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39"/>
      <c r="B294" s="40"/>
      <c r="C294" s="40"/>
      <c r="D294" s="40"/>
      <c r="E294" s="11"/>
      <c r="F294" s="11"/>
      <c r="G294" s="11"/>
      <c r="H294" s="14"/>
      <c r="I294" s="14"/>
      <c r="J294" s="14"/>
      <c r="K294" s="14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39"/>
      <c r="B295" s="40"/>
      <c r="C295" s="40"/>
      <c r="D295" s="40"/>
      <c r="E295" s="11"/>
      <c r="F295" s="11"/>
      <c r="G295" s="11"/>
      <c r="H295" s="14"/>
      <c r="I295" s="14"/>
      <c r="J295" s="14"/>
      <c r="K295" s="14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39"/>
      <c r="B296" s="40"/>
      <c r="C296" s="40"/>
      <c r="D296" s="40"/>
      <c r="E296" s="11"/>
      <c r="F296" s="11"/>
      <c r="G296" s="11"/>
      <c r="H296" s="14"/>
      <c r="I296" s="14"/>
      <c r="J296" s="14"/>
      <c r="K296" s="14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39"/>
      <c r="B297" s="40"/>
      <c r="C297" s="40"/>
      <c r="D297" s="40"/>
      <c r="E297" s="11"/>
      <c r="F297" s="11"/>
      <c r="G297" s="11"/>
      <c r="H297" s="14"/>
      <c r="I297" s="14"/>
      <c r="J297" s="14"/>
      <c r="K297" s="14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39"/>
      <c r="B298" s="40"/>
      <c r="C298" s="40"/>
      <c r="D298" s="40"/>
      <c r="E298" s="11"/>
      <c r="F298" s="11"/>
      <c r="G298" s="11"/>
      <c r="H298" s="14"/>
      <c r="I298" s="14"/>
      <c r="J298" s="14"/>
      <c r="K298" s="14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39"/>
      <c r="B299" s="40"/>
      <c r="C299" s="40"/>
      <c r="D299" s="40"/>
      <c r="E299" s="11"/>
      <c r="F299" s="11"/>
      <c r="G299" s="11"/>
      <c r="H299" s="14"/>
      <c r="I299" s="14"/>
      <c r="J299" s="14"/>
      <c r="K299" s="14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39"/>
      <c r="B300" s="40"/>
      <c r="C300" s="40"/>
      <c r="D300" s="40"/>
      <c r="E300" s="11"/>
      <c r="F300" s="11"/>
      <c r="G300" s="11"/>
      <c r="H300" s="14"/>
      <c r="I300" s="14"/>
      <c r="J300" s="14"/>
      <c r="K300" s="14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39"/>
      <c r="B301" s="40"/>
      <c r="C301" s="40"/>
      <c r="D301" s="40"/>
      <c r="E301" s="11"/>
      <c r="F301" s="11"/>
      <c r="G301" s="11"/>
      <c r="H301" s="14"/>
      <c r="I301" s="14"/>
      <c r="J301" s="14"/>
      <c r="K301" s="14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9"/>
      <c r="B302" s="40"/>
      <c r="C302" s="40"/>
      <c r="D302" s="40"/>
      <c r="E302" s="11"/>
      <c r="F302" s="11"/>
      <c r="G302" s="11"/>
      <c r="H302" s="14"/>
      <c r="I302" s="14"/>
      <c r="J302" s="14"/>
      <c r="K302" s="14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39"/>
      <c r="B303" s="40"/>
      <c r="C303" s="40"/>
      <c r="D303" s="40"/>
      <c r="E303" s="11"/>
      <c r="F303" s="11"/>
      <c r="G303" s="11"/>
      <c r="H303" s="14"/>
      <c r="I303" s="14"/>
      <c r="J303" s="14"/>
      <c r="K303" s="14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39"/>
      <c r="B304" s="40"/>
      <c r="C304" s="40"/>
      <c r="D304" s="40"/>
      <c r="E304" s="11"/>
      <c r="F304" s="11"/>
      <c r="G304" s="11"/>
      <c r="H304" s="14"/>
      <c r="I304" s="14"/>
      <c r="J304" s="14"/>
      <c r="K304" s="14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39"/>
      <c r="B305" s="40"/>
      <c r="C305" s="40"/>
      <c r="D305" s="40"/>
      <c r="E305" s="11"/>
      <c r="F305" s="11"/>
      <c r="G305" s="11"/>
      <c r="H305" s="14"/>
      <c r="I305" s="14"/>
      <c r="J305" s="14"/>
      <c r="K305" s="14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39"/>
      <c r="B306" s="40"/>
      <c r="C306" s="40"/>
      <c r="D306" s="40"/>
      <c r="E306" s="11"/>
      <c r="F306" s="11"/>
      <c r="G306" s="11"/>
      <c r="H306" s="14"/>
      <c r="I306" s="14"/>
      <c r="J306" s="14"/>
      <c r="K306" s="14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39"/>
      <c r="B307" s="40"/>
      <c r="C307" s="40"/>
      <c r="D307" s="40"/>
      <c r="E307" s="11"/>
      <c r="F307" s="11"/>
      <c r="G307" s="11"/>
      <c r="H307" s="14"/>
      <c r="I307" s="14"/>
      <c r="J307" s="14"/>
      <c r="K307" s="14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39"/>
      <c r="B308" s="40"/>
      <c r="C308" s="40"/>
      <c r="D308" s="40"/>
      <c r="E308" s="11"/>
      <c r="F308" s="11"/>
      <c r="G308" s="11"/>
      <c r="H308" s="14"/>
      <c r="I308" s="14"/>
      <c r="J308" s="14"/>
      <c r="K308" s="14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39"/>
      <c r="B309" s="40"/>
      <c r="C309" s="40"/>
      <c r="D309" s="40"/>
      <c r="E309" s="11"/>
      <c r="F309" s="11"/>
      <c r="G309" s="11"/>
      <c r="H309" s="14"/>
      <c r="I309" s="14"/>
      <c r="J309" s="14"/>
      <c r="K309" s="14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39"/>
      <c r="B310" s="40"/>
      <c r="C310" s="40"/>
      <c r="D310" s="40"/>
      <c r="E310" s="11"/>
      <c r="F310" s="11"/>
      <c r="G310" s="11"/>
      <c r="H310" s="14"/>
      <c r="I310" s="14"/>
      <c r="J310" s="14"/>
      <c r="K310" s="14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39"/>
      <c r="B311" s="40"/>
      <c r="C311" s="40"/>
      <c r="D311" s="40"/>
      <c r="E311" s="11"/>
      <c r="F311" s="11"/>
      <c r="G311" s="11"/>
      <c r="H311" s="14"/>
      <c r="I311" s="14"/>
      <c r="J311" s="14"/>
      <c r="K311" s="14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39"/>
      <c r="B312" s="40"/>
      <c r="C312" s="40"/>
      <c r="D312" s="40"/>
      <c r="E312" s="11"/>
      <c r="F312" s="11"/>
      <c r="G312" s="11"/>
      <c r="H312" s="14"/>
      <c r="I312" s="14"/>
      <c r="J312" s="14"/>
      <c r="K312" s="14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39"/>
      <c r="B313" s="40"/>
      <c r="C313" s="40"/>
      <c r="D313" s="40"/>
      <c r="E313" s="11"/>
      <c r="F313" s="11"/>
      <c r="G313" s="11"/>
      <c r="H313" s="14"/>
      <c r="I313" s="14"/>
      <c r="J313" s="14"/>
      <c r="K313" s="14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39"/>
      <c r="B314" s="40"/>
      <c r="C314" s="40"/>
      <c r="D314" s="40"/>
      <c r="E314" s="11"/>
      <c r="F314" s="11"/>
      <c r="G314" s="11"/>
      <c r="H314" s="14"/>
      <c r="I314" s="14"/>
      <c r="J314" s="14"/>
      <c r="K314" s="14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39"/>
      <c r="B315" s="40"/>
      <c r="C315" s="40"/>
      <c r="D315" s="40"/>
      <c r="E315" s="11"/>
      <c r="F315" s="11"/>
      <c r="G315" s="11"/>
      <c r="H315" s="14"/>
      <c r="I315" s="14"/>
      <c r="J315" s="14"/>
      <c r="K315" s="14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39"/>
      <c r="B316" s="40"/>
      <c r="C316" s="40"/>
      <c r="D316" s="40"/>
      <c r="E316" s="11"/>
      <c r="F316" s="11"/>
      <c r="G316" s="11"/>
      <c r="H316" s="14"/>
      <c r="I316" s="14"/>
      <c r="J316" s="14"/>
      <c r="K316" s="1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39"/>
      <c r="B317" s="40"/>
      <c r="C317" s="40"/>
      <c r="D317" s="40"/>
      <c r="E317" s="11"/>
      <c r="F317" s="11"/>
      <c r="G317" s="11"/>
      <c r="H317" s="14"/>
      <c r="I317" s="14"/>
      <c r="J317" s="14"/>
      <c r="K317" s="14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39"/>
      <c r="B318" s="40"/>
      <c r="C318" s="40"/>
      <c r="D318" s="40"/>
      <c r="E318" s="11"/>
      <c r="F318" s="11"/>
      <c r="G318" s="11"/>
      <c r="H318" s="14"/>
      <c r="I318" s="14"/>
      <c r="J318" s="14"/>
      <c r="K318" s="14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39"/>
      <c r="B319" s="40"/>
      <c r="C319" s="40"/>
      <c r="D319" s="40"/>
      <c r="E319" s="11"/>
      <c r="F319" s="11"/>
      <c r="G319" s="11"/>
      <c r="H319" s="14"/>
      <c r="I319" s="14"/>
      <c r="J319" s="14"/>
      <c r="K319" s="14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39"/>
      <c r="B320" s="40"/>
      <c r="C320" s="40"/>
      <c r="D320" s="40"/>
      <c r="E320" s="11"/>
      <c r="F320" s="11"/>
      <c r="G320" s="11"/>
      <c r="H320" s="14"/>
      <c r="I320" s="14"/>
      <c r="J320" s="14"/>
      <c r="K320" s="14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39"/>
      <c r="B321" s="40"/>
      <c r="C321" s="40"/>
      <c r="D321" s="40"/>
      <c r="E321" s="11"/>
      <c r="F321" s="11"/>
      <c r="G321" s="11"/>
      <c r="H321" s="14"/>
      <c r="I321" s="14"/>
      <c r="J321" s="14"/>
      <c r="K321" s="14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39"/>
      <c r="B322" s="40"/>
      <c r="C322" s="40"/>
      <c r="D322" s="40"/>
      <c r="E322" s="11"/>
      <c r="F322" s="11"/>
      <c r="G322" s="11"/>
      <c r="H322" s="14"/>
      <c r="I322" s="14"/>
      <c r="J322" s="14"/>
      <c r="K322" s="14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39"/>
      <c r="B323" s="40"/>
      <c r="C323" s="40"/>
      <c r="D323" s="40"/>
      <c r="E323" s="11"/>
      <c r="F323" s="11"/>
      <c r="G323" s="11"/>
      <c r="H323" s="14"/>
      <c r="I323" s="14"/>
      <c r="J323" s="14"/>
      <c r="K323" s="14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39"/>
      <c r="B324" s="40"/>
      <c r="C324" s="40"/>
      <c r="D324" s="40"/>
      <c r="E324" s="11"/>
      <c r="F324" s="11"/>
      <c r="G324" s="11"/>
      <c r="H324" s="14"/>
      <c r="I324" s="14"/>
      <c r="J324" s="14"/>
      <c r="K324" s="14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39"/>
      <c r="B325" s="40"/>
      <c r="C325" s="40"/>
      <c r="D325" s="40"/>
      <c r="E325" s="11"/>
      <c r="F325" s="11"/>
      <c r="G325" s="11"/>
      <c r="H325" s="14"/>
      <c r="I325" s="14"/>
      <c r="J325" s="14"/>
      <c r="K325" s="14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39"/>
      <c r="B326" s="40"/>
      <c r="C326" s="40"/>
      <c r="D326" s="40"/>
      <c r="E326" s="11"/>
      <c r="F326" s="11"/>
      <c r="G326" s="11"/>
      <c r="H326" s="14"/>
      <c r="I326" s="14"/>
      <c r="J326" s="14"/>
      <c r="K326" s="14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39"/>
      <c r="B327" s="40"/>
      <c r="C327" s="40"/>
      <c r="D327" s="40"/>
      <c r="E327" s="11"/>
      <c r="F327" s="11"/>
      <c r="G327" s="11"/>
      <c r="H327" s="14"/>
      <c r="I327" s="14"/>
      <c r="J327" s="14"/>
      <c r="K327" s="14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39"/>
      <c r="B328" s="40"/>
      <c r="C328" s="40"/>
      <c r="D328" s="40"/>
      <c r="E328" s="11"/>
      <c r="F328" s="11"/>
      <c r="G328" s="11"/>
      <c r="H328" s="14"/>
      <c r="I328" s="14"/>
      <c r="J328" s="14"/>
      <c r="K328" s="14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39"/>
      <c r="B329" s="40"/>
      <c r="C329" s="40"/>
      <c r="D329" s="40"/>
      <c r="E329" s="11"/>
      <c r="F329" s="11"/>
      <c r="G329" s="11"/>
      <c r="H329" s="14"/>
      <c r="I329" s="14"/>
      <c r="J329" s="14"/>
      <c r="K329" s="14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39"/>
      <c r="B330" s="40"/>
      <c r="C330" s="40"/>
      <c r="D330" s="40"/>
      <c r="E330" s="11"/>
      <c r="F330" s="11"/>
      <c r="G330" s="11"/>
      <c r="H330" s="14"/>
      <c r="I330" s="14"/>
      <c r="J330" s="14"/>
      <c r="K330" s="14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39"/>
      <c r="B331" s="40"/>
      <c r="C331" s="40"/>
      <c r="D331" s="40"/>
      <c r="E331" s="11"/>
      <c r="F331" s="11"/>
      <c r="G331" s="11"/>
      <c r="H331" s="14"/>
      <c r="I331" s="14"/>
      <c r="J331" s="14"/>
      <c r="K331" s="14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9"/>
      <c r="B332" s="40"/>
      <c r="C332" s="40"/>
      <c r="D332" s="40"/>
      <c r="E332" s="11"/>
      <c r="F332" s="11"/>
      <c r="G332" s="11"/>
      <c r="H332" s="14"/>
      <c r="I332" s="14"/>
      <c r="J332" s="14"/>
      <c r="K332" s="14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39"/>
      <c r="B333" s="40"/>
      <c r="C333" s="40"/>
      <c r="D333" s="40"/>
      <c r="E333" s="11"/>
      <c r="F333" s="11"/>
      <c r="G333" s="11"/>
      <c r="H333" s="14"/>
      <c r="I333" s="14"/>
      <c r="J333" s="14"/>
      <c r="K333" s="14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39"/>
      <c r="B334" s="40"/>
      <c r="C334" s="40"/>
      <c r="D334" s="40"/>
      <c r="E334" s="11"/>
      <c r="F334" s="11"/>
      <c r="G334" s="11"/>
      <c r="H334" s="14"/>
      <c r="I334" s="14"/>
      <c r="J334" s="14"/>
      <c r="K334" s="14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39"/>
      <c r="B335" s="40"/>
      <c r="C335" s="40"/>
      <c r="D335" s="40"/>
      <c r="E335" s="11"/>
      <c r="F335" s="11"/>
      <c r="G335" s="11"/>
      <c r="H335" s="14"/>
      <c r="I335" s="14"/>
      <c r="J335" s="14"/>
      <c r="K335" s="14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39"/>
      <c r="B336" s="40"/>
      <c r="C336" s="40"/>
      <c r="D336" s="40"/>
      <c r="E336" s="11"/>
      <c r="F336" s="11"/>
      <c r="G336" s="11"/>
      <c r="H336" s="14"/>
      <c r="I336" s="14"/>
      <c r="J336" s="14"/>
      <c r="K336" s="14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39"/>
      <c r="B337" s="40"/>
      <c r="C337" s="40"/>
      <c r="D337" s="40"/>
      <c r="E337" s="11"/>
      <c r="F337" s="11"/>
      <c r="G337" s="11"/>
      <c r="H337" s="14"/>
      <c r="I337" s="14"/>
      <c r="J337" s="14"/>
      <c r="K337" s="14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39"/>
      <c r="B338" s="40"/>
      <c r="C338" s="40"/>
      <c r="D338" s="40"/>
      <c r="E338" s="11"/>
      <c r="F338" s="11"/>
      <c r="G338" s="11"/>
      <c r="H338" s="14"/>
      <c r="I338" s="14"/>
      <c r="J338" s="14"/>
      <c r="K338" s="14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39"/>
      <c r="B339" s="40"/>
      <c r="C339" s="40"/>
      <c r="D339" s="40"/>
      <c r="E339" s="11"/>
      <c r="F339" s="11"/>
      <c r="G339" s="11"/>
      <c r="H339" s="14"/>
      <c r="I339" s="14"/>
      <c r="J339" s="14"/>
      <c r="K339" s="14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39"/>
      <c r="B340" s="40"/>
      <c r="C340" s="40"/>
      <c r="D340" s="40"/>
      <c r="E340" s="11"/>
      <c r="F340" s="11"/>
      <c r="G340" s="11"/>
      <c r="H340" s="14"/>
      <c r="I340" s="14"/>
      <c r="J340" s="14"/>
      <c r="K340" s="14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39"/>
      <c r="B341" s="40"/>
      <c r="C341" s="40"/>
      <c r="D341" s="40"/>
      <c r="E341" s="11"/>
      <c r="F341" s="11"/>
      <c r="G341" s="11"/>
      <c r="H341" s="14"/>
      <c r="I341" s="14"/>
      <c r="J341" s="14"/>
      <c r="K341" s="14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39"/>
      <c r="B342" s="40"/>
      <c r="C342" s="40"/>
      <c r="D342" s="40"/>
      <c r="E342" s="11"/>
      <c r="F342" s="11"/>
      <c r="G342" s="11"/>
      <c r="H342" s="14"/>
      <c r="I342" s="14"/>
      <c r="J342" s="14"/>
      <c r="K342" s="14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39"/>
      <c r="B343" s="40"/>
      <c r="C343" s="40"/>
      <c r="D343" s="40"/>
      <c r="E343" s="11"/>
      <c r="F343" s="11"/>
      <c r="G343" s="11"/>
      <c r="H343" s="14"/>
      <c r="I343" s="14"/>
      <c r="J343" s="14"/>
      <c r="K343" s="14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39"/>
      <c r="B344" s="40"/>
      <c r="C344" s="40"/>
      <c r="D344" s="40"/>
      <c r="E344" s="11"/>
      <c r="F344" s="11"/>
      <c r="G344" s="11"/>
      <c r="H344" s="14"/>
      <c r="I344" s="14"/>
      <c r="J344" s="14"/>
      <c r="K344" s="14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39"/>
      <c r="B345" s="40"/>
      <c r="C345" s="40"/>
      <c r="D345" s="40"/>
      <c r="E345" s="11"/>
      <c r="F345" s="11"/>
      <c r="G345" s="11"/>
      <c r="H345" s="14"/>
      <c r="I345" s="14"/>
      <c r="J345" s="14"/>
      <c r="K345" s="14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39"/>
      <c r="B346" s="40"/>
      <c r="C346" s="40"/>
      <c r="D346" s="40"/>
      <c r="E346" s="11"/>
      <c r="F346" s="11"/>
      <c r="G346" s="11"/>
      <c r="H346" s="14"/>
      <c r="I346" s="14"/>
      <c r="J346" s="14"/>
      <c r="K346" s="14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39"/>
      <c r="B347" s="40"/>
      <c r="C347" s="40"/>
      <c r="D347" s="40"/>
      <c r="E347" s="11"/>
      <c r="F347" s="11"/>
      <c r="G347" s="11"/>
      <c r="H347" s="14"/>
      <c r="I347" s="14"/>
      <c r="J347" s="14"/>
      <c r="K347" s="14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39"/>
      <c r="B348" s="40"/>
      <c r="C348" s="40"/>
      <c r="D348" s="40"/>
      <c r="E348" s="11"/>
      <c r="F348" s="11"/>
      <c r="G348" s="11"/>
      <c r="H348" s="14"/>
      <c r="I348" s="14"/>
      <c r="J348" s="14"/>
      <c r="K348" s="14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39"/>
      <c r="B349" s="40"/>
      <c r="C349" s="40"/>
      <c r="D349" s="40"/>
      <c r="E349" s="11"/>
      <c r="F349" s="11"/>
      <c r="G349" s="11"/>
      <c r="H349" s="14"/>
      <c r="I349" s="14"/>
      <c r="J349" s="14"/>
      <c r="K349" s="14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39"/>
      <c r="B350" s="40"/>
      <c r="C350" s="40"/>
      <c r="D350" s="40"/>
      <c r="E350" s="11"/>
      <c r="F350" s="11"/>
      <c r="G350" s="11"/>
      <c r="H350" s="14"/>
      <c r="I350" s="14"/>
      <c r="J350" s="14"/>
      <c r="K350" s="14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39"/>
      <c r="B351" s="40"/>
      <c r="C351" s="40"/>
      <c r="D351" s="40"/>
      <c r="E351" s="11"/>
      <c r="F351" s="11"/>
      <c r="G351" s="11"/>
      <c r="H351" s="14"/>
      <c r="I351" s="14"/>
      <c r="J351" s="14"/>
      <c r="K351" s="14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39"/>
      <c r="B352" s="40"/>
      <c r="C352" s="40"/>
      <c r="D352" s="40"/>
      <c r="E352" s="11"/>
      <c r="F352" s="11"/>
      <c r="G352" s="11"/>
      <c r="H352" s="14"/>
      <c r="I352" s="14"/>
      <c r="J352" s="14"/>
      <c r="K352" s="14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39"/>
      <c r="B353" s="40"/>
      <c r="C353" s="40"/>
      <c r="D353" s="40"/>
      <c r="E353" s="11"/>
      <c r="F353" s="11"/>
      <c r="G353" s="11"/>
      <c r="H353" s="14"/>
      <c r="I353" s="14"/>
      <c r="J353" s="14"/>
      <c r="K353" s="14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39"/>
      <c r="B354" s="40"/>
      <c r="C354" s="40"/>
      <c r="D354" s="40"/>
      <c r="E354" s="11"/>
      <c r="F354" s="11"/>
      <c r="G354" s="11"/>
      <c r="H354" s="14"/>
      <c r="I354" s="14"/>
      <c r="J354" s="14"/>
      <c r="K354" s="14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39"/>
      <c r="B355" s="40"/>
      <c r="C355" s="40"/>
      <c r="D355" s="40"/>
      <c r="E355" s="11"/>
      <c r="F355" s="11"/>
      <c r="G355" s="11"/>
      <c r="H355" s="14"/>
      <c r="I355" s="14"/>
      <c r="J355" s="14"/>
      <c r="K355" s="14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39"/>
      <c r="B356" s="40"/>
      <c r="C356" s="40"/>
      <c r="D356" s="40"/>
      <c r="E356" s="11"/>
      <c r="F356" s="11"/>
      <c r="G356" s="11"/>
      <c r="H356" s="14"/>
      <c r="I356" s="14"/>
      <c r="J356" s="14"/>
      <c r="K356" s="14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39"/>
      <c r="B357" s="40"/>
      <c r="C357" s="40"/>
      <c r="D357" s="40"/>
      <c r="E357" s="11"/>
      <c r="F357" s="11"/>
      <c r="G357" s="11"/>
      <c r="H357" s="14"/>
      <c r="I357" s="14"/>
      <c r="J357" s="14"/>
      <c r="K357" s="14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39"/>
      <c r="B358" s="40"/>
      <c r="C358" s="40"/>
      <c r="D358" s="40"/>
      <c r="E358" s="11"/>
      <c r="F358" s="11"/>
      <c r="G358" s="11"/>
      <c r="H358" s="14"/>
      <c r="I358" s="14"/>
      <c r="J358" s="14"/>
      <c r="K358" s="14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39"/>
      <c r="B359" s="40"/>
      <c r="C359" s="40"/>
      <c r="D359" s="40"/>
      <c r="E359" s="11"/>
      <c r="F359" s="11"/>
      <c r="G359" s="11"/>
      <c r="H359" s="14"/>
      <c r="I359" s="14"/>
      <c r="J359" s="14"/>
      <c r="K359" s="14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39"/>
      <c r="B360" s="40"/>
      <c r="C360" s="40"/>
      <c r="D360" s="40"/>
      <c r="E360" s="11"/>
      <c r="F360" s="11"/>
      <c r="G360" s="11"/>
      <c r="H360" s="14"/>
      <c r="I360" s="14"/>
      <c r="J360" s="14"/>
      <c r="K360" s="14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39"/>
      <c r="B361" s="40"/>
      <c r="C361" s="40"/>
      <c r="D361" s="40"/>
      <c r="E361" s="11"/>
      <c r="F361" s="11"/>
      <c r="G361" s="11"/>
      <c r="H361" s="14"/>
      <c r="I361" s="14"/>
      <c r="J361" s="14"/>
      <c r="K361" s="14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39"/>
      <c r="B362" s="40"/>
      <c r="C362" s="40"/>
      <c r="D362" s="40"/>
      <c r="E362" s="11"/>
      <c r="F362" s="11"/>
      <c r="G362" s="11"/>
      <c r="H362" s="14"/>
      <c r="I362" s="14"/>
      <c r="J362" s="14"/>
      <c r="K362" s="14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39"/>
      <c r="B363" s="40"/>
      <c r="C363" s="40"/>
      <c r="D363" s="40"/>
      <c r="E363" s="11"/>
      <c r="F363" s="11"/>
      <c r="G363" s="11"/>
      <c r="H363" s="14"/>
      <c r="I363" s="14"/>
      <c r="J363" s="14"/>
      <c r="K363" s="14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39"/>
      <c r="B364" s="40"/>
      <c r="C364" s="40"/>
      <c r="D364" s="40"/>
      <c r="E364" s="11"/>
      <c r="F364" s="11"/>
      <c r="G364" s="11"/>
      <c r="H364" s="14"/>
      <c r="I364" s="14"/>
      <c r="J364" s="14"/>
      <c r="K364" s="14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39"/>
      <c r="B365" s="40"/>
      <c r="C365" s="40"/>
      <c r="D365" s="40"/>
      <c r="E365" s="11"/>
      <c r="F365" s="11"/>
      <c r="G365" s="11"/>
      <c r="H365" s="14"/>
      <c r="I365" s="14"/>
      <c r="J365" s="14"/>
      <c r="K365" s="14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39"/>
      <c r="B366" s="40"/>
      <c r="C366" s="40"/>
      <c r="D366" s="40"/>
      <c r="E366" s="11"/>
      <c r="F366" s="11"/>
      <c r="G366" s="11"/>
      <c r="H366" s="14"/>
      <c r="I366" s="14"/>
      <c r="J366" s="14"/>
      <c r="K366" s="14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39"/>
      <c r="B367" s="40"/>
      <c r="C367" s="40"/>
      <c r="D367" s="40"/>
      <c r="E367" s="11"/>
      <c r="F367" s="11"/>
      <c r="G367" s="11"/>
      <c r="H367" s="14"/>
      <c r="I367" s="14"/>
      <c r="J367" s="14"/>
      <c r="K367" s="14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39"/>
      <c r="B368" s="40"/>
      <c r="C368" s="40"/>
      <c r="D368" s="40"/>
      <c r="E368" s="11"/>
      <c r="F368" s="11"/>
      <c r="G368" s="11"/>
      <c r="H368" s="14"/>
      <c r="I368" s="14"/>
      <c r="J368" s="14"/>
      <c r="K368" s="14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39"/>
      <c r="B369" s="40"/>
      <c r="C369" s="40"/>
      <c r="D369" s="40"/>
      <c r="E369" s="11"/>
      <c r="F369" s="11"/>
      <c r="G369" s="11"/>
      <c r="H369" s="14"/>
      <c r="I369" s="14"/>
      <c r="J369" s="14"/>
      <c r="K369" s="14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39"/>
      <c r="B370" s="40"/>
      <c r="C370" s="40"/>
      <c r="D370" s="40"/>
      <c r="E370" s="11"/>
      <c r="F370" s="11"/>
      <c r="G370" s="11"/>
      <c r="H370" s="14"/>
      <c r="I370" s="14"/>
      <c r="J370" s="14"/>
      <c r="K370" s="14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39"/>
      <c r="B371" s="40"/>
      <c r="C371" s="40"/>
      <c r="D371" s="40"/>
      <c r="E371" s="11"/>
      <c r="F371" s="11"/>
      <c r="G371" s="11"/>
      <c r="H371" s="14"/>
      <c r="I371" s="14"/>
      <c r="J371" s="14"/>
      <c r="K371" s="14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39"/>
      <c r="B372" s="40"/>
      <c r="C372" s="40"/>
      <c r="D372" s="40"/>
      <c r="E372" s="11"/>
      <c r="F372" s="11"/>
      <c r="G372" s="11"/>
      <c r="H372" s="14"/>
      <c r="I372" s="14"/>
      <c r="J372" s="14"/>
      <c r="K372" s="14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39"/>
      <c r="B373" s="40"/>
      <c r="C373" s="40"/>
      <c r="D373" s="40"/>
      <c r="E373" s="11"/>
      <c r="F373" s="11"/>
      <c r="G373" s="11"/>
      <c r="H373" s="14"/>
      <c r="I373" s="14"/>
      <c r="J373" s="14"/>
      <c r="K373" s="14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39"/>
      <c r="B374" s="40"/>
      <c r="C374" s="40"/>
      <c r="D374" s="40"/>
      <c r="E374" s="11"/>
      <c r="F374" s="11"/>
      <c r="G374" s="11"/>
      <c r="H374" s="14"/>
      <c r="I374" s="14"/>
      <c r="J374" s="14"/>
      <c r="K374" s="14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39"/>
      <c r="B375" s="40"/>
      <c r="C375" s="40"/>
      <c r="D375" s="40"/>
      <c r="E375" s="11"/>
      <c r="F375" s="11"/>
      <c r="G375" s="11"/>
      <c r="H375" s="14"/>
      <c r="I375" s="14"/>
      <c r="J375" s="14"/>
      <c r="K375" s="14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39"/>
      <c r="B376" s="40"/>
      <c r="C376" s="40"/>
      <c r="D376" s="40"/>
      <c r="E376" s="11"/>
      <c r="F376" s="11"/>
      <c r="G376" s="11"/>
      <c r="H376" s="14"/>
      <c r="I376" s="14"/>
      <c r="J376" s="14"/>
      <c r="K376" s="14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39"/>
      <c r="B377" s="40"/>
      <c r="C377" s="40"/>
      <c r="D377" s="40"/>
      <c r="E377" s="11"/>
      <c r="F377" s="11"/>
      <c r="G377" s="11"/>
      <c r="H377" s="14"/>
      <c r="I377" s="14"/>
      <c r="J377" s="14"/>
      <c r="K377" s="14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39"/>
      <c r="B378" s="40"/>
      <c r="C378" s="40"/>
      <c r="D378" s="40"/>
      <c r="E378" s="11"/>
      <c r="F378" s="11"/>
      <c r="G378" s="11"/>
      <c r="H378" s="14"/>
      <c r="I378" s="14"/>
      <c r="J378" s="14"/>
      <c r="K378" s="14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39"/>
      <c r="B379" s="40"/>
      <c r="C379" s="40"/>
      <c r="D379" s="40"/>
      <c r="E379" s="11"/>
      <c r="F379" s="11"/>
      <c r="G379" s="11"/>
      <c r="H379" s="14"/>
      <c r="I379" s="14"/>
      <c r="J379" s="14"/>
      <c r="K379" s="14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39"/>
      <c r="B380" s="40"/>
      <c r="C380" s="40"/>
      <c r="D380" s="40"/>
      <c r="E380" s="11"/>
      <c r="F380" s="11"/>
      <c r="G380" s="11"/>
      <c r="H380" s="14"/>
      <c r="I380" s="14"/>
      <c r="J380" s="14"/>
      <c r="K380" s="14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39"/>
      <c r="B381" s="40"/>
      <c r="C381" s="40"/>
      <c r="D381" s="40"/>
      <c r="E381" s="11"/>
      <c r="F381" s="11"/>
      <c r="G381" s="11"/>
      <c r="H381" s="14"/>
      <c r="I381" s="14"/>
      <c r="J381" s="14"/>
      <c r="K381" s="14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39"/>
      <c r="B382" s="40"/>
      <c r="C382" s="40"/>
      <c r="D382" s="40"/>
      <c r="E382" s="11"/>
      <c r="F382" s="11"/>
      <c r="G382" s="11"/>
      <c r="H382" s="14"/>
      <c r="I382" s="14"/>
      <c r="J382" s="14"/>
      <c r="K382" s="14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39"/>
      <c r="B383" s="40"/>
      <c r="C383" s="40"/>
      <c r="D383" s="40"/>
      <c r="E383" s="11"/>
      <c r="F383" s="11"/>
      <c r="G383" s="11"/>
      <c r="H383" s="14"/>
      <c r="I383" s="14"/>
      <c r="J383" s="14"/>
      <c r="K383" s="14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39"/>
      <c r="B384" s="40"/>
      <c r="C384" s="40"/>
      <c r="D384" s="40"/>
      <c r="E384" s="11"/>
      <c r="F384" s="11"/>
      <c r="G384" s="11"/>
      <c r="H384" s="14"/>
      <c r="I384" s="14"/>
      <c r="J384" s="14"/>
      <c r="K384" s="14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39"/>
      <c r="B385" s="40"/>
      <c r="C385" s="40"/>
      <c r="D385" s="40"/>
      <c r="E385" s="11"/>
      <c r="F385" s="11"/>
      <c r="G385" s="11"/>
      <c r="H385" s="14"/>
      <c r="I385" s="14"/>
      <c r="J385" s="14"/>
      <c r="K385" s="14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39"/>
      <c r="B386" s="40"/>
      <c r="C386" s="40"/>
      <c r="D386" s="40"/>
      <c r="E386" s="11"/>
      <c r="F386" s="11"/>
      <c r="G386" s="11"/>
      <c r="H386" s="14"/>
      <c r="I386" s="14"/>
      <c r="J386" s="14"/>
      <c r="K386" s="14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39"/>
      <c r="B387" s="40"/>
      <c r="C387" s="40"/>
      <c r="D387" s="40"/>
      <c r="E387" s="11"/>
      <c r="F387" s="11"/>
      <c r="G387" s="11"/>
      <c r="H387" s="14"/>
      <c r="I387" s="14"/>
      <c r="J387" s="14"/>
      <c r="K387" s="14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39"/>
      <c r="B388" s="40"/>
      <c r="C388" s="40"/>
      <c r="D388" s="40"/>
      <c r="E388" s="11"/>
      <c r="F388" s="11"/>
      <c r="G388" s="11"/>
      <c r="H388" s="14"/>
      <c r="I388" s="14"/>
      <c r="J388" s="14"/>
      <c r="K388" s="14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39"/>
      <c r="B389" s="40"/>
      <c r="C389" s="40"/>
      <c r="D389" s="40"/>
      <c r="E389" s="11"/>
      <c r="F389" s="11"/>
      <c r="G389" s="11"/>
      <c r="H389" s="14"/>
      <c r="I389" s="14"/>
      <c r="J389" s="14"/>
      <c r="K389" s="14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39"/>
      <c r="B390" s="40"/>
      <c r="C390" s="40"/>
      <c r="D390" s="40"/>
      <c r="E390" s="11"/>
      <c r="F390" s="11"/>
      <c r="G390" s="11"/>
      <c r="H390" s="14"/>
      <c r="I390" s="14"/>
      <c r="J390" s="14"/>
      <c r="K390" s="14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39"/>
      <c r="B391" s="40"/>
      <c r="C391" s="40"/>
      <c r="D391" s="40"/>
      <c r="E391" s="11"/>
      <c r="F391" s="11"/>
      <c r="G391" s="11"/>
      <c r="H391" s="14"/>
      <c r="I391" s="14"/>
      <c r="J391" s="14"/>
      <c r="K391" s="14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39"/>
      <c r="B392" s="40"/>
      <c r="C392" s="40"/>
      <c r="D392" s="40"/>
      <c r="E392" s="11"/>
      <c r="F392" s="11"/>
      <c r="G392" s="11"/>
      <c r="H392" s="14"/>
      <c r="I392" s="14"/>
      <c r="J392" s="14"/>
      <c r="K392" s="14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39"/>
      <c r="B393" s="40"/>
      <c r="C393" s="40"/>
      <c r="D393" s="40"/>
      <c r="E393" s="11"/>
      <c r="F393" s="11"/>
      <c r="G393" s="11"/>
      <c r="H393" s="14"/>
      <c r="I393" s="14"/>
      <c r="J393" s="14"/>
      <c r="K393" s="14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39"/>
      <c r="B394" s="40"/>
      <c r="C394" s="40"/>
      <c r="D394" s="40"/>
      <c r="E394" s="11"/>
      <c r="F394" s="11"/>
      <c r="G394" s="11"/>
      <c r="H394" s="14"/>
      <c r="I394" s="14"/>
      <c r="J394" s="14"/>
      <c r="K394" s="14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39"/>
      <c r="B395" s="40"/>
      <c r="C395" s="40"/>
      <c r="D395" s="40"/>
      <c r="E395" s="11"/>
      <c r="F395" s="11"/>
      <c r="G395" s="11"/>
      <c r="H395" s="14"/>
      <c r="I395" s="14"/>
      <c r="J395" s="14"/>
      <c r="K395" s="14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39"/>
      <c r="B396" s="40"/>
      <c r="C396" s="40"/>
      <c r="D396" s="40"/>
      <c r="E396" s="11"/>
      <c r="F396" s="11"/>
      <c r="G396" s="11"/>
      <c r="H396" s="14"/>
      <c r="I396" s="14"/>
      <c r="J396" s="14"/>
      <c r="K396" s="14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39"/>
      <c r="B397" s="40"/>
      <c r="C397" s="40"/>
      <c r="D397" s="40"/>
      <c r="E397" s="11"/>
      <c r="F397" s="11"/>
      <c r="G397" s="11"/>
      <c r="H397" s="14"/>
      <c r="I397" s="14"/>
      <c r="J397" s="14"/>
      <c r="K397" s="14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39"/>
      <c r="B398" s="40"/>
      <c r="C398" s="40"/>
      <c r="D398" s="40"/>
      <c r="E398" s="11"/>
      <c r="F398" s="11"/>
      <c r="G398" s="11"/>
      <c r="H398" s="14"/>
      <c r="I398" s="14"/>
      <c r="J398" s="14"/>
      <c r="K398" s="14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39"/>
      <c r="B399" s="40"/>
      <c r="C399" s="40"/>
      <c r="D399" s="40"/>
      <c r="E399" s="11"/>
      <c r="F399" s="11"/>
      <c r="G399" s="11"/>
      <c r="H399" s="14"/>
      <c r="I399" s="14"/>
      <c r="J399" s="14"/>
      <c r="K399" s="14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39"/>
      <c r="B400" s="40"/>
      <c r="C400" s="40"/>
      <c r="D400" s="40"/>
      <c r="E400" s="11"/>
      <c r="F400" s="11"/>
      <c r="G400" s="11"/>
      <c r="H400" s="14"/>
      <c r="I400" s="14"/>
      <c r="J400" s="14"/>
      <c r="K400" s="14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39"/>
      <c r="B401" s="40"/>
      <c r="C401" s="40"/>
      <c r="D401" s="40"/>
      <c r="E401" s="11"/>
      <c r="F401" s="11"/>
      <c r="G401" s="11"/>
      <c r="H401" s="14"/>
      <c r="I401" s="14"/>
      <c r="J401" s="14"/>
      <c r="K401" s="14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39"/>
      <c r="B402" s="40"/>
      <c r="C402" s="40"/>
      <c r="D402" s="40"/>
      <c r="E402" s="11"/>
      <c r="F402" s="11"/>
      <c r="G402" s="11"/>
      <c r="H402" s="14"/>
      <c r="I402" s="14"/>
      <c r="J402" s="14"/>
      <c r="K402" s="14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39"/>
      <c r="B403" s="40"/>
      <c r="C403" s="40"/>
      <c r="D403" s="40"/>
      <c r="E403" s="11"/>
      <c r="F403" s="11"/>
      <c r="G403" s="11"/>
      <c r="H403" s="14"/>
      <c r="I403" s="14"/>
      <c r="J403" s="14"/>
      <c r="K403" s="14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39"/>
      <c r="B404" s="40"/>
      <c r="C404" s="40"/>
      <c r="D404" s="40"/>
      <c r="E404" s="11"/>
      <c r="F404" s="11"/>
      <c r="G404" s="11"/>
      <c r="H404" s="14"/>
      <c r="I404" s="14"/>
      <c r="J404" s="14"/>
      <c r="K404" s="14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39"/>
      <c r="B405" s="40"/>
      <c r="C405" s="40"/>
      <c r="D405" s="40"/>
      <c r="E405" s="11"/>
      <c r="F405" s="11"/>
      <c r="G405" s="11"/>
      <c r="H405" s="14"/>
      <c r="I405" s="14"/>
      <c r="J405" s="14"/>
      <c r="K405" s="14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39"/>
      <c r="B406" s="40"/>
      <c r="C406" s="40"/>
      <c r="D406" s="40"/>
      <c r="E406" s="11"/>
      <c r="F406" s="11"/>
      <c r="G406" s="11"/>
      <c r="H406" s="14"/>
      <c r="I406" s="14"/>
      <c r="J406" s="14"/>
      <c r="K406" s="14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39"/>
      <c r="B407" s="40"/>
      <c r="C407" s="40"/>
      <c r="D407" s="40"/>
      <c r="E407" s="11"/>
      <c r="F407" s="11"/>
      <c r="G407" s="11"/>
      <c r="H407" s="14"/>
      <c r="I407" s="14"/>
      <c r="J407" s="14"/>
      <c r="K407" s="14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39"/>
      <c r="B408" s="40"/>
      <c r="C408" s="40"/>
      <c r="D408" s="40"/>
      <c r="E408" s="11"/>
      <c r="F408" s="11"/>
      <c r="G408" s="11"/>
      <c r="H408" s="14"/>
      <c r="I408" s="14"/>
      <c r="J408" s="14"/>
      <c r="K408" s="14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39"/>
      <c r="B409" s="40"/>
      <c r="C409" s="40"/>
      <c r="D409" s="40"/>
      <c r="E409" s="11"/>
      <c r="F409" s="11"/>
      <c r="G409" s="11"/>
      <c r="H409" s="14"/>
      <c r="I409" s="14"/>
      <c r="J409" s="14"/>
      <c r="K409" s="14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39"/>
      <c r="B410" s="40"/>
      <c r="C410" s="40"/>
      <c r="D410" s="40"/>
      <c r="E410" s="11"/>
      <c r="F410" s="11"/>
      <c r="G410" s="11"/>
      <c r="H410" s="14"/>
      <c r="I410" s="14"/>
      <c r="J410" s="14"/>
      <c r="K410" s="14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39"/>
      <c r="B411" s="40"/>
      <c r="C411" s="40"/>
      <c r="D411" s="40"/>
      <c r="E411" s="11"/>
      <c r="F411" s="11"/>
      <c r="G411" s="11"/>
      <c r="H411" s="14"/>
      <c r="I411" s="14"/>
      <c r="J411" s="14"/>
      <c r="K411" s="14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39"/>
      <c r="B412" s="40"/>
      <c r="C412" s="40"/>
      <c r="D412" s="40"/>
      <c r="E412" s="11"/>
      <c r="F412" s="11"/>
      <c r="G412" s="11"/>
      <c r="H412" s="14"/>
      <c r="I412" s="14"/>
      <c r="J412" s="14"/>
      <c r="K412" s="14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39"/>
      <c r="B413" s="40"/>
      <c r="C413" s="40"/>
      <c r="D413" s="40"/>
      <c r="E413" s="11"/>
      <c r="F413" s="11"/>
      <c r="G413" s="11"/>
      <c r="H413" s="14"/>
      <c r="I413" s="14"/>
      <c r="J413" s="14"/>
      <c r="K413" s="14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39"/>
      <c r="B414" s="40"/>
      <c r="C414" s="40"/>
      <c r="D414" s="40"/>
      <c r="E414" s="11"/>
      <c r="F414" s="11"/>
      <c r="G414" s="11"/>
      <c r="H414" s="14"/>
      <c r="I414" s="14"/>
      <c r="J414" s="14"/>
      <c r="K414" s="14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39"/>
      <c r="B415" s="40"/>
      <c r="C415" s="40"/>
      <c r="D415" s="40"/>
      <c r="E415" s="11"/>
      <c r="F415" s="11"/>
      <c r="G415" s="11"/>
      <c r="H415" s="14"/>
      <c r="I415" s="14"/>
      <c r="J415" s="14"/>
      <c r="K415" s="14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39"/>
      <c r="B416" s="40"/>
      <c r="C416" s="40"/>
      <c r="D416" s="40"/>
      <c r="E416" s="11"/>
      <c r="F416" s="11"/>
      <c r="G416" s="11"/>
      <c r="H416" s="14"/>
      <c r="I416" s="14"/>
      <c r="J416" s="14"/>
      <c r="K416" s="14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39"/>
      <c r="B417" s="40"/>
      <c r="C417" s="40"/>
      <c r="D417" s="40"/>
      <c r="E417" s="11"/>
      <c r="F417" s="11"/>
      <c r="G417" s="11"/>
      <c r="H417" s="14"/>
      <c r="I417" s="14"/>
      <c r="J417" s="14"/>
      <c r="K417" s="14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39"/>
      <c r="B418" s="40"/>
      <c r="C418" s="40"/>
      <c r="D418" s="40"/>
      <c r="E418" s="11"/>
      <c r="F418" s="11"/>
      <c r="G418" s="11"/>
      <c r="H418" s="14"/>
      <c r="I418" s="14"/>
      <c r="J418" s="14"/>
      <c r="K418" s="14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39"/>
      <c r="B419" s="40"/>
      <c r="C419" s="40"/>
      <c r="D419" s="40"/>
      <c r="E419" s="11"/>
      <c r="F419" s="11"/>
      <c r="G419" s="11"/>
      <c r="H419" s="14"/>
      <c r="I419" s="14"/>
      <c r="J419" s="14"/>
      <c r="K419" s="14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39"/>
      <c r="B420" s="40"/>
      <c r="C420" s="40"/>
      <c r="D420" s="40"/>
      <c r="E420" s="11"/>
      <c r="F420" s="11"/>
      <c r="G420" s="11"/>
      <c r="H420" s="14"/>
      <c r="I420" s="14"/>
      <c r="J420" s="14"/>
      <c r="K420" s="14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39"/>
      <c r="B421" s="40"/>
      <c r="C421" s="40"/>
      <c r="D421" s="40"/>
      <c r="E421" s="11"/>
      <c r="F421" s="11"/>
      <c r="G421" s="11"/>
      <c r="H421" s="14"/>
      <c r="I421" s="14"/>
      <c r="J421" s="14"/>
      <c r="K421" s="14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39"/>
      <c r="B422" s="40"/>
      <c r="C422" s="40"/>
      <c r="D422" s="40"/>
      <c r="E422" s="11"/>
      <c r="F422" s="11"/>
      <c r="G422" s="11"/>
      <c r="H422" s="14"/>
      <c r="I422" s="14"/>
      <c r="J422" s="14"/>
      <c r="K422" s="14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39"/>
      <c r="B423" s="40"/>
      <c r="C423" s="40"/>
      <c r="D423" s="40"/>
      <c r="E423" s="11"/>
      <c r="F423" s="11"/>
      <c r="G423" s="11"/>
      <c r="H423" s="14"/>
      <c r="I423" s="14"/>
      <c r="J423" s="14"/>
      <c r="K423" s="14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39"/>
      <c r="B424" s="40"/>
      <c r="C424" s="40"/>
      <c r="D424" s="40"/>
      <c r="E424" s="11"/>
      <c r="F424" s="11"/>
      <c r="G424" s="11"/>
      <c r="H424" s="14"/>
      <c r="I424" s="14"/>
      <c r="J424" s="14"/>
      <c r="K424" s="14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39"/>
      <c r="B425" s="40"/>
      <c r="C425" s="40"/>
      <c r="D425" s="40"/>
      <c r="E425" s="11"/>
      <c r="F425" s="11"/>
      <c r="G425" s="11"/>
      <c r="H425" s="14"/>
      <c r="I425" s="14"/>
      <c r="J425" s="14"/>
      <c r="K425" s="14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39"/>
      <c r="B426" s="40"/>
      <c r="C426" s="40"/>
      <c r="D426" s="40"/>
      <c r="E426" s="11"/>
      <c r="F426" s="11"/>
      <c r="G426" s="11"/>
      <c r="H426" s="14"/>
      <c r="I426" s="14"/>
      <c r="J426" s="14"/>
      <c r="K426" s="14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39"/>
      <c r="B427" s="40"/>
      <c r="C427" s="40"/>
      <c r="D427" s="40"/>
      <c r="E427" s="11"/>
      <c r="F427" s="11"/>
      <c r="G427" s="11"/>
      <c r="H427" s="14"/>
      <c r="I427" s="14"/>
      <c r="J427" s="14"/>
      <c r="K427" s="14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39"/>
      <c r="B428" s="40"/>
      <c r="C428" s="40"/>
      <c r="D428" s="40"/>
      <c r="E428" s="11"/>
      <c r="F428" s="11"/>
      <c r="G428" s="11"/>
      <c r="H428" s="14"/>
      <c r="I428" s="14"/>
      <c r="J428" s="14"/>
      <c r="K428" s="14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39"/>
      <c r="B429" s="40"/>
      <c r="C429" s="40"/>
      <c r="D429" s="40"/>
      <c r="E429" s="11"/>
      <c r="F429" s="11"/>
      <c r="G429" s="11"/>
      <c r="H429" s="14"/>
      <c r="I429" s="14"/>
      <c r="J429" s="14"/>
      <c r="K429" s="14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39"/>
      <c r="B430" s="40"/>
      <c r="C430" s="40"/>
      <c r="D430" s="40"/>
      <c r="E430" s="11"/>
      <c r="F430" s="11"/>
      <c r="G430" s="11"/>
      <c r="H430" s="14"/>
      <c r="I430" s="14"/>
      <c r="J430" s="14"/>
      <c r="K430" s="14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39"/>
      <c r="B431" s="40"/>
      <c r="C431" s="40"/>
      <c r="D431" s="40"/>
      <c r="E431" s="11"/>
      <c r="F431" s="11"/>
      <c r="G431" s="11"/>
      <c r="H431" s="14"/>
      <c r="I431" s="14"/>
      <c r="J431" s="14"/>
      <c r="K431" s="14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39"/>
      <c r="B432" s="40"/>
      <c r="C432" s="40"/>
      <c r="D432" s="40"/>
      <c r="E432" s="11"/>
      <c r="F432" s="11"/>
      <c r="G432" s="11"/>
      <c r="H432" s="14"/>
      <c r="I432" s="14"/>
      <c r="J432" s="14"/>
      <c r="K432" s="14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39"/>
      <c r="B433" s="40"/>
      <c r="C433" s="40"/>
      <c r="D433" s="40"/>
      <c r="E433" s="11"/>
      <c r="F433" s="11"/>
      <c r="G433" s="11"/>
      <c r="H433" s="14"/>
      <c r="I433" s="14"/>
      <c r="J433" s="14"/>
      <c r="K433" s="14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39"/>
      <c r="B434" s="40"/>
      <c r="C434" s="40"/>
      <c r="D434" s="40"/>
      <c r="E434" s="11"/>
      <c r="F434" s="11"/>
      <c r="G434" s="11"/>
      <c r="H434" s="14"/>
      <c r="I434" s="14"/>
      <c r="J434" s="14"/>
      <c r="K434" s="14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39"/>
      <c r="B435" s="40"/>
      <c r="C435" s="40"/>
      <c r="D435" s="40"/>
      <c r="E435" s="11"/>
      <c r="F435" s="11"/>
      <c r="G435" s="11"/>
      <c r="H435" s="14"/>
      <c r="I435" s="14"/>
      <c r="J435" s="14"/>
      <c r="K435" s="14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39"/>
      <c r="B436" s="40"/>
      <c r="C436" s="40"/>
      <c r="D436" s="40"/>
      <c r="E436" s="11"/>
      <c r="F436" s="11"/>
      <c r="G436" s="11"/>
      <c r="H436" s="14"/>
      <c r="I436" s="14"/>
      <c r="J436" s="14"/>
      <c r="K436" s="14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39"/>
      <c r="B437" s="40"/>
      <c r="C437" s="40"/>
      <c r="D437" s="40"/>
      <c r="E437" s="11"/>
      <c r="F437" s="11"/>
      <c r="G437" s="11"/>
      <c r="H437" s="14"/>
      <c r="I437" s="14"/>
      <c r="J437" s="14"/>
      <c r="K437" s="14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39"/>
      <c r="B438" s="40"/>
      <c r="C438" s="40"/>
      <c r="D438" s="40"/>
      <c r="E438" s="11"/>
      <c r="F438" s="11"/>
      <c r="G438" s="11"/>
      <c r="H438" s="14"/>
      <c r="I438" s="14"/>
      <c r="J438" s="14"/>
      <c r="K438" s="14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39"/>
      <c r="B439" s="40"/>
      <c r="C439" s="40"/>
      <c r="D439" s="40"/>
      <c r="E439" s="11"/>
      <c r="F439" s="11"/>
      <c r="G439" s="11"/>
      <c r="H439" s="14"/>
      <c r="I439" s="14"/>
      <c r="J439" s="14"/>
      <c r="K439" s="14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39"/>
      <c r="B440" s="40"/>
      <c r="C440" s="40"/>
      <c r="D440" s="40"/>
      <c r="E440" s="11"/>
      <c r="F440" s="11"/>
      <c r="G440" s="11"/>
      <c r="H440" s="14"/>
      <c r="I440" s="14"/>
      <c r="J440" s="14"/>
      <c r="K440" s="14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39"/>
      <c r="B441" s="40"/>
      <c r="C441" s="40"/>
      <c r="D441" s="40"/>
      <c r="E441" s="11"/>
      <c r="F441" s="11"/>
      <c r="G441" s="11"/>
      <c r="H441" s="14"/>
      <c r="I441" s="14"/>
      <c r="J441" s="14"/>
      <c r="K441" s="14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39"/>
      <c r="B442" s="40"/>
      <c r="C442" s="40"/>
      <c r="D442" s="40"/>
      <c r="E442" s="11"/>
      <c r="F442" s="11"/>
      <c r="G442" s="11"/>
      <c r="H442" s="14"/>
      <c r="I442" s="14"/>
      <c r="J442" s="14"/>
      <c r="K442" s="14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</sheetData>
  <conditionalFormatting sqref="A4:D442">
    <cfRule type="cellIs" dxfId="0" priority="1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34.86"/>
    <col customWidth="1" min="3" max="3" width="11.43"/>
    <col customWidth="1" min="4" max="4" width="28.43"/>
    <col customWidth="1" min="5" max="5" width="10.57"/>
    <col customWidth="1" min="6" max="6" width="10.29"/>
    <col customWidth="1" min="7" max="7" width="12.71"/>
    <col customWidth="1" min="8" max="8" width="6.57"/>
    <col customWidth="1" min="9" max="9" width="13.0"/>
    <col customWidth="1" min="10" max="10" width="11.57"/>
    <col customWidth="1" min="11" max="17" width="6.57"/>
    <col customWidth="1" min="18" max="18" width="16.14"/>
    <col customWidth="1" min="19" max="26" width="15.14"/>
  </cols>
  <sheetData>
    <row r="1">
      <c r="A1" s="3" t="s">
        <v>0</v>
      </c>
      <c r="B1" s="5" t="s">
        <v>19</v>
      </c>
      <c r="C1" s="6"/>
      <c r="D1" s="7"/>
      <c r="E1" s="8" t="s">
        <v>4</v>
      </c>
      <c r="F1" s="11">
        <f>SUM(C:C)</f>
        <v>-106045.249</v>
      </c>
      <c r="G1" s="13" t="s">
        <v>6</v>
      </c>
      <c r="H1" s="14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149</v>
      </c>
      <c r="C2" s="6"/>
      <c r="D2" s="7"/>
      <c r="E2" s="21" t="s">
        <v>8</v>
      </c>
      <c r="F2" s="22">
        <v>187037.97</v>
      </c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21">
        <f>F1+F2</f>
        <v>80992.721</v>
      </c>
      <c r="G3" s="30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41">
        <f t="array" ref="A4">IF(ROWS(A$4:A4)&lt;=$B$2,INDEX(data!C$3:C$16128,SMALL(IF(data!$D$3:$D$16128='Обеля'!$B$1,ROW(data!$A$3:$A$16128)-ROW($A$3)+1),ROWS(A$4:A4))),"")</f>
        <v>44557</v>
      </c>
      <c r="B4" s="19" t="str">
        <f t="array" ref="B4">IF(ROWS(B$4:B4)&lt;=$B$2,INDEX(data!A$3:A$16128,SMALL(IF(data!$D$3:$D$16128='Обеля'!$B$1,ROW(data!$A$3:$A$16128)-ROW($A$3)+1),ROWS(B$4:B4))),"")</f>
        <v>MYPOS Бакалия</v>
      </c>
      <c r="C4" s="19">
        <f t="array" ref="C4">IF(ROWS(C$4:C4)&lt;=$B$2,INDEX(data!B$3:B$16128,SMALL(IF(data!$D$3:$D$16128='Обеля'!$B$1,ROW(data!$A$3:$A$16128)-ROW($A$3)+1),ROWS(C$4:C4))),"")</f>
        <v>-0.01</v>
      </c>
      <c r="D4" s="7" t="str">
        <f t="array" ref="D4">IF(ROWS(D$4:D4)&lt;=$B$2,INDEX(data!E$3:E$16128,SMALL(IF(data!$D$3:$D$16128='Обеля'!$B$1,ROW(data!$A$3:$A$16128)-ROW($A$3)+1),ROWS(D$4:D4))),"")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41">
        <f t="array" ref="A5">IF(ROWS(A$4:A5)&lt;=$B$2,INDEX(data!C$3:C$16128,SMALL(IF(data!$D$3:$D$16128='Обеля'!$B$1,ROW(data!$A$3:$A$16128)-ROW($A$3)+1),ROWS(A$4:A5))),"")</f>
        <v>46025</v>
      </c>
      <c r="B5" s="19" t="str">
        <f t="array" ref="B5">IF(ROWS(B$4:B5)&lt;=$B$2,INDEX(data!A$3:A$16128,SMALL(IF(data!$D$3:$D$16128='Обеля'!$B$1,ROW(data!$A$3:$A$16128)-ROW($A$3)+1),ROWS(B$4:B5))),"")</f>
        <v>ЗАЕМ</v>
      </c>
      <c r="C5" s="19">
        <f t="array" ref="C5">IF(ROWS(C$4:C5)&lt;=$B$2,INDEX(data!B$3:B$16128,SMALL(IF(data!$D$3:$D$16128='Обеля'!$B$1,ROW(data!$A$3:$A$16128)-ROW($A$3)+1),ROWS(C$4:C5))),"")</f>
        <v>13325.9</v>
      </c>
      <c r="D5" s="7" t="str">
        <f t="array" ref="D5">IF(ROWS(D$4:D5)&lt;=$B$2,INDEX(data!E$3:E$16128,SMALL(IF(data!$D$3:$D$16128='Обеля'!$B$1,ROW(data!$A$3:$A$16128)-ROW($A$3)+1),ROWS(D$4:D5))),"")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41">
        <f t="array" ref="A6">IF(ROWS(A$4:A6)&lt;=$B$2,INDEX(data!C$3:C$16128,SMALL(IF(data!$D$3:$D$16128='Обеля'!$B$1,ROW(data!$A$3:$A$16128)-ROW($A$3)+1),ROWS(A$4:A6))),"")</f>
        <v>46027</v>
      </c>
      <c r="B6" s="19" t="str">
        <f t="array" ref="B6">IF(ROWS(B$4:B6)&lt;=$B$2,INDEX(data!A$3:A$16128,SMALL(IF(data!$D$3:$D$16128='Обеля'!$B$1,ROW(data!$A$3:$A$16128)-ROW($A$3)+1),ROWS(B$4:B6))),"")</f>
        <v>КАСОВА КНИГА</v>
      </c>
      <c r="C6" s="19">
        <f t="array" ref="C6">IF(ROWS(C$4:C6)&lt;=$B$2,INDEX(data!B$3:B$16128,SMALL(IF(data!$D$3:$D$16128='Обеля'!$B$1,ROW(data!$A$3:$A$16128)-ROW($A$3)+1),ROWS(C$4:C6))),"")</f>
        <v>-6618.16</v>
      </c>
      <c r="D6" s="7" t="str">
        <f t="array" ref="D6">IF(ROWS(D$4:D6)&lt;=$B$2,INDEX(data!E$3:E$16128,SMALL(IF(data!$D$3:$D$16128='Обеля'!$B$1,ROW(data!$A$3:$A$16128)-ROW($A$3)+1),ROWS(D$4:D6))),"")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41">
        <f t="array" ref="A7">IF(ROWS(A$4:A7)&lt;=$B$2,INDEX(data!C$3:C$16128,SMALL(IF(data!$D$3:$D$16128='Обеля'!$B$1,ROW(data!$A$3:$A$16128)-ROW($A$3)+1),ROWS(A$4:A7))),"")</f>
        <v>46027</v>
      </c>
      <c r="B7" s="19" t="str">
        <f t="array" ref="B7">IF(ROWS(B$4:B7)&lt;=$B$2,INDEX(data!A$3:A$16128,SMALL(IF(data!$D$3:$D$16128='Обеля'!$B$1,ROW(data!$A$3:$A$16128)-ROW($A$3)+1),ROWS(B$4:B7))),"")</f>
        <v>MYPOS Бакалия</v>
      </c>
      <c r="C7" s="19">
        <f t="array" ref="C7">IF(ROWS(C$4:C7)&lt;=$B$2,INDEX(data!B$3:B$16128,SMALL(IF(data!$D$3:$D$16128='Обеля'!$B$1,ROW(data!$A$3:$A$16128)-ROW($A$3)+1),ROWS(C$4:C7))),"")</f>
        <v>-1106.79</v>
      </c>
      <c r="D7" s="7" t="str">
        <f t="array" ref="D7">IF(ROWS(D$4:D7)&lt;=$B$2,INDEX(data!E$3:E$16128,SMALL(IF(data!$D$3:$D$16128='Обеля'!$B$1,ROW(data!$A$3:$A$16128)-ROW($A$3)+1),ROWS(D$4:D7))),"")</f>
        <v/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41">
        <f t="array" ref="A8">IF(ROWS(A$4:A8)&lt;=$B$2,INDEX(data!C$3:C$16128,SMALL(IF(data!$D$3:$D$16128='Обеля'!$B$1,ROW(data!$A$3:$A$16128)-ROW($A$3)+1),ROWS(A$4:A8))),"")</f>
        <v>46027</v>
      </c>
      <c r="B8" s="19" t="str">
        <f t="array" ref="B8">IF(ROWS(B$4:B8)&lt;=$B$2,INDEX(data!A$3:A$16128,SMALL(IF(data!$D$3:$D$16128='Обеля'!$B$1,ROW(data!$A$3:$A$16128)-ROW($A$3)+1),ROWS(B$4:B8))),"")</f>
        <v>КАСОВА КНИГА</v>
      </c>
      <c r="C8" s="19">
        <f t="array" ref="C8">IF(ROWS(C$4:C8)&lt;=$B$2,INDEX(data!B$3:B$16128,SMALL(IF(data!$D$3:$D$16128='Обеля'!$B$1,ROW(data!$A$3:$A$16128)-ROW($A$3)+1),ROWS(C$4:C8))),"")</f>
        <v>-4601.63</v>
      </c>
      <c r="D8" s="7" t="str">
        <f t="array" ref="D8">IF(ROWS(D$4:D8)&lt;=$B$2,INDEX(data!E$3:E$16128,SMALL(IF(data!$D$3:$D$16128='Обеля'!$B$1,ROW(data!$A$3:$A$16128)-ROW($A$3)+1),ROWS(D$4:D8))),"")</f>
        <v/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41">
        <f t="array" ref="A9">IF(ROWS(A$4:A9)&lt;=$B$2,INDEX(data!C$3:C$16128,SMALL(IF(data!$D$3:$D$16128='Обеля'!$B$1,ROW(data!$A$3:$A$16128)-ROW($A$3)+1),ROWS(A$4:A9))),"")</f>
        <v>46027</v>
      </c>
      <c r="B9" s="19" t="str">
        <f t="array" ref="B9">IF(ROWS(B$4:B9)&lt;=$B$2,INDEX(data!A$3:A$16128,SMALL(IF(data!$D$3:$D$16128='Обеля'!$B$1,ROW(data!$A$3:$A$16128)-ROW($A$3)+1),ROWS(B$4:B9))),"")</f>
        <v>MYPOS Бакалия</v>
      </c>
      <c r="C9" s="19">
        <f t="array" ref="C9">IF(ROWS(C$4:C9)&lt;=$B$2,INDEX(data!B$3:B$16128,SMALL(IF(data!$D$3:$D$16128='Обеля'!$B$1,ROW(data!$A$3:$A$16128)-ROW($A$3)+1),ROWS(C$4:C9))),"")</f>
        <v>-2691.11</v>
      </c>
      <c r="D9" s="7" t="str">
        <f t="array" ref="D9">IF(ROWS(D$4:D9)&lt;=$B$2,INDEX(data!E$3:E$16128,SMALL(IF(data!$D$3:$D$16128='Обеля'!$B$1,ROW(data!$A$3:$A$16128)-ROW($A$3)+1),ROWS(D$4:D9))),"")</f>
        <v>29-31,12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41">
        <f t="array" ref="A10">IF(ROWS(A$4:A10)&lt;=$B$2,INDEX(data!C$3:C$16128,SMALL(IF(data!$D$3:$D$16128='Обеля'!$B$1,ROW(data!$A$3:$A$16128)-ROW($A$3)+1),ROWS(A$4:A10))),"")</f>
        <v>46027</v>
      </c>
      <c r="B10" s="19" t="str">
        <f t="array" ref="B10">IF(ROWS(B$4:B10)&lt;=$B$2,INDEX(data!A$3:A$16128,SMALL(IF(data!$D$3:$D$16128='Обеля'!$B$1,ROW(data!$A$3:$A$16128)-ROW($A$3)+1),ROWS(B$4:B10))),"")</f>
        <v>КАСОВА КНИГА</v>
      </c>
      <c r="C10" s="19">
        <f t="array" ref="C10">IF(ROWS(C$4:C10)&lt;=$B$2,INDEX(data!B$3:B$16128,SMALL(IF(data!$D$3:$D$16128='Обеля'!$B$1,ROW(data!$A$3:$A$16128)-ROW($A$3)+1),ROWS(C$4:C10))),"")</f>
        <v>8220</v>
      </c>
      <c r="D10" s="7" t="str">
        <f t="array" ref="D10">IF(ROWS(D$4:D10)&lt;=$B$2,INDEX(data!E$3:E$16128,SMALL(IF(data!$D$3:$D$16128='Обеля'!$B$1,ROW(data!$A$3:$A$16128)-ROW($A$3)+1),ROWS(D$4:D10))),"")</f>
        <v>евро</v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41">
        <f t="array" ref="A11">IF(ROWS(A$4:A11)&lt;=$B$2,INDEX(data!C$3:C$16128,SMALL(IF(data!$D$3:$D$16128='Обеля'!$B$1,ROW(data!$A$3:$A$16128)-ROW($A$3)+1),ROWS(A$4:A11))),"")</f>
        <v>46030</v>
      </c>
      <c r="B11" s="19" t="str">
        <f t="array" ref="B11">IF(ROWS(B$4:B11)&lt;=$B$2,INDEX(data!A$3:A$16128,SMALL(IF(data!$D$3:$D$16128='Обеля'!$B$1,ROW(data!$A$3:$A$16128)-ROW($A$3)+1),ROWS(B$4:B11))),"")</f>
        <v>Каса ВАУЧЕРИ</v>
      </c>
      <c r="C11" s="19">
        <f t="array" ref="C11">IF(ROWS(C$4:C11)&lt;=$B$2,INDEX(data!B$3:B$16128,SMALL(IF(data!$D$3:$D$16128='Обеля'!$B$1,ROW(data!$A$3:$A$16128)-ROW($A$3)+1),ROWS(C$4:C11))),"")</f>
        <v>-209.63</v>
      </c>
      <c r="D11" s="7" t="str">
        <f t="array" ref="D11">IF(ROWS(D$4:D11)&lt;=$B$2,INDEX(data!E$3:E$16128,SMALL(IF(data!$D$3:$D$16128='Обеля'!$B$1,ROW(data!$A$3:$A$16128)-ROW($A$3)+1),ROWS(D$4:D11))),"")</f>
        <v>за 22.12</v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41">
        <f t="array" ref="A12">IF(ROWS(A$4:A12)&lt;=$B$2,INDEX(data!C$3:C$16128,SMALL(IF(data!$D$3:$D$16128='Обеля'!$B$1,ROW(data!$A$3:$A$16128)-ROW($A$3)+1),ROWS(A$4:A12))),"")</f>
        <v>46030</v>
      </c>
      <c r="B12" s="19" t="str">
        <f t="array" ref="B12">IF(ROWS(B$4:B12)&lt;=$B$2,INDEX(data!A$3:A$16128,SMALL(IF(data!$D$3:$D$16128='Обеля'!$B$1,ROW(data!$A$3:$A$16128)-ROW($A$3)+1),ROWS(B$4:B12))),"")</f>
        <v>каса ФИКТИВНА</v>
      </c>
      <c r="C12" s="19">
        <f t="array" ref="C12">IF(ROWS(C$4:C12)&lt;=$B$2,INDEX(data!B$3:B$16128,SMALL(IF(data!$D$3:$D$16128='Обеля'!$B$1,ROW(data!$A$3:$A$16128)-ROW($A$3)+1),ROWS(C$4:C12))),"")</f>
        <v>-200</v>
      </c>
      <c r="D12" s="7" t="str">
        <f t="array" ref="D12">IF(ROWS(D$4:D12)&lt;=$B$2,INDEX(data!E$3:E$16128,SMALL(IF(data!$D$3:$D$16128='Обеля'!$B$1,ROW(data!$A$3:$A$16128)-ROW($A$3)+1),ROWS(D$4:D12))),"")</f>
        <v>Нонка от премиите</v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41">
        <f t="array" ref="A13">IF(ROWS(A$4:A13)&lt;=$B$2,INDEX(data!C$3:C$16128,SMALL(IF(data!$D$3:$D$16128='Обеля'!$B$1,ROW(data!$A$3:$A$16128)-ROW($A$3)+1),ROWS(A$4:A13))),"")</f>
        <v>46031</v>
      </c>
      <c r="B13" s="19" t="str">
        <f t="array" ref="B13">IF(ROWS(B$4:B13)&lt;=$B$2,INDEX(data!A$3:A$16128,SMALL(IF(data!$D$3:$D$16128='Обеля'!$B$1,ROW(data!$A$3:$A$16128)-ROW($A$3)+1),ROWS(B$4:B13))),"")</f>
        <v>КАСОВА КНИГА</v>
      </c>
      <c r="C13" s="19">
        <f t="array" ref="C13">IF(ROWS(C$4:C13)&lt;=$B$2,INDEX(data!B$3:B$16128,SMALL(IF(data!$D$3:$D$16128='Обеля'!$B$1,ROW(data!$A$3:$A$16128)-ROW($A$3)+1),ROWS(C$4:C13))),"")</f>
        <v>-1227.1</v>
      </c>
      <c r="D13" s="7" t="str">
        <f t="array" ref="D13">IF(ROWS(D$4:D13)&lt;=$B$2,INDEX(data!E$3:E$16128,SMALL(IF(data!$D$3:$D$16128='Обеля'!$B$1,ROW(data!$A$3:$A$16128)-ROW($A$3)+1),ROWS(D$4:D13))),"")</f>
        <v/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41">
        <f t="array" ref="A14">IF(ROWS(A$4:A14)&lt;=$B$2,INDEX(data!C$3:C$16128,SMALL(IF(data!$D$3:$D$16128='Обеля'!$B$1,ROW(data!$A$3:$A$16128)-ROW($A$3)+1),ROWS(A$4:A14))),"")</f>
        <v>46034</v>
      </c>
      <c r="B14" s="19" t="str">
        <f t="array" ref="B14">IF(ROWS(B$4:B14)&lt;=$B$2,INDEX(data!A$3:A$16128,SMALL(IF(data!$D$3:$D$16128='Обеля'!$B$1,ROW(data!$A$3:$A$16128)-ROW($A$3)+1),ROWS(B$4:B14))),"")</f>
        <v>КАСОВА КНИГА</v>
      </c>
      <c r="C14" s="19">
        <f t="array" ref="C14">IF(ROWS(C$4:C14)&lt;=$B$2,INDEX(data!B$3:B$16128,SMALL(IF(data!$D$3:$D$16128='Обеля'!$B$1,ROW(data!$A$3:$A$16128)-ROW($A$3)+1),ROWS(C$4:C14))),"")</f>
        <v>-4590.342</v>
      </c>
      <c r="D14" s="7" t="str">
        <f t="array" ref="D14">IF(ROWS(D$4:D14)&lt;=$B$2,INDEX(data!E$3:E$16128,SMALL(IF(data!$D$3:$D$16128='Обеля'!$B$1,ROW(data!$A$3:$A$16128)-ROW($A$3)+1),ROWS(D$4:D14))),"")</f>
        <v/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41">
        <f t="array" ref="A15">IF(ROWS(A$4:A15)&lt;=$B$2,INDEX(data!C$3:C$16128,SMALL(IF(data!$D$3:$D$16128='Обеля'!$B$1,ROW(data!$A$3:$A$16128)-ROW($A$3)+1),ROWS(A$4:A15))),"")</f>
        <v>46035</v>
      </c>
      <c r="B15" s="19" t="str">
        <f t="array" ref="B15">IF(ROWS(B$4:B15)&lt;=$B$2,INDEX(data!A$3:A$16128,SMALL(IF(data!$D$3:$D$16128='Обеля'!$B$1,ROW(data!$A$3:$A$16128)-ROW($A$3)+1),ROWS(B$4:B15))),"")</f>
        <v>MYPOS Бакалия</v>
      </c>
      <c r="C15" s="19">
        <f t="array" ref="C15">IF(ROWS(C$4:C15)&lt;=$B$2,INDEX(data!B$3:B$16128,SMALL(IF(data!$D$3:$D$16128='Обеля'!$B$1,ROW(data!$A$3:$A$16128)-ROW($A$3)+1),ROWS(C$4:C15))),"")</f>
        <v>-5409.22</v>
      </c>
      <c r="D15" s="7" t="str">
        <f t="array" ref="D15">IF(ROWS(D$4:D15)&lt;=$B$2,INDEX(data!E$3:E$16128,SMALL(IF(data!$D$3:$D$16128='Обеля'!$B$1,ROW(data!$A$3:$A$16128)-ROW($A$3)+1),ROWS(D$4:D15))),"")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41">
        <f t="array" ref="A16">IF(ROWS(A$4:A16)&lt;=$B$2,INDEX(data!C$3:C$16128,SMALL(IF(data!$D$3:$D$16128='Обеля'!$B$1,ROW(data!$A$3:$A$16128)-ROW($A$3)+1),ROWS(A$4:A16))),"")</f>
        <v>46036</v>
      </c>
      <c r="B16" s="19" t="str">
        <f t="array" ref="B16">IF(ROWS(B$4:B16)&lt;=$B$2,INDEX(data!A$3:A$16128,SMALL(IF(data!$D$3:$D$16128='Обеля'!$B$1,ROW(data!$A$3:$A$16128)-ROW($A$3)+1),ROWS(B$4:B16))),"")</f>
        <v>КАСОВА КНИГА</v>
      </c>
      <c r="C16" s="19">
        <f t="array" ref="C16">IF(ROWS(C$4:C16)&lt;=$B$2,INDEX(data!B$3:B$16128,SMALL(IF(data!$D$3:$D$16128='Обеля'!$B$1,ROW(data!$A$3:$A$16128)-ROW($A$3)+1),ROWS(C$4:C16))),"")</f>
        <v>-1714.71</v>
      </c>
      <c r="D16" s="7" t="str">
        <f t="array" ref="D16">IF(ROWS(D$4:D16)&lt;=$B$2,INDEX(data!E$3:E$16128,SMALL(IF(data!$D$3:$D$16128='Обеля'!$B$1,ROW(data!$A$3:$A$16128)-ROW($A$3)+1),ROWS(D$4:D16))),"")</f>
        <v/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41">
        <f t="array" ref="A17">IF(ROWS(A$4:A17)&lt;=$B$2,INDEX(data!C$3:C$16128,SMALL(IF(data!$D$3:$D$16128='Обеля'!$B$1,ROW(data!$A$3:$A$16128)-ROW($A$3)+1),ROWS(A$4:A17))),"")</f>
        <v>46038</v>
      </c>
      <c r="B17" s="19" t="str">
        <f t="array" ref="B17">IF(ROWS(B$4:B17)&lt;=$B$2,INDEX(data!A$3:A$16128,SMALL(IF(data!$D$3:$D$16128='Обеля'!$B$1,ROW(data!$A$3:$A$16128)-ROW($A$3)+1),ROWS(B$4:B17))),"")</f>
        <v>КАСОВА КНИГА</v>
      </c>
      <c r="C17" s="19">
        <f t="array" ref="C17">IF(ROWS(C$4:C17)&lt;=$B$2,INDEX(data!B$3:B$16128,SMALL(IF(data!$D$3:$D$16128='Обеля'!$B$1,ROW(data!$A$3:$A$16128)-ROW($A$3)+1),ROWS(C$4:C17))),"")</f>
        <v>-500</v>
      </c>
      <c r="D17" s="7" t="str">
        <f t="array" ref="D17">IF(ROWS(D$4:D17)&lt;=$B$2,INDEX(data!E$3:E$16128,SMALL(IF(data!$D$3:$D$16128='Обеля'!$B$1,ROW(data!$A$3:$A$16128)-ROW($A$3)+1),ROWS(D$4:D17))),"")</f>
        <v/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41">
        <f t="array" ref="A18">IF(ROWS(A$4:A18)&lt;=$B$2,INDEX(data!C$3:C$16128,SMALL(IF(data!$D$3:$D$16128='Обеля'!$B$1,ROW(data!$A$3:$A$16128)-ROW($A$3)+1),ROWS(A$4:A18))),"")</f>
        <v>46038</v>
      </c>
      <c r="B18" s="19" t="str">
        <f t="array" ref="B18">IF(ROWS(B$4:B18)&lt;=$B$2,INDEX(data!A$3:A$16128,SMALL(IF(data!$D$3:$D$16128='Обеля'!$B$1,ROW(data!$A$3:$A$16128)-ROW($A$3)+1),ROWS(B$4:B18))),"")</f>
        <v>Каса ВАУЧЕРИ</v>
      </c>
      <c r="C18" s="19">
        <f t="array" ref="C18">IF(ROWS(C$4:C18)&lt;=$B$2,INDEX(data!B$3:B$16128,SMALL(IF(data!$D$3:$D$16128='Обеля'!$B$1,ROW(data!$A$3:$A$16128)-ROW($A$3)+1),ROWS(C$4:C18))),"")</f>
        <v>-103.28</v>
      </c>
      <c r="D18" s="7" t="str">
        <f t="array" ref="D18">IF(ROWS(D$4:D18)&lt;=$B$2,INDEX(data!E$3:E$16128,SMALL(IF(data!$D$3:$D$16128='Обеля'!$B$1,ROW(data!$A$3:$A$16128)-ROW($A$3)+1),ROWS(D$4:D18))),"")</f>
        <v/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41">
        <f t="array" ref="A19">IF(ROWS(A$4:A19)&lt;=$B$2,INDEX(data!C$3:C$16128,SMALL(IF(data!$D$3:$D$16128='Обеля'!$B$1,ROW(data!$A$3:$A$16128)-ROW($A$3)+1),ROWS(A$4:A19))),"")</f>
        <v>46041</v>
      </c>
      <c r="B19" s="19" t="str">
        <f t="array" ref="B19">IF(ROWS(B$4:B19)&lt;=$B$2,INDEX(data!A$3:A$16128,SMALL(IF(data!$D$3:$D$16128='Обеля'!$B$1,ROW(data!$A$3:$A$16128)-ROW($A$3)+1),ROWS(B$4:B19))),"")</f>
        <v>MYPOS Бакалия</v>
      </c>
      <c r="C19" s="19">
        <f t="array" ref="C19">IF(ROWS(C$4:C19)&lt;=$B$2,INDEX(data!B$3:B$16128,SMALL(IF(data!$D$3:$D$16128='Обеля'!$B$1,ROW(data!$A$3:$A$16128)-ROW($A$3)+1),ROWS(C$4:C19))),"")</f>
        <v>-6480.96</v>
      </c>
      <c r="D19" s="7" t="str">
        <f t="array" ref="D19">IF(ROWS(D$4:D19)&lt;=$B$2,INDEX(data!E$3:E$16128,SMALL(IF(data!$D$3:$D$16128='Обеля'!$B$1,ROW(data!$A$3:$A$16128)-ROW($A$3)+1),ROWS(D$4:D19))),"")</f>
        <v/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41">
        <f t="array" ref="A20">IF(ROWS(A$4:A20)&lt;=$B$2,INDEX(data!C$3:C$16128,SMALL(IF(data!$D$3:$D$16128='Обеля'!$B$1,ROW(data!$A$3:$A$16128)-ROW($A$3)+1),ROWS(A$4:A20))),"")</f>
        <v>46041</v>
      </c>
      <c r="B20" s="19" t="str">
        <f t="array" ref="B20">IF(ROWS(B$4:B20)&lt;=$B$2,INDEX(data!A$3:A$16128,SMALL(IF(data!$D$3:$D$16128='Обеля'!$B$1,ROW(data!$A$3:$A$16128)-ROW($A$3)+1),ROWS(B$4:B20))),"")</f>
        <v>КАСОВА КНИГА</v>
      </c>
      <c r="C20" s="19">
        <f t="array" ref="C20">IF(ROWS(C$4:C20)&lt;=$B$2,INDEX(data!B$3:B$16128,SMALL(IF(data!$D$3:$D$16128='Обеля'!$B$1,ROW(data!$A$3:$A$16128)-ROW($A$3)+1),ROWS(C$4:C20))),"")</f>
        <v>-4589.52</v>
      </c>
      <c r="D20" s="7" t="str">
        <f t="array" ref="D20">IF(ROWS(D$4:D20)&lt;=$B$2,INDEX(data!E$3:E$16128,SMALL(IF(data!$D$3:$D$16128='Обеля'!$B$1,ROW(data!$A$3:$A$16128)-ROW($A$3)+1),ROWS(D$4:D20))),"")</f>
        <v/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41">
        <f t="array" ref="A21">IF(ROWS(A$4:A21)&lt;=$B$2,INDEX(data!C$3:C$16128,SMALL(IF(data!$D$3:$D$16128='Обеля'!$B$1,ROW(data!$A$3:$A$16128)-ROW($A$3)+1),ROWS(A$4:A21))),"")</f>
        <v>46041</v>
      </c>
      <c r="B21" s="19" t="str">
        <f t="array" ref="B21">IF(ROWS(B$4:B21)&lt;=$B$2,INDEX(data!A$3:A$16128,SMALL(IF(data!$D$3:$D$16128='Обеля'!$B$1,ROW(data!$A$3:$A$16128)-ROW($A$3)+1),ROWS(B$4:B21))),"")</f>
        <v>каса ФИКТИВНА</v>
      </c>
      <c r="C21" s="19">
        <f t="array" ref="C21">IF(ROWS(C$4:C21)&lt;=$B$2,INDEX(data!B$3:B$16128,SMALL(IF(data!$D$3:$D$16128='Обеля'!$B$1,ROW(data!$A$3:$A$16128)-ROW($A$3)+1),ROWS(C$4:C21))),"")</f>
        <v>-220</v>
      </c>
      <c r="D21" s="7" t="str">
        <f t="array" ref="D21">IF(ROWS(D$4:D21)&lt;=$B$2,INDEX(data!E$3:E$16128,SMALL(IF(data!$D$3:$D$16128='Обеля'!$B$1,ROW(data!$A$3:$A$16128)-ROW($A$3)+1),ROWS(D$4:D21))),"")</f>
        <v>Нони от премиите</v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41">
        <f t="array" ref="A22">IF(ROWS(A$4:A22)&lt;=$B$2,INDEX(data!C$3:C$16128,SMALL(IF(data!$D$3:$D$16128='Обеля'!$B$1,ROW(data!$A$3:$A$16128)-ROW($A$3)+1),ROWS(A$4:A22))),"")</f>
        <v>46043</v>
      </c>
      <c r="B22" s="19" t="str">
        <f t="array" ref="B22">IF(ROWS(B$4:B22)&lt;=$B$2,INDEX(data!A$3:A$16128,SMALL(IF(data!$D$3:$D$16128='Обеля'!$B$1,ROW(data!$A$3:$A$16128)-ROW($A$3)+1),ROWS(B$4:B22))),"")</f>
        <v>КАСОВА КНИГА</v>
      </c>
      <c r="C22" s="19">
        <f t="array" ref="C22">IF(ROWS(C$4:C22)&lt;=$B$2,INDEX(data!B$3:B$16128,SMALL(IF(data!$D$3:$D$16128='Обеля'!$B$1,ROW(data!$A$3:$A$16128)-ROW($A$3)+1),ROWS(C$4:C22))),"")</f>
        <v>394</v>
      </c>
      <c r="D22" s="7" t="str">
        <f t="array" ref="D22">IF(ROWS(D$4:D22)&lt;=$B$2,INDEX(data!E$3:E$16128,SMALL(IF(data!$D$3:$D$16128='Обеля'!$B$1,ROW(data!$A$3:$A$16128)-ROW($A$3)+1),ROWS(D$4:D22))),"")</f>
        <v>заем</v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41">
        <f t="array" ref="A23">IF(ROWS(A$4:A23)&lt;=$B$2,INDEX(data!C$3:C$16128,SMALL(IF(data!$D$3:$D$16128='Обеля'!$B$1,ROW(data!$A$3:$A$16128)-ROW($A$3)+1),ROWS(A$4:A23))),"")</f>
        <v>46043</v>
      </c>
      <c r="B23" s="19" t="str">
        <f t="array" ref="B23">IF(ROWS(B$4:B23)&lt;=$B$2,INDEX(data!A$3:A$16128,SMALL(IF(data!$D$3:$D$16128='Обеля'!$B$1,ROW(data!$A$3:$A$16128)-ROW($A$3)+1),ROWS(B$4:B23))),"")</f>
        <v>Каса ВАУЧЕРИ</v>
      </c>
      <c r="C23" s="19">
        <f t="array" ref="C23">IF(ROWS(C$4:C23)&lt;=$B$2,INDEX(data!B$3:B$16128,SMALL(IF(data!$D$3:$D$16128='Обеля'!$B$1,ROW(data!$A$3:$A$16128)-ROW($A$3)+1),ROWS(C$4:C23))),"")</f>
        <v>511.29</v>
      </c>
      <c r="D23" s="7" t="str">
        <f t="array" ref="D23">IF(ROWS(D$4:D23)&lt;=$B$2,INDEX(data!E$3:E$16128,SMALL(IF(data!$D$3:$D$16128='Обеля'!$B$1,ROW(data!$A$3:$A$16128)-ROW($A$3)+1),ROWS(D$4:D23))),"")</f>
        <v>ваучери персонал</v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41">
        <f t="array" ref="A24">IF(ROWS(A$4:A24)&lt;=$B$2,INDEX(data!C$3:C$16128,SMALL(IF(data!$D$3:$D$16128='Обеля'!$B$1,ROW(data!$A$3:$A$16128)-ROW($A$3)+1),ROWS(A$4:A24))),"")</f>
        <v>46045</v>
      </c>
      <c r="B24" s="19" t="str">
        <f t="array" ref="B24">IF(ROWS(B$4:B24)&lt;=$B$2,INDEX(data!A$3:A$16128,SMALL(IF(data!$D$3:$D$16128='Обеля'!$B$1,ROW(data!$A$3:$A$16128)-ROW($A$3)+1),ROWS(B$4:B24))),"")</f>
        <v>КАСОВА КНИГА</v>
      </c>
      <c r="C24" s="19">
        <f t="array" ref="C24">IF(ROWS(C$4:C24)&lt;=$B$2,INDEX(data!B$3:B$16128,SMALL(IF(data!$D$3:$D$16128='Обеля'!$B$1,ROW(data!$A$3:$A$16128)-ROW($A$3)+1),ROWS(C$4:C24))),"")</f>
        <v>-1000</v>
      </c>
      <c r="D24" s="7" t="str">
        <f t="array" ref="D24">IF(ROWS(D$4:D24)&lt;=$B$2,INDEX(data!E$3:E$16128,SMALL(IF(data!$D$3:$D$16128='Обеля'!$B$1,ROW(data!$A$3:$A$16128)-ROW($A$3)+1),ROWS(D$4:D24))),"")</f>
        <v/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41">
        <f t="array" ref="A25">IF(ROWS(A$4:A25)&lt;=$B$2,INDEX(data!C$3:C$16128,SMALL(IF(data!$D$3:$D$16128='Обеля'!$B$1,ROW(data!$A$3:$A$16128)-ROW($A$3)+1),ROWS(A$4:A25))),"")</f>
        <v>46048</v>
      </c>
      <c r="B25" s="19" t="str">
        <f t="array" ref="B25">IF(ROWS(B$4:B25)&lt;=$B$2,INDEX(data!A$3:A$16128,SMALL(IF(data!$D$3:$D$16128='Обеля'!$B$1,ROW(data!$A$3:$A$16128)-ROW($A$3)+1),ROWS(B$4:B25))),"")</f>
        <v>MYPOS Бакалия</v>
      </c>
      <c r="C25" s="19">
        <f t="array" ref="C25">IF(ROWS(C$4:C25)&lt;=$B$2,INDEX(data!B$3:B$16128,SMALL(IF(data!$D$3:$D$16128='Обеля'!$B$1,ROW(data!$A$3:$A$16128)-ROW($A$3)+1),ROWS(C$4:C25))),"")</f>
        <v>-6253.31</v>
      </c>
      <c r="D25" s="7" t="str">
        <f t="array" ref="D25">IF(ROWS(D$4:D25)&lt;=$B$2,INDEX(data!E$3:E$16128,SMALL(IF(data!$D$3:$D$16128='Обеля'!$B$1,ROW(data!$A$3:$A$16128)-ROW($A$3)+1),ROWS(D$4:D25))),"")</f>
        <v/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41">
        <f t="array" ref="A26">IF(ROWS(A$4:A26)&lt;=$B$2,INDEX(data!C$3:C$16128,SMALL(IF(data!$D$3:$D$16128='Обеля'!$B$1,ROW(data!$A$3:$A$16128)-ROW($A$3)+1),ROWS(A$4:A26))),"")</f>
        <v>46048</v>
      </c>
      <c r="B26" s="19" t="str">
        <f t="array" ref="B26">IF(ROWS(B$4:B26)&lt;=$B$2,INDEX(data!A$3:A$16128,SMALL(IF(data!$D$3:$D$16128='Обеля'!$B$1,ROW(data!$A$3:$A$16128)-ROW($A$3)+1),ROWS(B$4:B26))),"")</f>
        <v>КАСОВА КНИГА</v>
      </c>
      <c r="C26" s="19">
        <f t="array" ref="C26">IF(ROWS(C$4:C26)&lt;=$B$2,INDEX(data!B$3:B$16128,SMALL(IF(data!$D$3:$D$16128='Обеля'!$B$1,ROW(data!$A$3:$A$16128)-ROW($A$3)+1),ROWS(C$4:C26))),"")</f>
        <v>-2000</v>
      </c>
      <c r="D26" s="7" t="str">
        <f t="array" ref="D26">IF(ROWS(D$4:D26)&lt;=$B$2,INDEX(data!E$3:E$16128,SMALL(IF(data!$D$3:$D$16128='Обеля'!$B$1,ROW(data!$A$3:$A$16128)-ROW($A$3)+1),ROWS(D$4:D26))),"")</f>
        <v/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41">
        <f t="array" ref="A27">IF(ROWS(A$4:A27)&lt;=$B$2,INDEX(data!C$3:C$16128,SMALL(IF(data!$D$3:$D$16128='Обеля'!$B$1,ROW(data!$A$3:$A$16128)-ROW($A$3)+1),ROWS(A$4:A27))),"")</f>
        <v>46049</v>
      </c>
      <c r="B27" s="19" t="str">
        <f t="array" ref="B27">IF(ROWS(B$4:B27)&lt;=$B$2,INDEX(data!A$3:A$16128,SMALL(IF(data!$D$3:$D$16128='Обеля'!$B$1,ROW(data!$A$3:$A$16128)-ROW($A$3)+1),ROWS(B$4:B27))),"")</f>
        <v>Каса ВАУЧЕРИ</v>
      </c>
      <c r="C27" s="19">
        <f t="array" ref="C27">IF(ROWS(C$4:C27)&lt;=$B$2,INDEX(data!B$3:B$16128,SMALL(IF(data!$D$3:$D$16128='Обеля'!$B$1,ROW(data!$A$3:$A$16128)-ROW($A$3)+1),ROWS(C$4:C27))),"")</f>
        <v>-59.24</v>
      </c>
      <c r="D27" s="7" t="str">
        <f t="array" ref="D27">IF(ROWS(D$4:D27)&lt;=$B$2,INDEX(data!E$3:E$16128,SMALL(IF(data!$D$3:$D$16128='Обеля'!$B$1,ROW(data!$A$3:$A$16128)-ROW($A$3)+1),ROWS(D$4:D27))),"")</f>
        <v>ваучери 12,01</v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41">
        <f t="array" ref="A28">IF(ROWS(A$4:A28)&lt;=$B$2,INDEX(data!C$3:C$16128,SMALL(IF(data!$D$3:$D$16128='Обеля'!$B$1,ROW(data!$A$3:$A$16128)-ROW($A$3)+1),ROWS(A$4:A28))),"")</f>
        <v>46050</v>
      </c>
      <c r="B28" s="19" t="str">
        <f t="array" ref="B28">IF(ROWS(B$4:B28)&lt;=$B$2,INDEX(data!A$3:A$16128,SMALL(IF(data!$D$3:$D$16128='Обеля'!$B$1,ROW(data!$A$3:$A$16128)-ROW($A$3)+1),ROWS(B$4:B28))),"")</f>
        <v>КАСОВА КНИГА</v>
      </c>
      <c r="C28" s="19">
        <f t="array" ref="C28">IF(ROWS(C$4:C28)&lt;=$B$2,INDEX(data!B$3:B$16128,SMALL(IF(data!$D$3:$D$16128='Обеля'!$B$1,ROW(data!$A$3:$A$16128)-ROW($A$3)+1),ROWS(C$4:C28))),"")</f>
        <v>-1000</v>
      </c>
      <c r="D28" s="7" t="str">
        <f t="array" ref="D28">IF(ROWS(D$4:D28)&lt;=$B$2,INDEX(data!E$3:E$16128,SMALL(IF(data!$D$3:$D$16128='Обеля'!$B$1,ROW(data!$A$3:$A$16128)-ROW($A$3)+1),ROWS(D$4:D28))),"")</f>
        <v/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41">
        <f t="array" ref="A29">IF(ROWS(A$4:A29)&lt;=$B$2,INDEX(data!C$3:C$16128,SMALL(IF(data!$D$3:$D$16128='Обеля'!$B$1,ROW(data!$A$3:$A$16128)-ROW($A$3)+1),ROWS(A$4:A29))),"")</f>
        <v>46055</v>
      </c>
      <c r="B29" s="19" t="str">
        <f t="array" ref="B29">IF(ROWS(B$4:B29)&lt;=$B$2,INDEX(data!A$3:A$16128,SMALL(IF(data!$D$3:$D$16128='Обеля'!$B$1,ROW(data!$A$3:$A$16128)-ROW($A$3)+1),ROWS(B$4:B29))),"")</f>
        <v>MYPOS Бакалия</v>
      </c>
      <c r="C29" s="19">
        <f t="array" ref="C29">IF(ROWS(C$4:C29)&lt;=$B$2,INDEX(data!B$3:B$16128,SMALL(IF(data!$D$3:$D$16128='Обеля'!$B$1,ROW(data!$A$3:$A$16128)-ROW($A$3)+1),ROWS(C$4:C29))),"")</f>
        <v>-5275.73</v>
      </c>
      <c r="D29" s="7" t="str">
        <f t="array" ref="D29">IF(ROWS(D$4:D29)&lt;=$B$2,INDEX(data!E$3:E$16128,SMALL(IF(data!$D$3:$D$16128='Обеля'!$B$1,ROW(data!$A$3:$A$16128)-ROW($A$3)+1),ROWS(D$4:D29))),"")</f>
        <v/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41">
        <f t="array" ref="A30">IF(ROWS(A$4:A30)&lt;=$B$2,INDEX(data!C$3:C$16128,SMALL(IF(data!$D$3:$D$16128='Обеля'!$B$1,ROW(data!$A$3:$A$16128)-ROW($A$3)+1),ROWS(A$4:A30))),"")</f>
        <v>46055</v>
      </c>
      <c r="B30" s="19" t="str">
        <f t="array" ref="B30">IF(ROWS(B$4:B30)&lt;=$B$2,INDEX(data!A$3:A$16128,SMALL(IF(data!$D$3:$D$16128='Обеля'!$B$1,ROW(data!$A$3:$A$16128)-ROW($A$3)+1),ROWS(B$4:B30))),"")</f>
        <v>КАСОВА КНИГА</v>
      </c>
      <c r="C30" s="19">
        <f t="array" ref="C30">IF(ROWS(C$4:C30)&lt;=$B$2,INDEX(data!B$3:B$16128,SMALL(IF(data!$D$3:$D$16128='Обеля'!$B$1,ROW(data!$A$3:$A$16128)-ROW($A$3)+1),ROWS(C$4:C30))),"")</f>
        <v>-3500</v>
      </c>
      <c r="D30" s="7" t="str">
        <f t="array" ref="D30">IF(ROWS(D$4:D30)&lt;=$B$2,INDEX(data!E$3:E$16128,SMALL(IF(data!$D$3:$D$16128='Обеля'!$B$1,ROW(data!$A$3:$A$16128)-ROW($A$3)+1),ROWS(D$4:D30))),"")</f>
        <v/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41">
        <f t="array" ref="A31">IF(ROWS(A$4:A31)&lt;=$B$2,INDEX(data!C$3:C$16128,SMALL(IF(data!$D$3:$D$16128='Обеля'!$B$1,ROW(data!$A$3:$A$16128)-ROW($A$3)+1),ROWS(A$4:A31))),"")</f>
        <v>46057</v>
      </c>
      <c r="B31" s="19" t="str">
        <f t="array" ref="B31">IF(ROWS(B$4:B31)&lt;=$B$2,INDEX(data!A$3:A$16128,SMALL(IF(data!$D$3:$D$16128='Обеля'!$B$1,ROW(data!$A$3:$A$16128)-ROW($A$3)+1),ROWS(B$4:B31))),"")</f>
        <v>Каса ВАУЧЕРИ</v>
      </c>
      <c r="C31" s="19">
        <f t="array" ref="C31">IF(ROWS(C$4:C31)&lt;=$B$2,INDEX(data!B$3:B$16128,SMALL(IF(data!$D$3:$D$16128='Обеля'!$B$1,ROW(data!$A$3:$A$16128)-ROW($A$3)+1),ROWS(C$4:C31))),"")</f>
        <v>-215.48</v>
      </c>
      <c r="D31" s="7" t="str">
        <f t="array" ref="D31">IF(ROWS(D$4:D31)&lt;=$B$2,INDEX(data!E$3:E$16128,SMALL(IF(data!$D$3:$D$16128='Обеля'!$B$1,ROW(data!$A$3:$A$16128)-ROW($A$3)+1),ROWS(D$4:D31))),"")</f>
        <v/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41">
        <f t="array" ref="A32">IF(ROWS(A$4:A32)&lt;=$B$2,INDEX(data!C$3:C$16128,SMALL(IF(data!$D$3:$D$16128='Обеля'!$B$1,ROW(data!$A$3:$A$16128)-ROW($A$3)+1),ROWS(A$4:A32))),"")</f>
        <v>46059</v>
      </c>
      <c r="B32" s="19" t="str">
        <f t="array" ref="B32">IF(ROWS(B$4:B32)&lt;=$B$2,INDEX(data!A$3:A$16128,SMALL(IF(data!$D$3:$D$16128='Обеля'!$B$1,ROW(data!$A$3:$A$16128)-ROW($A$3)+1),ROWS(B$4:B32))),"")</f>
        <v>ПОС ДСК Бакалия</v>
      </c>
      <c r="C32" s="19">
        <f t="array" ref="C32">IF(ROWS(C$4:C32)&lt;=$B$2,INDEX(data!B$3:B$16128,SMALL(IF(data!$D$3:$D$16128='Обеля'!$B$1,ROW(data!$A$3:$A$16128)-ROW($A$3)+1),ROWS(C$4:C32))),"")</f>
        <v>-1287.56</v>
      </c>
      <c r="D32" s="7" t="str">
        <f t="array" ref="D32">IF(ROWS(D$4:D32)&lt;=$B$2,INDEX(data!E$3:E$16128,SMALL(IF(data!$D$3:$D$16128='Обеля'!$B$1,ROW(data!$A$3:$A$16128)-ROW($A$3)+1),ROWS(D$4:D32))),"")</f>
        <v/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41">
        <f t="array" ref="A33">IF(ROWS(A$4:A33)&lt;=$B$2,INDEX(data!C$3:C$16128,SMALL(IF(data!$D$3:$D$16128='Обеля'!$B$1,ROW(data!$A$3:$A$16128)-ROW($A$3)+1),ROWS(A$4:A33))),"")</f>
        <v>46062</v>
      </c>
      <c r="B33" s="19" t="str">
        <f t="array" ref="B33">IF(ROWS(B$4:B33)&lt;=$B$2,INDEX(data!A$3:A$16128,SMALL(IF(data!$D$3:$D$16128='Обеля'!$B$1,ROW(data!$A$3:$A$16128)-ROW($A$3)+1),ROWS(B$4:B33))),"")</f>
        <v>MYPOS Бакалия</v>
      </c>
      <c r="C33" s="19">
        <f t="array" ref="C33">IF(ROWS(C$4:C33)&lt;=$B$2,INDEX(data!B$3:B$16128,SMALL(IF(data!$D$3:$D$16128='Обеля'!$B$1,ROW(data!$A$3:$A$16128)-ROW($A$3)+1),ROWS(C$4:C33))),"")</f>
        <v>-6301.54</v>
      </c>
      <c r="D33" s="7" t="str">
        <f t="array" ref="D33">IF(ROWS(D$4:D33)&lt;=$B$2,INDEX(data!E$3:E$16128,SMALL(IF(data!$D$3:$D$16128='Обеля'!$B$1,ROW(data!$A$3:$A$16128)-ROW($A$3)+1),ROWS(D$4:D33))),"")</f>
        <v/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41">
        <f t="array" ref="A34">IF(ROWS(A$4:A34)&lt;=$B$2,INDEX(data!C$3:C$16128,SMALL(IF(data!$D$3:$D$16128='Обеля'!$B$1,ROW(data!$A$3:$A$16128)-ROW($A$3)+1),ROWS(A$4:A34))),"")</f>
        <v>46062</v>
      </c>
      <c r="B34" s="19" t="str">
        <f t="array" ref="B34">IF(ROWS(B$4:B34)&lt;=$B$2,INDEX(data!A$3:A$16128,SMALL(IF(data!$D$3:$D$16128='Обеля'!$B$1,ROW(data!$A$3:$A$16128)-ROW($A$3)+1),ROWS(B$4:B34))),"")</f>
        <v>ЗАЕМ</v>
      </c>
      <c r="C34" s="19">
        <f t="array" ref="C34">IF(ROWS(C$4:C34)&lt;=$B$2,INDEX(data!B$3:B$16128,SMALL(IF(data!$D$3:$D$16128='Обеля'!$B$1,ROW(data!$A$3:$A$16128)-ROW($A$3)+1),ROWS(C$4:C34))),"")</f>
        <v>45689.98</v>
      </c>
      <c r="D34" s="7" t="str">
        <f t="array" ref="D34">IF(ROWS(D$4:D34)&lt;=$B$2,INDEX(data!E$3:E$16128,SMALL(IF(data!$D$3:$D$16128='Обеля'!$B$1,ROW(data!$A$3:$A$16128)-ROW($A$3)+1),ROWS(D$4:D34))),"")</f>
        <v>С-до склад + вътр п-не</v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41">
        <f t="array" ref="A35">IF(ROWS(A$4:A35)&lt;=$B$2,INDEX(data!C$3:C$16128,SMALL(IF(data!$D$3:$D$16128='Обеля'!$B$1,ROW(data!$A$3:$A$16128)-ROW($A$3)+1),ROWS(A$4:A35))),"")</f>
        <v>46063</v>
      </c>
      <c r="B35" s="19" t="str">
        <f t="array" ref="B35">IF(ROWS(B$4:B35)&lt;=$B$2,INDEX(data!A$3:A$16128,SMALL(IF(data!$D$3:$D$16128='Обеля'!$B$1,ROW(data!$A$3:$A$16128)-ROW($A$3)+1),ROWS(B$4:B35))),"")</f>
        <v>Банка ПИБ Бакалия</v>
      </c>
      <c r="C35" s="19">
        <f t="array" ref="C35">IF(ROWS(C$4:C35)&lt;=$B$2,INDEX(data!B$3:B$16128,SMALL(IF(data!$D$3:$D$16128='Обеля'!$B$1,ROW(data!$A$3:$A$16128)-ROW($A$3)+1),ROWS(C$4:C35))),"")</f>
        <v>-2500</v>
      </c>
      <c r="D35" s="7" t="str">
        <f t="array" ref="D35">IF(ROWS(D$4:D35)&lt;=$B$2,INDEX(data!E$3:E$16128,SMALL(IF(data!$D$3:$D$16128='Обеля'!$B$1,ROW(data!$A$3:$A$16128)-ROW($A$3)+1),ROWS(D$4:D35))),"")</f>
        <v/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41">
        <f t="array" ref="A36">IF(ROWS(A$4:A36)&lt;=$B$2,INDEX(data!C$3:C$16128,SMALL(IF(data!$D$3:$D$16128='Обеля'!$B$1,ROW(data!$A$3:$A$16128)-ROW($A$3)+1),ROWS(A$4:A36))),"")</f>
        <v>46064</v>
      </c>
      <c r="B36" s="19" t="str">
        <f t="array" ref="B36">IF(ROWS(B$4:B36)&lt;=$B$2,INDEX(data!A$3:A$16128,SMALL(IF(data!$D$3:$D$16128='Обеля'!$B$1,ROW(data!$A$3:$A$16128)-ROW($A$3)+1),ROWS(B$4:B36))),"")</f>
        <v>КАСОВА КНИГА</v>
      </c>
      <c r="C36" s="19">
        <f t="array" ref="C36">IF(ROWS(C$4:C36)&lt;=$B$2,INDEX(data!B$3:B$16128,SMALL(IF(data!$D$3:$D$16128='Обеля'!$B$1,ROW(data!$A$3:$A$16128)-ROW($A$3)+1),ROWS(C$4:C36))),"")</f>
        <v>-500</v>
      </c>
      <c r="D36" s="7" t="str">
        <f t="array" ref="D36">IF(ROWS(D$4:D36)&lt;=$B$2,INDEX(data!E$3:E$16128,SMALL(IF(data!$D$3:$D$16128='Обеля'!$B$1,ROW(data!$A$3:$A$16128)-ROW($A$3)+1),ROWS(D$4:D36))),"")</f>
        <v/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41">
        <f t="array" ref="A37">IF(ROWS(A$4:A37)&lt;=$B$2,INDEX(data!C$3:C$16128,SMALL(IF(data!$D$3:$D$16128='Обеля'!$B$1,ROW(data!$A$3:$A$16128)-ROW($A$3)+1),ROWS(A$4:A37))),"")</f>
        <v>46065</v>
      </c>
      <c r="B37" s="19" t="str">
        <f t="array" ref="B37">IF(ROWS(B$4:B37)&lt;=$B$2,INDEX(data!A$3:A$16128,SMALL(IF(data!$D$3:$D$16128='Обеля'!$B$1,ROW(data!$A$3:$A$16128)-ROW($A$3)+1),ROWS(B$4:B37))),"")</f>
        <v>ПОС ДСК Бакалия</v>
      </c>
      <c r="C37" s="19">
        <f t="array" ref="C37">IF(ROWS(C$4:C37)&lt;=$B$2,INDEX(data!B$3:B$16128,SMALL(IF(data!$D$3:$D$16128='Обеля'!$B$1,ROW(data!$A$3:$A$16128)-ROW($A$3)+1),ROWS(C$4:C37))),"")</f>
        <v>-50.75</v>
      </c>
      <c r="D37" s="7" t="str">
        <f t="array" ref="D37">IF(ROWS(D$4:D37)&lt;=$B$2,INDEX(data!E$3:E$16128,SMALL(IF(data!$D$3:$D$16128='Обеля'!$B$1,ROW(data!$A$3:$A$16128)-ROW($A$3)+1),ROWS(D$4:D37))),"")</f>
        <v/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41">
        <f t="array" ref="A38">IF(ROWS(A$4:A38)&lt;=$B$2,INDEX(data!C$3:C$16128,SMALL(IF(data!$D$3:$D$16128='Обеля'!$B$1,ROW(data!$A$3:$A$16128)-ROW($A$3)+1),ROWS(A$4:A38))),"")</f>
        <v>46069</v>
      </c>
      <c r="B38" s="19" t="str">
        <f t="array" ref="B38">IF(ROWS(B$4:B38)&lt;=$B$2,INDEX(data!A$3:A$16128,SMALL(IF(data!$D$3:$D$16128='Обеля'!$B$1,ROW(data!$A$3:$A$16128)-ROW($A$3)+1),ROWS(B$4:B38))),"")</f>
        <v>MYPOS Бакалия</v>
      </c>
      <c r="C38" s="19">
        <f t="array" ref="C38">IF(ROWS(C$4:C38)&lt;=$B$2,INDEX(data!B$3:B$16128,SMALL(IF(data!$D$3:$D$16128='Обеля'!$B$1,ROW(data!$A$3:$A$16128)-ROW($A$3)+1),ROWS(C$4:C38))),"")</f>
        <v>-6489.46</v>
      </c>
      <c r="D38" s="7" t="str">
        <f t="array" ref="D38">IF(ROWS(D$4:D38)&lt;=$B$2,INDEX(data!E$3:E$16128,SMALL(IF(data!$D$3:$D$16128='Обеля'!$B$1,ROW(data!$A$3:$A$16128)-ROW($A$3)+1),ROWS(D$4:D38))),"")</f>
        <v/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41">
        <f t="array" ref="A39">IF(ROWS(A$4:A39)&lt;=$B$2,INDEX(data!C$3:C$16128,SMALL(IF(data!$D$3:$D$16128='Обеля'!$B$1,ROW(data!$A$3:$A$16128)-ROW($A$3)+1),ROWS(A$4:A39))),"")</f>
        <v>46071</v>
      </c>
      <c r="B39" s="19" t="str">
        <f t="array" ref="B39">IF(ROWS(B$4:B39)&lt;=$B$2,INDEX(data!A$3:A$16128,SMALL(IF(data!$D$3:$D$16128='Обеля'!$B$1,ROW(data!$A$3:$A$16128)-ROW($A$3)+1),ROWS(B$4:B39))),"")</f>
        <v>КАСОВА КНИГА</v>
      </c>
      <c r="C39" s="19">
        <f t="array" ref="C39">IF(ROWS(C$4:C39)&lt;=$B$2,INDEX(data!B$3:B$16128,SMALL(IF(data!$D$3:$D$16128='Обеля'!$B$1,ROW(data!$A$3:$A$16128)-ROW($A$3)+1),ROWS(C$4:C39))),"")</f>
        <v>-2500</v>
      </c>
      <c r="D39" s="7" t="str">
        <f t="array" ref="D39">IF(ROWS(D$4:D39)&lt;=$B$2,INDEX(data!E$3:E$16128,SMALL(IF(data!$D$3:$D$16128='Обеля'!$B$1,ROW(data!$A$3:$A$16128)-ROW($A$3)+1),ROWS(D$4:D39))),"")</f>
        <v/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41">
        <f t="array" ref="A40">IF(ROWS(A$4:A40)&lt;=$B$2,INDEX(data!C$3:C$16128,SMALL(IF(data!$D$3:$D$16128='Обеля'!$B$1,ROW(data!$A$3:$A$16128)-ROW($A$3)+1),ROWS(A$4:A40))),"")</f>
        <v>46072</v>
      </c>
      <c r="B40" s="19" t="str">
        <f t="array" ref="B40">IF(ROWS(B$4:B40)&lt;=$B$2,INDEX(data!A$3:A$16128,SMALL(IF(data!$D$3:$D$16128='Обеля'!$B$1,ROW(data!$A$3:$A$16128)-ROW($A$3)+1),ROWS(B$4:B40))),"")</f>
        <v>Каса ВАУЧЕРИ</v>
      </c>
      <c r="C40" s="19">
        <f t="array" ref="C40">IF(ROWS(C$4:C40)&lt;=$B$2,INDEX(data!B$3:B$16128,SMALL(IF(data!$D$3:$D$16128='Обеля'!$B$1,ROW(data!$A$3:$A$16128)-ROW($A$3)+1),ROWS(C$4:C40))),"")</f>
        <v>-53.04</v>
      </c>
      <c r="D40" s="7" t="str">
        <f t="array" ref="D40">IF(ROWS(D$4:D40)&lt;=$B$2,INDEX(data!E$3:E$16128,SMALL(IF(data!$D$3:$D$16128='Обеля'!$B$1,ROW(data!$A$3:$A$16128)-ROW($A$3)+1),ROWS(D$4:D40))),"")</f>
        <v>за 02.02-08.02</v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41">
        <f t="array" ref="A41">IF(ROWS(A$4:A41)&lt;=$B$2,INDEX(data!C$3:C$16128,SMALL(IF(data!$D$3:$D$16128='Обеля'!$B$1,ROW(data!$A$3:$A$16128)-ROW($A$3)+1),ROWS(A$4:A41))),"")</f>
        <v>46073</v>
      </c>
      <c r="B41" s="19" t="str">
        <f t="array" ref="B41">IF(ROWS(B$4:B41)&lt;=$B$2,INDEX(data!A$3:A$16128,SMALL(IF(data!$D$3:$D$16128='Обеля'!$B$1,ROW(data!$A$3:$A$16128)-ROW($A$3)+1),ROWS(B$4:B41))),"")</f>
        <v>Каса ВАУЧЕРИ</v>
      </c>
      <c r="C41" s="19">
        <f t="array" ref="C41">IF(ROWS(C$4:C41)&lt;=$B$2,INDEX(data!B$3:B$16128,SMALL(IF(data!$D$3:$D$16128='Обеля'!$B$1,ROW(data!$A$3:$A$16128)-ROW($A$3)+1),ROWS(C$4:C41))),"")</f>
        <v>600</v>
      </c>
      <c r="D41" s="7" t="str">
        <f t="array" ref="D41">IF(ROWS(D$4:D41)&lt;=$B$2,INDEX(data!E$3:E$16128,SMALL(IF(data!$D$3:$D$16128='Обеля'!$B$1,ROW(data!$A$3:$A$16128)-ROW($A$3)+1),ROWS(D$4:D41))),"")</f>
        <v>ваучери персонал</v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41">
        <f t="array" ref="A42">IF(ROWS(A$4:A42)&lt;=$B$2,INDEX(data!C$3:C$16128,SMALL(IF(data!$D$3:$D$16128='Обеля'!$B$1,ROW(data!$A$3:$A$16128)-ROW($A$3)+1),ROWS(A$4:A42))),"")</f>
        <v>46076</v>
      </c>
      <c r="B42" s="19" t="str">
        <f t="array" ref="B42">IF(ROWS(B$4:B42)&lt;=$B$2,INDEX(data!A$3:A$16128,SMALL(IF(data!$D$3:$D$16128='Обеля'!$B$1,ROW(data!$A$3:$A$16128)-ROW($A$3)+1),ROWS(B$4:B42))),"")</f>
        <v>MYPOS Бакалия</v>
      </c>
      <c r="C42" s="19">
        <f t="array" ref="C42">IF(ROWS(C$4:C42)&lt;=$B$2,INDEX(data!B$3:B$16128,SMALL(IF(data!$D$3:$D$16128='Обеля'!$B$1,ROW(data!$A$3:$A$16128)-ROW($A$3)+1),ROWS(C$4:C42))),"")</f>
        <v>-5934.87</v>
      </c>
      <c r="D42" s="7" t="str">
        <f t="array" ref="D42">IF(ROWS(D$4:D42)&lt;=$B$2,INDEX(data!E$3:E$16128,SMALL(IF(data!$D$3:$D$16128='Обеля'!$B$1,ROW(data!$A$3:$A$16128)-ROW($A$3)+1),ROWS(D$4:D42))),"")</f>
        <v/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41">
        <f t="array" ref="A43">IF(ROWS(A$4:A43)&lt;=$B$2,INDEX(data!C$3:C$16128,SMALL(IF(data!$D$3:$D$16128='Обеля'!$B$1,ROW(data!$A$3:$A$16128)-ROW($A$3)+1),ROWS(A$4:A43))),"")</f>
        <v>46076</v>
      </c>
      <c r="B43" s="19" t="str">
        <f t="array" ref="B43">IF(ROWS(B$4:B43)&lt;=$B$2,INDEX(data!A$3:A$16128,SMALL(IF(data!$D$3:$D$16128='Обеля'!$B$1,ROW(data!$A$3:$A$16128)-ROW($A$3)+1),ROWS(B$4:B43))),"")</f>
        <v>КАСОВА КНИГА</v>
      </c>
      <c r="C43" s="19">
        <f t="array" ref="C43">IF(ROWS(C$4:C43)&lt;=$B$2,INDEX(data!B$3:B$16128,SMALL(IF(data!$D$3:$D$16128='Обеля'!$B$1,ROW(data!$A$3:$A$16128)-ROW($A$3)+1),ROWS(C$4:C43))),"")</f>
        <v>-1850</v>
      </c>
      <c r="D43" s="7" t="str">
        <f t="array" ref="D43">IF(ROWS(D$4:D43)&lt;=$B$2,INDEX(data!E$3:E$16128,SMALL(IF(data!$D$3:$D$16128='Обеля'!$B$1,ROW(data!$A$3:$A$16128)-ROW($A$3)+1),ROWS(D$4:D43))),"")</f>
        <v/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41">
        <f t="array" ref="A44">IF(ROWS(A$4:A44)&lt;=$B$2,INDEX(data!C$3:C$16128,SMALL(IF(data!$D$3:$D$16128='Обеля'!$B$1,ROW(data!$A$3:$A$16128)-ROW($A$3)+1),ROWS(A$4:A44))),"")</f>
        <v>46078</v>
      </c>
      <c r="B44" s="19" t="str">
        <f t="array" ref="B44">IF(ROWS(B$4:B44)&lt;=$B$2,INDEX(data!A$3:A$16128,SMALL(IF(data!$D$3:$D$16128='Обеля'!$B$1,ROW(data!$A$3:$A$16128)-ROW($A$3)+1),ROWS(B$4:B44))),"")</f>
        <v>КАСОВА КНИГА</v>
      </c>
      <c r="C44" s="19">
        <f t="array" ref="C44">IF(ROWS(C$4:C44)&lt;=$B$2,INDEX(data!B$3:B$16128,SMALL(IF(data!$D$3:$D$16128='Обеля'!$B$1,ROW(data!$A$3:$A$16128)-ROW($A$3)+1),ROWS(C$4:C44))),"")</f>
        <v>-1000</v>
      </c>
      <c r="D44" s="7" t="str">
        <f t="array" ref="D44">IF(ROWS(D$4:D44)&lt;=$B$2,INDEX(data!E$3:E$16128,SMALL(IF(data!$D$3:$D$16128='Обеля'!$B$1,ROW(data!$A$3:$A$16128)-ROW($A$3)+1),ROWS(D$4:D44))),"")</f>
        <v/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41">
        <f t="array" ref="A45">IF(ROWS(A$4:A45)&lt;=$B$2,INDEX(data!C$3:C$16128,SMALL(IF(data!$D$3:$D$16128='Обеля'!$B$1,ROW(data!$A$3:$A$16128)-ROW($A$3)+1),ROWS(A$4:A45))),"")</f>
        <v>46083</v>
      </c>
      <c r="B45" s="19" t="str">
        <f t="array" ref="B45">IF(ROWS(B$4:B45)&lt;=$B$2,INDEX(data!A$3:A$16128,SMALL(IF(data!$D$3:$D$16128='Обеля'!$B$1,ROW(data!$A$3:$A$16128)-ROW($A$3)+1),ROWS(B$4:B45))),"")</f>
        <v>MYPOS Бакалия</v>
      </c>
      <c r="C45" s="19">
        <f t="array" ref="C45">IF(ROWS(C$4:C45)&lt;=$B$2,INDEX(data!B$3:B$16128,SMALL(IF(data!$D$3:$D$16128='Обеля'!$B$1,ROW(data!$A$3:$A$16128)-ROW($A$3)+1),ROWS(C$4:C45))),"")</f>
        <v>-6863.84</v>
      </c>
      <c r="D45" s="7" t="str">
        <f t="array" ref="D45">IF(ROWS(D$4:D45)&lt;=$B$2,INDEX(data!E$3:E$16128,SMALL(IF(data!$D$3:$D$16128='Обеля'!$B$1,ROW(data!$A$3:$A$16128)-ROW($A$3)+1),ROWS(D$4:D45))),"")</f>
        <v/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41">
        <f t="array" ref="A46">IF(ROWS(A$4:A46)&lt;=$B$2,INDEX(data!C$3:C$16128,SMALL(IF(data!$D$3:$D$16128='Обеля'!$B$1,ROW(data!$A$3:$A$16128)-ROW($A$3)+1),ROWS(A$4:A46))),"")</f>
        <v>46083</v>
      </c>
      <c r="B46" s="19" t="str">
        <f t="array" ref="B46">IF(ROWS(B$4:B46)&lt;=$B$2,INDEX(data!A$3:A$16128,SMALL(IF(data!$D$3:$D$16128='Обеля'!$B$1,ROW(data!$A$3:$A$16128)-ROW($A$3)+1),ROWS(B$4:B46))),"")</f>
        <v>каса ФИКТИВНА</v>
      </c>
      <c r="C46" s="19">
        <f t="array" ref="C46">IF(ROWS(C$4:C46)&lt;=$B$2,INDEX(data!B$3:B$16128,SMALL(IF(data!$D$3:$D$16128='Обеля'!$B$1,ROW(data!$A$3:$A$16128)-ROW($A$3)+1),ROWS(C$4:C46))),"")</f>
        <v>-45</v>
      </c>
      <c r="D46" s="7" t="str">
        <f t="array" ref="D46">IF(ROWS(D$4:D46)&lt;=$B$2,INDEX(data!E$3:E$16128,SMALL(IF(data!$D$3:$D$16128='Обеля'!$B$1,ROW(data!$A$3:$A$16128)-ROW($A$3)+1),ROWS(D$4:D46))),"")</f>
        <v>торта шефката</v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41">
        <f t="array" ref="A47">IF(ROWS(A$4:A47)&lt;=$B$2,INDEX(data!C$3:C$16128,SMALL(IF(data!$D$3:$D$16128='Обеля'!$B$1,ROW(data!$A$3:$A$16128)-ROW($A$3)+1),ROWS(A$4:A47))),"")</f>
        <v>46085</v>
      </c>
      <c r="B47" s="19" t="str">
        <f t="array" ref="B47">IF(ROWS(B$4:B47)&lt;=$B$2,INDEX(data!A$3:A$16128,SMALL(IF(data!$D$3:$D$16128='Обеля'!$B$1,ROW(data!$A$3:$A$16128)-ROW($A$3)+1),ROWS(B$4:B47))),"")</f>
        <v>КАСОВА КНИГА</v>
      </c>
      <c r="C47" s="19">
        <f t="array" ref="C47">IF(ROWS(C$4:C47)&lt;=$B$2,INDEX(data!B$3:B$16128,SMALL(IF(data!$D$3:$D$16128='Обеля'!$B$1,ROW(data!$A$3:$A$16128)-ROW($A$3)+1),ROWS(C$4:C47))),"")</f>
        <v>-1000</v>
      </c>
      <c r="D47" s="7" t="str">
        <f t="array" ref="D47">IF(ROWS(D$4:D47)&lt;=$B$2,INDEX(data!E$3:E$16128,SMALL(IF(data!$D$3:$D$16128='Обеля'!$B$1,ROW(data!$A$3:$A$16128)-ROW($A$3)+1),ROWS(D$4:D47))),"")</f>
        <v/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41">
        <f t="array" ref="A48">IF(ROWS(A$4:A48)&lt;=$B$2,INDEX(data!C$3:C$16128,SMALL(IF(data!$D$3:$D$16128='Обеля'!$B$1,ROW(data!$A$3:$A$16128)-ROW($A$3)+1),ROWS(A$4:A48))),"")</f>
        <v>46086</v>
      </c>
      <c r="B48" s="19" t="str">
        <f t="array" ref="B48">IF(ROWS(B$4:B48)&lt;=$B$2,INDEX(data!A$3:A$16128,SMALL(IF(data!$D$3:$D$16128='Обеля'!$B$1,ROW(data!$A$3:$A$16128)-ROW($A$3)+1),ROWS(B$4:B48))),"")</f>
        <v>ЗАЕМ</v>
      </c>
      <c r="C48" s="19">
        <f t="array" ref="C48">IF(ROWS(C$4:C48)&lt;=$B$2,INDEX(data!B$3:B$16128,SMALL(IF(data!$D$3:$D$16128='Обеля'!$B$1,ROW(data!$A$3:$A$16128)-ROW($A$3)+1),ROWS(C$4:C48))),"")</f>
        <v>34547.99</v>
      </c>
      <c r="D48" s="7" t="str">
        <f t="array" ref="D48">IF(ROWS(D$4:D48)&lt;=$B$2,INDEX(data!E$3:E$16128,SMALL(IF(data!$D$3:$D$16128='Обеля'!$B$1,ROW(data!$A$3:$A$16128)-ROW($A$3)+1),ROWS(D$4:D48))),"")</f>
        <v>Салдо склад + вътр. п-не</v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41">
        <f t="array" ref="A49">IF(ROWS(A$4:A49)&lt;=$B$2,INDEX(data!C$3:C$16128,SMALL(IF(data!$D$3:$D$16128='Обеля'!$B$1,ROW(data!$A$3:$A$16128)-ROW($A$3)+1),ROWS(A$4:A49))),"")</f>
        <v>46087</v>
      </c>
      <c r="B49" s="19" t="str">
        <f t="array" ref="B49">IF(ROWS(B$4:B49)&lt;=$B$2,INDEX(data!A$3:A$16128,SMALL(IF(data!$D$3:$D$16128='Обеля'!$B$1,ROW(data!$A$3:$A$16128)-ROW($A$3)+1),ROWS(B$4:B49))),"")</f>
        <v>Каса ВАУЧЕРИ</v>
      </c>
      <c r="C49" s="19">
        <f t="array" ref="C49">IF(ROWS(C$4:C49)&lt;=$B$2,INDEX(data!B$3:B$16128,SMALL(IF(data!$D$3:$D$16128='Обеля'!$B$1,ROW(data!$A$3:$A$16128)-ROW($A$3)+1),ROWS(C$4:C49))),"")</f>
        <v>-72.4</v>
      </c>
      <c r="D49" s="7" t="str">
        <f t="array" ref="D49">IF(ROWS(D$4:D49)&lt;=$B$2,INDEX(data!E$3:E$16128,SMALL(IF(data!$D$3:$D$16128='Обеля'!$B$1,ROW(data!$A$3:$A$16128)-ROW($A$3)+1),ROWS(D$4:D49))),"")</f>
        <v>за 09-15.02</v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41">
        <f t="array" ref="A50">IF(ROWS(A$4:A50)&lt;=$B$2,INDEX(data!C$3:C$16128,SMALL(IF(data!$D$3:$D$16128='Обеля'!$B$1,ROW(data!$A$3:$A$16128)-ROW($A$3)+1),ROWS(A$4:A50))),"")</f>
        <v>46090</v>
      </c>
      <c r="B50" s="19" t="str">
        <f t="array" ref="B50">IF(ROWS(B$4:B50)&lt;=$B$2,INDEX(data!A$3:A$16128,SMALL(IF(data!$D$3:$D$16128='Обеля'!$B$1,ROW(data!$A$3:$A$16128)-ROW($A$3)+1),ROWS(B$4:B50))),"")</f>
        <v>MYPOS Бакалия</v>
      </c>
      <c r="C50" s="19">
        <f t="array" ref="C50">IF(ROWS(C$4:C50)&lt;=$B$2,INDEX(data!B$3:B$16128,SMALL(IF(data!$D$3:$D$16128='Обеля'!$B$1,ROW(data!$A$3:$A$16128)-ROW($A$3)+1),ROWS(C$4:C50))),"")</f>
        <v>-5981.73</v>
      </c>
      <c r="D50" s="7" t="str">
        <f t="array" ref="D50">IF(ROWS(D$4:D50)&lt;=$B$2,INDEX(data!E$3:E$16128,SMALL(IF(data!$D$3:$D$16128='Обеля'!$B$1,ROW(data!$A$3:$A$16128)-ROW($A$3)+1),ROWS(D$4:D50))),"")</f>
        <v/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41">
        <f t="array" ref="A51">IF(ROWS(A$4:A51)&lt;=$B$2,INDEX(data!C$3:C$16128,SMALL(IF(data!$D$3:$D$16128='Обеля'!$B$1,ROW(data!$A$3:$A$16128)-ROW($A$3)+1),ROWS(A$4:A51))),"")</f>
        <v>46090</v>
      </c>
      <c r="B51" s="19" t="str">
        <f t="array" ref="B51">IF(ROWS(B$4:B51)&lt;=$B$2,INDEX(data!A$3:A$16128,SMALL(IF(data!$D$3:$D$16128='Обеля'!$B$1,ROW(data!$A$3:$A$16128)-ROW($A$3)+1),ROWS(B$4:B51))),"")</f>
        <v>ПроКредит бакал</v>
      </c>
      <c r="C51" s="19">
        <f t="array" ref="C51">IF(ROWS(C$4:C51)&lt;=$B$2,INDEX(data!B$3:B$16128,SMALL(IF(data!$D$3:$D$16128='Обеля'!$B$1,ROW(data!$A$3:$A$16128)-ROW($A$3)+1),ROWS(C$4:C51))),"")</f>
        <v>-922.82</v>
      </c>
      <c r="D51" s="7" t="str">
        <f t="array" ref="D51">IF(ROWS(D$4:D51)&lt;=$B$2,INDEX(data!E$3:E$16128,SMALL(IF(data!$D$3:$D$16128='Обеля'!$B$1,ROW(data!$A$3:$A$16128)-ROW($A$3)+1),ROWS(D$4:D51))),"")</f>
        <v/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41">
        <f t="array" ref="A52">IF(ROWS(A$4:A52)&lt;=$B$2,INDEX(data!C$3:C$16128,SMALL(IF(data!$D$3:$D$16128='Обеля'!$B$1,ROW(data!$A$3:$A$16128)-ROW($A$3)+1),ROWS(A$4:A52))),"")</f>
        <v>46092</v>
      </c>
      <c r="B52" s="19" t="str">
        <f t="array" ref="B52">IF(ROWS(B$4:B52)&lt;=$B$2,INDEX(data!A$3:A$16128,SMALL(IF(data!$D$3:$D$16128='Обеля'!$B$1,ROW(data!$A$3:$A$16128)-ROW($A$3)+1),ROWS(B$4:B52))),"")</f>
        <v>КАСОВА КНИГА</v>
      </c>
      <c r="C52" s="19">
        <f t="array" ref="C52">IF(ROWS(C$4:C52)&lt;=$B$2,INDEX(data!B$3:B$16128,SMALL(IF(data!$D$3:$D$16128='Обеля'!$B$1,ROW(data!$A$3:$A$16128)-ROW($A$3)+1),ROWS(C$4:C52))),"")</f>
        <v>-2000</v>
      </c>
      <c r="D52" s="7" t="str">
        <f t="array" ref="D52">IF(ROWS(D$4:D52)&lt;=$B$2,INDEX(data!E$3:E$16128,SMALL(IF(data!$D$3:$D$16128='Обеля'!$B$1,ROW(data!$A$3:$A$16128)-ROW($A$3)+1),ROWS(D$4:D52))),"")</f>
        <v/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41">
        <f t="array" ref="A53">IF(ROWS(A$4:A53)&lt;=$B$2,INDEX(data!C$3:C$16128,SMALL(IF(data!$D$3:$D$16128='Обеля'!$B$1,ROW(data!$A$3:$A$16128)-ROW($A$3)+1),ROWS(A$4:A53))),"")</f>
        <v>46097</v>
      </c>
      <c r="B53" s="19" t="str">
        <f t="array" ref="B53">IF(ROWS(B$4:B53)&lt;=$B$2,INDEX(data!A$3:A$16128,SMALL(IF(data!$D$3:$D$16128='Обеля'!$B$1,ROW(data!$A$3:$A$16128)-ROW($A$3)+1),ROWS(B$4:B53))),"")</f>
        <v>MYPOS Бакалия</v>
      </c>
      <c r="C53" s="19">
        <f t="array" ref="C53">IF(ROWS(C$4:C53)&lt;=$B$2,INDEX(data!B$3:B$16128,SMALL(IF(data!$D$3:$D$16128='Обеля'!$B$1,ROW(data!$A$3:$A$16128)-ROW($A$3)+1),ROWS(C$4:C53))),"")</f>
        <v>-7121.8</v>
      </c>
      <c r="D53" s="7" t="str">
        <f t="array" ref="D53">IF(ROWS(D$4:D53)&lt;=$B$2,INDEX(data!E$3:E$16128,SMALL(IF(data!$D$3:$D$16128='Обеля'!$B$1,ROW(data!$A$3:$A$16128)-ROW($A$3)+1),ROWS(D$4:D53))),"")</f>
        <v/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41">
        <f t="array" ref="A54">IF(ROWS(A$4:A54)&lt;=$B$2,INDEX(data!C$3:C$16128,SMALL(IF(data!$D$3:$D$16128='Обеля'!$B$1,ROW(data!$A$3:$A$16128)-ROW($A$3)+1),ROWS(A$4:A54))),"")</f>
        <v>46097</v>
      </c>
      <c r="B54" s="19" t="str">
        <f t="array" ref="B54">IF(ROWS(B$4:B54)&lt;=$B$2,INDEX(data!A$3:A$16128,SMALL(IF(data!$D$3:$D$16128='Обеля'!$B$1,ROW(data!$A$3:$A$16128)-ROW($A$3)+1),ROWS(B$4:B54))),"")</f>
        <v>КАСОВА КНИГА</v>
      </c>
      <c r="C54" s="19">
        <f t="array" ref="C54">IF(ROWS(C$4:C54)&lt;=$B$2,INDEX(data!B$3:B$16128,SMALL(IF(data!$D$3:$D$16128='Обеля'!$B$1,ROW(data!$A$3:$A$16128)-ROW($A$3)+1),ROWS(C$4:C54))),"")</f>
        <v>-2500</v>
      </c>
      <c r="D54" s="7" t="str">
        <f t="array" ref="D54">IF(ROWS(D$4:D54)&lt;=$B$2,INDEX(data!E$3:E$16128,SMALL(IF(data!$D$3:$D$16128='Обеля'!$B$1,ROW(data!$A$3:$A$16128)-ROW($A$3)+1),ROWS(D$4:D54))),"")</f>
        <v/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41">
        <f t="array" ref="A55">IF(ROWS(A$4:A55)&lt;=$B$2,INDEX(data!C$3:C$16128,SMALL(IF(data!$D$3:$D$16128='Обеля'!$B$1,ROW(data!$A$3:$A$16128)-ROW($A$3)+1),ROWS(A$4:A55))),"")</f>
        <v>46101</v>
      </c>
      <c r="B55" s="19" t="str">
        <f t="array" ref="B55">IF(ROWS(B$4:B55)&lt;=$B$2,INDEX(data!A$3:A$16128,SMALL(IF(data!$D$3:$D$16128='Обеля'!$B$1,ROW(data!$A$3:$A$16128)-ROW($A$3)+1),ROWS(B$4:B55))),"")</f>
        <v>Каса ВАУЧЕРИ</v>
      </c>
      <c r="C55" s="19">
        <f t="array" ref="C55">IF(ROWS(C$4:C55)&lt;=$B$2,INDEX(data!B$3:B$16128,SMALL(IF(data!$D$3:$D$16128='Обеля'!$B$1,ROW(data!$A$3:$A$16128)-ROW($A$3)+1),ROWS(C$4:C55))),"")</f>
        <v>-308.233</v>
      </c>
      <c r="D55" s="7" t="str">
        <f t="array" ref="D55">IF(ROWS(D$4:D55)&lt;=$B$2,INDEX(data!E$3:E$16128,SMALL(IF(data!$D$3:$D$16128='Обеля'!$B$1,ROW(data!$A$3:$A$16128)-ROW($A$3)+1),ROWS(D$4:D55))),"")</f>
        <v>от 02-08.03</v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41">
        <f t="array" ref="A56">IF(ROWS(A$4:A56)&lt;=$B$2,INDEX(data!C$3:C$16128,SMALL(IF(data!$D$3:$D$16128='Обеля'!$B$1,ROW(data!$A$3:$A$16128)-ROW($A$3)+1),ROWS(A$4:A56))),"")</f>
        <v>46104</v>
      </c>
      <c r="B56" s="19" t="str">
        <f t="array" ref="B56">IF(ROWS(B$4:B56)&lt;=$B$2,INDEX(data!A$3:A$16128,SMALL(IF(data!$D$3:$D$16128='Обеля'!$B$1,ROW(data!$A$3:$A$16128)-ROW($A$3)+1),ROWS(B$4:B56))),"")</f>
        <v>MYPOS Бакалия</v>
      </c>
      <c r="C56" s="19">
        <f t="array" ref="C56">IF(ROWS(C$4:C56)&lt;=$B$2,INDEX(data!B$3:B$16128,SMALL(IF(data!$D$3:$D$16128='Обеля'!$B$1,ROW(data!$A$3:$A$16128)-ROW($A$3)+1),ROWS(C$4:C56))),"")</f>
        <v>-6786.27</v>
      </c>
      <c r="D56" s="7" t="str">
        <f t="array" ref="D56">IF(ROWS(D$4:D56)&lt;=$B$2,INDEX(data!E$3:E$16128,SMALL(IF(data!$D$3:$D$16128='Обеля'!$B$1,ROW(data!$A$3:$A$16128)-ROW($A$3)+1),ROWS(D$4:D56))),"")</f>
        <v/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41">
        <f t="array" ref="A57">IF(ROWS(A$4:A57)&lt;=$B$2,INDEX(data!C$3:C$16128,SMALL(IF(data!$D$3:$D$16128='Обеля'!$B$1,ROW(data!$A$3:$A$16128)-ROW($A$3)+1),ROWS(A$4:A57))),"")</f>
        <v>46104</v>
      </c>
      <c r="B57" s="19" t="str">
        <f t="array" ref="B57">IF(ROWS(B$4:B57)&lt;=$B$2,INDEX(data!A$3:A$16128,SMALL(IF(data!$D$3:$D$16128='Обеля'!$B$1,ROW(data!$A$3:$A$16128)-ROW($A$3)+1),ROWS(B$4:B57))),"")</f>
        <v>КАСОВА КНИГА</v>
      </c>
      <c r="C57" s="19">
        <f t="array" ref="C57">IF(ROWS(C$4:C57)&lt;=$B$2,INDEX(data!B$3:B$16128,SMALL(IF(data!$D$3:$D$16128='Обеля'!$B$1,ROW(data!$A$3:$A$16128)-ROW($A$3)+1),ROWS(C$4:C57))),"")</f>
        <v>-3000</v>
      </c>
      <c r="D57" s="7" t="str">
        <f t="array" ref="D57">IF(ROWS(D$4:D57)&lt;=$B$2,INDEX(data!E$3:E$16128,SMALL(IF(data!$D$3:$D$16128='Обеля'!$B$1,ROW(data!$A$3:$A$16128)-ROW($A$3)+1),ROWS(D$4:D57))),"")</f>
        <v/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41">
        <f t="array" ref="A58">IF(ROWS(A$4:A58)&lt;=$B$2,INDEX(data!C$3:C$16128,SMALL(IF(data!$D$3:$D$16128='Обеля'!$B$1,ROW(data!$A$3:$A$16128)-ROW($A$3)+1),ROWS(A$4:A58))),"")</f>
        <v>46104</v>
      </c>
      <c r="B58" s="19" t="str">
        <f t="array" ref="B58">IF(ROWS(B$4:B58)&lt;=$B$2,INDEX(data!A$3:A$16128,SMALL(IF(data!$D$3:$D$16128='Обеля'!$B$1,ROW(data!$A$3:$A$16128)-ROW($A$3)+1),ROWS(B$4:B58))),"")</f>
        <v>Каса ВАУЧЕРИ</v>
      </c>
      <c r="C58" s="19">
        <f t="array" ref="C58">IF(ROWS(C$4:C58)&lt;=$B$2,INDEX(data!B$3:B$16128,SMALL(IF(data!$D$3:$D$16128='Обеля'!$B$1,ROW(data!$A$3:$A$16128)-ROW($A$3)+1),ROWS(C$4:C58))),"")</f>
        <v>700</v>
      </c>
      <c r="D58" s="7" t="str">
        <f t="array" ref="D58">IF(ROWS(D$4:D58)&lt;=$B$2,INDEX(data!E$3:E$16128,SMALL(IF(data!$D$3:$D$16128='Обеля'!$B$1,ROW(data!$A$3:$A$16128)-ROW($A$3)+1),ROWS(D$4:D58))),"")</f>
        <v>ваучери персонал</v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41">
        <f t="array" ref="A59">IF(ROWS(A$4:A59)&lt;=$B$2,INDEX(data!C$3:C$16128,SMALL(IF(data!$D$3:$D$16128='Обеля'!$B$1,ROW(data!$A$3:$A$16128)-ROW($A$3)+1),ROWS(A$4:A59))),"")</f>
        <v>46111</v>
      </c>
      <c r="B59" s="19" t="str">
        <f t="array" ref="B59">IF(ROWS(B$4:B59)&lt;=$B$2,INDEX(data!A$3:A$16128,SMALL(IF(data!$D$3:$D$16128='Обеля'!$B$1,ROW(data!$A$3:$A$16128)-ROW($A$3)+1),ROWS(B$4:B59))),"")</f>
        <v>MYPOS Бакалия</v>
      </c>
      <c r="C59" s="19">
        <f t="array" ref="C59">IF(ROWS(C$4:C59)&lt;=$B$2,INDEX(data!B$3:B$16128,SMALL(IF(data!$D$3:$D$16128='Обеля'!$B$1,ROW(data!$A$3:$A$16128)-ROW($A$3)+1),ROWS(C$4:C59))),"")</f>
        <v>-6873.73</v>
      </c>
      <c r="D59" s="7" t="str">
        <f t="array" ref="D59">IF(ROWS(D$4:D59)&lt;=$B$2,INDEX(data!E$3:E$16128,SMALL(IF(data!$D$3:$D$16128='Обеля'!$B$1,ROW(data!$A$3:$A$16128)-ROW($A$3)+1),ROWS(D$4:D59))),"")</f>
        <v/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41">
        <f t="array" ref="A60">IF(ROWS(A$4:A60)&lt;=$B$2,INDEX(data!C$3:C$16128,SMALL(IF(data!$D$3:$D$16128='Обеля'!$B$1,ROW(data!$A$3:$A$16128)-ROW($A$3)+1),ROWS(A$4:A60))),"")</f>
        <v>46111</v>
      </c>
      <c r="B60" s="19" t="str">
        <f t="array" ref="B60">IF(ROWS(B$4:B60)&lt;=$B$2,INDEX(data!A$3:A$16128,SMALL(IF(data!$D$3:$D$16128='Обеля'!$B$1,ROW(data!$A$3:$A$16128)-ROW($A$3)+1),ROWS(B$4:B60))),"")</f>
        <v>КАСОВА КНИГА</v>
      </c>
      <c r="C60" s="19">
        <f t="array" ref="C60">IF(ROWS(C$4:C60)&lt;=$B$2,INDEX(data!B$3:B$16128,SMALL(IF(data!$D$3:$D$16128='Обеля'!$B$1,ROW(data!$A$3:$A$16128)-ROW($A$3)+1),ROWS(C$4:C60))),"")</f>
        <v>-3500</v>
      </c>
      <c r="D60" s="7" t="str">
        <f t="array" ref="D60">IF(ROWS(D$4:D60)&lt;=$B$2,INDEX(data!E$3:E$16128,SMALL(IF(data!$D$3:$D$16128='Обеля'!$B$1,ROW(data!$A$3:$A$16128)-ROW($A$3)+1),ROWS(D$4:D60))),"")</f>
        <v/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41">
        <f t="array" ref="A61">IF(ROWS(A$4:A61)&lt;=$B$2,INDEX(data!C$3:C$16128,SMALL(IF(data!$D$3:$D$16128='Обеля'!$B$1,ROW(data!$A$3:$A$16128)-ROW($A$3)+1),ROWS(A$4:A61))),"")</f>
        <v>46111</v>
      </c>
      <c r="B61" s="19" t="str">
        <f t="array" ref="B61">IF(ROWS(B$4:B61)&lt;=$B$2,INDEX(data!A$3:A$16128,SMALL(IF(data!$D$3:$D$16128='Обеля'!$B$1,ROW(data!$A$3:$A$16128)-ROW($A$3)+1),ROWS(B$4:B61))),"")</f>
        <v>каса ФИКТИВНА</v>
      </c>
      <c r="C61" s="19">
        <f t="array" ref="C61">IF(ROWS(C$4:C61)&lt;=$B$2,INDEX(data!B$3:B$16128,SMALL(IF(data!$D$3:$D$16128='Обеля'!$B$1,ROW(data!$A$3:$A$16128)-ROW($A$3)+1),ROWS(C$4:C61))),"")</f>
        <v>-50000</v>
      </c>
      <c r="D61" s="7" t="str">
        <f t="array" ref="D61">IF(ROWS(D$4:D61)&lt;=$B$2,INDEX(data!E$3:E$16128,SMALL(IF(data!$D$3:$D$16128='Обеля'!$B$1,ROW(data!$A$3:$A$16128)-ROW($A$3)+1),ROWS(D$4:D61))),"")</f>
        <v>Прехв салдо към Велчо</v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41">
        <f t="array" ref="A62">IF(ROWS(A$4:A62)&lt;=$B$2,INDEX(data!C$3:C$16128,SMALL(IF(data!$D$3:$D$16128='Обеля'!$B$1,ROW(data!$A$3:$A$16128)-ROW($A$3)+1),ROWS(A$4:A62))),"")</f>
        <v>46112</v>
      </c>
      <c r="B62" s="19" t="str">
        <f t="array" ref="B62">IF(ROWS(B$4:B62)&lt;=$B$2,INDEX(data!A$3:A$16128,SMALL(IF(data!$D$3:$D$16128='Обеля'!$B$1,ROW(data!$A$3:$A$16128)-ROW($A$3)+1),ROWS(B$4:B62))),"")</f>
        <v>ЗАЕМ</v>
      </c>
      <c r="C62" s="19">
        <f t="array" ref="C62">IF(ROWS(C$4:C62)&lt;=$B$2,INDEX(data!B$3:B$16128,SMALL(IF(data!$D$3:$D$16128='Обеля'!$B$1,ROW(data!$A$3:$A$16128)-ROW($A$3)+1),ROWS(C$4:C62))),"")</f>
        <v>33796.66</v>
      </c>
      <c r="D62" s="7" t="str">
        <f t="array" ref="D62">IF(ROWS(D$4:D62)&lt;=$B$2,INDEX(data!E$3:E$16128,SMALL(IF(data!$D$3:$D$16128='Обеля'!$B$1,ROW(data!$A$3:$A$16128)-ROW($A$3)+1),ROWS(D$4:D62))),"")</f>
        <v>Салдо склад + вътр</v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41">
        <f t="array" ref="A63">IF(ROWS(A$4:A63)&lt;=$B$2,INDEX(data!C$3:C$16128,SMALL(IF(data!$D$3:$D$16128='Обеля'!$B$1,ROW(data!$A$3:$A$16128)-ROW($A$3)+1),ROWS(A$4:A63))),"")</f>
        <v>46113</v>
      </c>
      <c r="B63" s="19" t="str">
        <f t="array" ref="B63">IF(ROWS(B$4:B63)&lt;=$B$2,INDEX(data!A$3:A$16128,SMALL(IF(data!$D$3:$D$16128='Обеля'!$B$1,ROW(data!$A$3:$A$16128)-ROW($A$3)+1),ROWS(B$4:B63))),"")</f>
        <v>КАСОВА КНИГА</v>
      </c>
      <c r="C63" s="19">
        <f t="array" ref="C63">IF(ROWS(C$4:C63)&lt;=$B$2,INDEX(data!B$3:B$16128,SMALL(IF(data!$D$3:$D$16128='Обеля'!$B$1,ROW(data!$A$3:$A$16128)-ROW($A$3)+1),ROWS(C$4:C63))),"")</f>
        <v>-500</v>
      </c>
      <c r="D63" s="7" t="str">
        <f t="array" ref="D63">IF(ROWS(D$4:D63)&lt;=$B$2,INDEX(data!E$3:E$16128,SMALL(IF(data!$D$3:$D$16128='Обеля'!$B$1,ROW(data!$A$3:$A$16128)-ROW($A$3)+1),ROWS(D$4:D63))),"")</f>
        <v/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41">
        <f t="array" ref="A64">IF(ROWS(A$4:A64)&lt;=$B$2,INDEX(data!C$3:C$16128,SMALL(IF(data!$D$3:$D$16128='Обеля'!$B$1,ROW(data!$A$3:$A$16128)-ROW($A$3)+1),ROWS(A$4:A64))),"")</f>
        <v>46115</v>
      </c>
      <c r="B64" s="19" t="str">
        <f t="array" ref="B64">IF(ROWS(B$4:B64)&lt;=$B$2,INDEX(data!A$3:A$16128,SMALL(IF(data!$D$3:$D$16128='Обеля'!$B$1,ROW(data!$A$3:$A$16128)-ROW($A$3)+1),ROWS(B$4:B64))),"")</f>
        <v>Каса ВАУЧЕРИ</v>
      </c>
      <c r="C64" s="19">
        <f t="array" ref="C64">IF(ROWS(C$4:C64)&lt;=$B$2,INDEX(data!B$3:B$16128,SMALL(IF(data!$D$3:$D$16128='Обеля'!$B$1,ROW(data!$A$3:$A$16128)-ROW($A$3)+1),ROWS(C$4:C64))),"")</f>
        <v>-327</v>
      </c>
      <c r="D64" s="7" t="str">
        <f t="array" ref="D64">IF(ROWS(D$4:D64)&lt;=$B$2,INDEX(data!E$3:E$16128,SMALL(IF(data!$D$3:$D$16128='Обеля'!$B$1,ROW(data!$A$3:$A$16128)-ROW($A$3)+1),ROWS(D$4:D64))),"")</f>
        <v>09-15.03</v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41">
        <f t="array" ref="A65">IF(ROWS(A$4:A65)&lt;=$B$2,INDEX(data!C$3:C$16128,SMALL(IF(data!$D$3:$D$16128='Обеля'!$B$1,ROW(data!$A$3:$A$16128)-ROW($A$3)+1),ROWS(A$4:A65))),"")</f>
        <v>46115</v>
      </c>
      <c r="B65" s="19" t="str">
        <f t="array" ref="B65">IF(ROWS(B$4:B65)&lt;=$B$2,INDEX(data!A$3:A$16128,SMALL(IF(data!$D$3:$D$16128='Обеля'!$B$1,ROW(data!$A$3:$A$16128)-ROW($A$3)+1),ROWS(B$4:B65))),"")</f>
        <v>Каса ВАУЧЕРИ</v>
      </c>
      <c r="C65" s="19">
        <f t="array" ref="C65">IF(ROWS(C$4:C65)&lt;=$B$2,INDEX(data!B$3:B$16128,SMALL(IF(data!$D$3:$D$16128='Обеля'!$B$1,ROW(data!$A$3:$A$16128)-ROW($A$3)+1),ROWS(C$4:C65))),"")</f>
        <v>-149.76</v>
      </c>
      <c r="D65" s="7" t="str">
        <f t="array" ref="D65">IF(ROWS(D$4:D65)&lt;=$B$2,INDEX(data!E$3:E$16128,SMALL(IF(data!$D$3:$D$16128='Обеля'!$B$1,ROW(data!$A$3:$A$16128)-ROW($A$3)+1),ROWS(D$4:D65))),"")</f>
        <v>16-22.03</v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41">
        <f t="array" ref="A66">IF(ROWS(A$4:A66)&lt;=$B$2,INDEX(data!C$3:C$16128,SMALL(IF(data!$D$3:$D$16128='Обеля'!$B$1,ROW(data!$A$3:$A$16128)-ROW($A$3)+1),ROWS(A$4:A66))),"")</f>
        <v>46118</v>
      </c>
      <c r="B66" s="19" t="str">
        <f t="array" ref="B66">IF(ROWS(B$4:B66)&lt;=$B$2,INDEX(data!A$3:A$16128,SMALL(IF(data!$D$3:$D$16128='Обеля'!$B$1,ROW(data!$A$3:$A$16128)-ROW($A$3)+1),ROWS(B$4:B66))),"")</f>
        <v>MYPOS Бакалия</v>
      </c>
      <c r="C66" s="19">
        <f t="array" ref="C66">IF(ROWS(C$4:C66)&lt;=$B$2,INDEX(data!B$3:B$16128,SMALL(IF(data!$D$3:$D$16128='Обеля'!$B$1,ROW(data!$A$3:$A$16128)-ROW($A$3)+1),ROWS(C$4:C66))),"")</f>
        <v>-6576.77</v>
      </c>
      <c r="D66" s="7" t="str">
        <f t="array" ref="D66">IF(ROWS(D$4:D66)&lt;=$B$2,INDEX(data!E$3:E$16128,SMALL(IF(data!$D$3:$D$16128='Обеля'!$B$1,ROW(data!$A$3:$A$16128)-ROW($A$3)+1),ROWS(D$4:D66))),"")</f>
        <v/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41">
        <f t="array" ref="A67">IF(ROWS(A$4:A67)&lt;=$B$2,INDEX(data!C$3:C$16128,SMALL(IF(data!$D$3:$D$16128='Обеля'!$B$1,ROW(data!$A$3:$A$16128)-ROW($A$3)+1),ROWS(A$4:A67))),"")</f>
        <v>46118</v>
      </c>
      <c r="B67" s="19" t="str">
        <f t="array" ref="B67">IF(ROWS(B$4:B67)&lt;=$B$2,INDEX(data!A$3:A$16128,SMALL(IF(data!$D$3:$D$16128='Обеля'!$B$1,ROW(data!$A$3:$A$16128)-ROW($A$3)+1),ROWS(B$4:B67))),"")</f>
        <v>КАСОВА КНИГА</v>
      </c>
      <c r="C67" s="19">
        <f t="array" ref="C67">IF(ROWS(C$4:C67)&lt;=$B$2,INDEX(data!B$3:B$16128,SMALL(IF(data!$D$3:$D$16128='Обеля'!$B$1,ROW(data!$A$3:$A$16128)-ROW($A$3)+1),ROWS(C$4:C67))),"")</f>
        <v>-1500</v>
      </c>
      <c r="D67" s="7" t="str">
        <f t="array" ref="D67">IF(ROWS(D$4:D67)&lt;=$B$2,INDEX(data!E$3:E$16128,SMALL(IF(data!$D$3:$D$16128='Обеля'!$B$1,ROW(data!$A$3:$A$16128)-ROW($A$3)+1),ROWS(D$4:D67))),"")</f>
        <v/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41">
        <f t="array" ref="A68">IF(ROWS(A$4:A68)&lt;=$B$2,INDEX(data!C$3:C$16128,SMALL(IF(data!$D$3:$D$16128='Обеля'!$B$1,ROW(data!$A$3:$A$16128)-ROW($A$3)+1),ROWS(A$4:A68))),"")</f>
        <v>46118</v>
      </c>
      <c r="B68" s="19" t="str">
        <f t="array" ref="B68">IF(ROWS(B$4:B68)&lt;=$B$2,INDEX(data!A$3:A$16128,SMALL(IF(data!$D$3:$D$16128='Обеля'!$B$1,ROW(data!$A$3:$A$16128)-ROW($A$3)+1),ROWS(B$4:B68))),"")</f>
        <v>ПОС ДСК Бакалия</v>
      </c>
      <c r="C68" s="19">
        <f t="array" ref="C68">IF(ROWS(C$4:C68)&lt;=$B$2,INDEX(data!B$3:B$16128,SMALL(IF(data!$D$3:$D$16128='Обеля'!$B$1,ROW(data!$A$3:$A$16128)-ROW($A$3)+1),ROWS(C$4:C68))),"")</f>
        <v>-3.4</v>
      </c>
      <c r="D68" s="7" t="str">
        <f t="array" ref="D68">IF(ROWS(D$4:D68)&lt;=$B$2,INDEX(data!E$3:E$16128,SMALL(IF(data!$D$3:$D$16128='Обеля'!$B$1,ROW(data!$A$3:$A$16128)-ROW($A$3)+1),ROWS(D$4:D68))),"")</f>
        <v>23-29,03</v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41">
        <f t="array" ref="A69">IF(ROWS(A$4:A69)&lt;=$B$2,INDEX(data!C$3:C$16128,SMALL(IF(data!$D$3:$D$16128='Обеля'!$B$1,ROW(data!$A$3:$A$16128)-ROW($A$3)+1),ROWS(A$4:A69))),"")</f>
        <v>46118</v>
      </c>
      <c r="B69" s="19" t="str">
        <f t="array" ref="B69">IF(ROWS(B$4:B69)&lt;=$B$2,INDEX(data!A$3:A$16128,SMALL(IF(data!$D$3:$D$16128='Обеля'!$B$1,ROW(data!$A$3:$A$16128)-ROW($A$3)+1),ROWS(B$4:B69))),"")</f>
        <v>каса ФИКТИВНА</v>
      </c>
      <c r="C69" s="19">
        <f t="array" ref="C69">IF(ROWS(C$4:C69)&lt;=$B$2,INDEX(data!B$3:B$16128,SMALL(IF(data!$D$3:$D$16128='Обеля'!$B$1,ROW(data!$A$3:$A$16128)-ROW($A$3)+1),ROWS(C$4:C69))),"")</f>
        <v>-300</v>
      </c>
      <c r="D69" s="7" t="str">
        <f t="array" ref="D69">IF(ROWS(D$4:D69)&lt;=$B$2,INDEX(data!E$3:E$16128,SMALL(IF(data!$D$3:$D$16128='Обеля'!$B$1,ROW(data!$A$3:$A$16128)-ROW($A$3)+1),ROWS(D$4:D69))),"")</f>
        <v>Нонка от премиите</v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41">
        <f t="array" ref="A70">IF(ROWS(A$4:A70)&lt;=$B$2,INDEX(data!C$3:C$16128,SMALL(IF(data!$D$3:$D$16128='Обеля'!$B$1,ROW(data!$A$3:$A$16128)-ROW($A$3)+1),ROWS(A$4:A70))),"")</f>
        <v>46126</v>
      </c>
      <c r="B70" s="19" t="str">
        <f t="array" ref="B70">IF(ROWS(B$4:B70)&lt;=$B$2,INDEX(data!A$3:A$16128,SMALL(IF(data!$D$3:$D$16128='Обеля'!$B$1,ROW(data!$A$3:$A$16128)-ROW($A$3)+1),ROWS(B$4:B70))),"")</f>
        <v>MYPOS Бакалия</v>
      </c>
      <c r="C70" s="19">
        <f t="array" ref="C70">IF(ROWS(C$4:C70)&lt;=$B$2,INDEX(data!B$3:B$16128,SMALL(IF(data!$D$3:$D$16128='Обеля'!$B$1,ROW(data!$A$3:$A$16128)-ROW($A$3)+1),ROWS(C$4:C70))),"")</f>
        <v>-7371.69</v>
      </c>
      <c r="D70" s="7" t="str">
        <f t="array" ref="D70">IF(ROWS(D$4:D70)&lt;=$B$2,INDEX(data!E$3:E$16128,SMALL(IF(data!$D$3:$D$16128='Обеля'!$B$1,ROW(data!$A$3:$A$16128)-ROW($A$3)+1),ROWS(D$4:D70))),"")</f>
        <v/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41">
        <f t="array" ref="A71">IF(ROWS(A$4:A71)&lt;=$B$2,INDEX(data!C$3:C$16128,SMALL(IF(data!$D$3:$D$16128='Обеля'!$B$1,ROW(data!$A$3:$A$16128)-ROW($A$3)+1),ROWS(A$4:A71))),"")</f>
        <v>46126</v>
      </c>
      <c r="B71" s="19" t="str">
        <f t="array" ref="B71">IF(ROWS(B$4:B71)&lt;=$B$2,INDEX(data!A$3:A$16128,SMALL(IF(data!$D$3:$D$16128='Обеля'!$B$1,ROW(data!$A$3:$A$16128)-ROW($A$3)+1),ROWS(B$4:B71))),"")</f>
        <v>КАСОВА КНИГА</v>
      </c>
      <c r="C71" s="19">
        <f t="array" ref="C71">IF(ROWS(C$4:C71)&lt;=$B$2,INDEX(data!B$3:B$16128,SMALL(IF(data!$D$3:$D$16128='Обеля'!$B$1,ROW(data!$A$3:$A$16128)-ROW($A$3)+1),ROWS(C$4:C71))),"")</f>
        <v>-9000.004</v>
      </c>
      <c r="D71" s="7" t="str">
        <f t="array" ref="D71">IF(ROWS(D$4:D71)&lt;=$B$2,INDEX(data!E$3:E$16128,SMALL(IF(data!$D$3:$D$16128='Обеля'!$B$1,ROW(data!$A$3:$A$16128)-ROW($A$3)+1),ROWS(D$4:D71))),"")</f>
        <v/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41">
        <f t="array" ref="A72">IF(ROWS(A$4:A72)&lt;=$B$2,INDEX(data!C$3:C$16128,SMALL(IF(data!$D$3:$D$16128='Обеля'!$B$1,ROW(data!$A$3:$A$16128)-ROW($A$3)+1),ROWS(A$4:A72))),"")</f>
        <v>46132</v>
      </c>
      <c r="B72" s="19" t="str">
        <f t="array" ref="B72">IF(ROWS(B$4:B72)&lt;=$B$2,INDEX(data!A$3:A$16128,SMALL(IF(data!$D$3:$D$16128='Обеля'!$B$1,ROW(data!$A$3:$A$16128)-ROW($A$3)+1),ROWS(B$4:B72))),"")</f>
        <v>КАСОВА КНИГА</v>
      </c>
      <c r="C72" s="19">
        <f t="array" ref="C72">IF(ROWS(C$4:C72)&lt;=$B$2,INDEX(data!B$3:B$16128,SMALL(IF(data!$D$3:$D$16128='Обеля'!$B$1,ROW(data!$A$3:$A$16128)-ROW($A$3)+1),ROWS(C$4:C72))),"")</f>
        <v>-1000</v>
      </c>
      <c r="D72" s="7" t="str">
        <f t="array" ref="D72">IF(ROWS(D$4:D72)&lt;=$B$2,INDEX(data!E$3:E$16128,SMALL(IF(data!$D$3:$D$16128='Обеля'!$B$1,ROW(data!$A$3:$A$16128)-ROW($A$3)+1),ROWS(D$4:D72))),"")</f>
        <v/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41">
        <f t="array" ref="A73">IF(ROWS(A$4:A73)&lt;=$B$2,INDEX(data!C$3:C$16128,SMALL(IF(data!$D$3:$D$16128='Обеля'!$B$1,ROW(data!$A$3:$A$16128)-ROW($A$3)+1),ROWS(A$4:A73))),"")</f>
        <v>46132</v>
      </c>
      <c r="B73" s="19" t="str">
        <f t="array" ref="B73">IF(ROWS(B$4:B73)&lt;=$B$2,INDEX(data!A$3:A$16128,SMALL(IF(data!$D$3:$D$16128='Обеля'!$B$1,ROW(data!$A$3:$A$16128)-ROW($A$3)+1),ROWS(B$4:B73))),"")</f>
        <v>MYPOS Бакалия</v>
      </c>
      <c r="C73" s="19">
        <f t="array" ref="C73">IF(ROWS(C$4:C73)&lt;=$B$2,INDEX(data!B$3:B$16128,SMALL(IF(data!$D$3:$D$16128='Обеля'!$B$1,ROW(data!$A$3:$A$16128)-ROW($A$3)+1),ROWS(C$4:C73))),"")</f>
        <v>-7270.68</v>
      </c>
      <c r="D73" s="7" t="str">
        <f t="array" ref="D73">IF(ROWS(D$4:D73)&lt;=$B$2,INDEX(data!E$3:E$16128,SMALL(IF(data!$D$3:$D$16128='Обеля'!$B$1,ROW(data!$A$3:$A$16128)-ROW($A$3)+1),ROWS(D$4:D73))),"")</f>
        <v/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41">
        <f t="array" ref="A74">IF(ROWS(A$4:A74)&lt;=$B$2,INDEX(data!C$3:C$16128,SMALL(IF(data!$D$3:$D$16128='Обеля'!$B$1,ROW(data!$A$3:$A$16128)-ROW($A$3)+1),ROWS(A$4:A74))),"")</f>
        <v>46134</v>
      </c>
      <c r="B74" s="19" t="str">
        <f t="array" ref="B74">IF(ROWS(B$4:B74)&lt;=$B$2,INDEX(data!A$3:A$16128,SMALL(IF(data!$D$3:$D$16128='Обеля'!$B$1,ROW(data!$A$3:$A$16128)-ROW($A$3)+1),ROWS(B$4:B74))),"")</f>
        <v>КАСОВА КНИГА</v>
      </c>
      <c r="C74" s="19">
        <f t="array" ref="C74">IF(ROWS(C$4:C74)&lt;=$B$2,INDEX(data!B$3:B$16128,SMALL(IF(data!$D$3:$D$16128='Обеля'!$B$1,ROW(data!$A$3:$A$16128)-ROW($A$3)+1),ROWS(C$4:C74))),"")</f>
        <v>-500</v>
      </c>
      <c r="D74" s="7" t="str">
        <f t="array" ref="D74">IF(ROWS(D$4:D74)&lt;=$B$2,INDEX(data!E$3:E$16128,SMALL(IF(data!$D$3:$D$16128='Обеля'!$B$1,ROW(data!$A$3:$A$16128)-ROW($A$3)+1),ROWS(D$4:D74))),"")</f>
        <v/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41">
        <f t="array" ref="A75">IF(ROWS(A$4:A75)&lt;=$B$2,INDEX(data!C$3:C$16128,SMALL(IF(data!$D$3:$D$16128='Обеля'!$B$1,ROW(data!$A$3:$A$16128)-ROW($A$3)+1),ROWS(A$4:A75))),"")</f>
        <v>46134</v>
      </c>
      <c r="B75" s="19" t="str">
        <f t="array" ref="B75">IF(ROWS(B$4:B75)&lt;=$B$2,INDEX(data!A$3:A$16128,SMALL(IF(data!$D$3:$D$16128='Обеля'!$B$1,ROW(data!$A$3:$A$16128)-ROW($A$3)+1),ROWS(B$4:B75))),"")</f>
        <v>Каса ВАУЧЕРИ</v>
      </c>
      <c r="C75" s="19">
        <f t="array" ref="C75">IF(ROWS(C$4:C75)&lt;=$B$2,INDEX(data!B$3:B$16128,SMALL(IF(data!$D$3:$D$16128='Обеля'!$B$1,ROW(data!$A$3:$A$16128)-ROW($A$3)+1),ROWS(C$4:C75))),"")</f>
        <v>800</v>
      </c>
      <c r="D75" s="7" t="str">
        <f t="array" ref="D75">IF(ROWS(D$4:D75)&lt;=$B$2,INDEX(data!E$3:E$16128,SMALL(IF(data!$D$3:$D$16128='Обеля'!$B$1,ROW(data!$A$3:$A$16128)-ROW($A$3)+1),ROWS(D$4:D75))),"")</f>
        <v>ваучери персонал</v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41">
        <f t="array" ref="A76">IF(ROWS(A$4:A76)&lt;=$B$2,INDEX(data!C$3:C$16128,SMALL(IF(data!$D$3:$D$16128='Обеля'!$B$1,ROW(data!$A$3:$A$16128)-ROW($A$3)+1),ROWS(A$4:A76))),"")</f>
        <v>46135</v>
      </c>
      <c r="B76" s="19" t="str">
        <f t="array" ref="B76">IF(ROWS(B$4:B76)&lt;=$B$2,INDEX(data!A$3:A$16128,SMALL(IF(data!$D$3:$D$16128='Обеля'!$B$1,ROW(data!$A$3:$A$16128)-ROW($A$3)+1),ROWS(B$4:B76))),"")</f>
        <v>Каса ВАУЧЕРИ</v>
      </c>
      <c r="C76" s="19">
        <f t="array" ref="C76">IF(ROWS(C$4:C76)&lt;=$B$2,INDEX(data!B$3:B$16128,SMALL(IF(data!$D$3:$D$16128='Обеля'!$B$1,ROW(data!$A$3:$A$16128)-ROW($A$3)+1),ROWS(C$4:C76))),"")</f>
        <v>-140.61</v>
      </c>
      <c r="D76" s="36">
        <f t="array" ref="D76">IF(ROWS(D$4:D76)&lt;=$B$2,INDEX(data!E$3:E$16128,SMALL(IF(data!$D$3:$D$16128='Обеля'!$B$1,ROW(data!$A$3:$A$16128)-ROW($A$3)+1),ROWS(D$4:D76))),"")</f>
        <v>38327</v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41">
        <f t="array" ref="A77">IF(ROWS(A$4:A77)&lt;=$B$2,INDEX(data!C$3:C$16128,SMALL(IF(data!$D$3:$D$16128='Обеля'!$B$1,ROW(data!$A$3:$A$16128)-ROW($A$3)+1),ROWS(A$4:A77))),"")</f>
        <v>46135</v>
      </c>
      <c r="B77" s="19" t="str">
        <f t="array" ref="B77">IF(ROWS(B$4:B77)&lt;=$B$2,INDEX(data!A$3:A$16128,SMALL(IF(data!$D$3:$D$16128='Обеля'!$B$1,ROW(data!$A$3:$A$16128)-ROW($A$3)+1),ROWS(B$4:B77))),"")</f>
        <v>Каса ВАУЧЕРИ</v>
      </c>
      <c r="C77" s="19">
        <f t="array" ref="C77">IF(ROWS(C$4:C77)&lt;=$B$2,INDEX(data!B$3:B$16128,SMALL(IF(data!$D$3:$D$16128='Обеля'!$B$1,ROW(data!$A$3:$A$16128)-ROW($A$3)+1),ROWS(C$4:C77))),"")</f>
        <v>-167.9</v>
      </c>
      <c r="D77" s="7" t="str">
        <f t="array" ref="D77">IF(ROWS(D$4:D77)&lt;=$B$2,INDEX(data!E$3:E$16128,SMALL(IF(data!$D$3:$D$16128='Обеля'!$B$1,ROW(data!$A$3:$A$16128)-ROW($A$3)+1),ROWS(D$4:D77))),"")</f>
        <v>23-29.03</v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41">
        <f t="array" ref="A78">IF(ROWS(A$4:A78)&lt;=$B$2,INDEX(data!C$3:C$16128,SMALL(IF(data!$D$3:$D$16128='Обеля'!$B$1,ROW(data!$A$3:$A$16128)-ROW($A$3)+1),ROWS(A$4:A78))),"")</f>
        <v>46139</v>
      </c>
      <c r="B78" s="19" t="str">
        <f t="array" ref="B78">IF(ROWS(B$4:B78)&lt;=$B$2,INDEX(data!A$3:A$16128,SMALL(IF(data!$D$3:$D$16128='Обеля'!$B$1,ROW(data!$A$3:$A$16128)-ROW($A$3)+1),ROWS(B$4:B78))),"")</f>
        <v>MYPOS Бакалия</v>
      </c>
      <c r="C78" s="19">
        <f t="array" ref="C78">IF(ROWS(C$4:C78)&lt;=$B$2,INDEX(data!B$3:B$16128,SMALL(IF(data!$D$3:$D$16128='Обеля'!$B$1,ROW(data!$A$3:$A$16128)-ROW($A$3)+1),ROWS(C$4:C78))),"")</f>
        <v>-6662.91</v>
      </c>
      <c r="D78" s="7" t="str">
        <f t="array" ref="D78">IF(ROWS(D$4:D78)&lt;=$B$2,INDEX(data!E$3:E$16128,SMALL(IF(data!$D$3:$D$16128='Обеля'!$B$1,ROW(data!$A$3:$A$16128)-ROW($A$3)+1),ROWS(D$4:D78))),"")</f>
        <v/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41">
        <f t="array" ref="A79">IF(ROWS(A$4:A79)&lt;=$B$2,INDEX(data!C$3:C$16128,SMALL(IF(data!$D$3:$D$16128='Обеля'!$B$1,ROW(data!$A$3:$A$16128)-ROW($A$3)+1),ROWS(A$4:A79))),"")</f>
        <v>46139</v>
      </c>
      <c r="B79" s="19" t="str">
        <f t="array" ref="B79">IF(ROWS(B$4:B79)&lt;=$B$2,INDEX(data!A$3:A$16128,SMALL(IF(data!$D$3:$D$16128='Обеля'!$B$1,ROW(data!$A$3:$A$16128)-ROW($A$3)+1),ROWS(B$4:B79))),"")</f>
        <v>КАСОВА КНИГА</v>
      </c>
      <c r="C79" s="19">
        <f t="array" ref="C79">IF(ROWS(C$4:C79)&lt;=$B$2,INDEX(data!B$3:B$16128,SMALL(IF(data!$D$3:$D$16128='Обеля'!$B$1,ROW(data!$A$3:$A$16128)-ROW($A$3)+1),ROWS(C$4:C79))),"")</f>
        <v>-2000</v>
      </c>
      <c r="D79" s="7" t="str">
        <f t="array" ref="D79">IF(ROWS(D$4:D79)&lt;=$B$2,INDEX(data!E$3:E$16128,SMALL(IF(data!$D$3:$D$16128='Обеля'!$B$1,ROW(data!$A$3:$A$16128)-ROW($A$3)+1),ROWS(D$4:D79))),"")</f>
        <v/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41">
        <f t="array" ref="A80">IF(ROWS(A$4:A80)&lt;=$B$2,INDEX(data!C$3:C$16128,SMALL(IF(data!$D$3:$D$16128='Обеля'!$B$1,ROW(data!$A$3:$A$16128)-ROW($A$3)+1),ROWS(A$4:A80))),"")</f>
        <v>46139</v>
      </c>
      <c r="B80" s="19" t="str">
        <f t="array" ref="B80">IF(ROWS(B$4:B80)&lt;=$B$2,INDEX(data!A$3:A$16128,SMALL(IF(data!$D$3:$D$16128='Обеля'!$B$1,ROW(data!$A$3:$A$16128)-ROW($A$3)+1),ROWS(B$4:B80))),"")</f>
        <v>каса ФИКТИВНА</v>
      </c>
      <c r="C80" s="19">
        <f t="array" ref="C80">IF(ROWS(C$4:C80)&lt;=$B$2,INDEX(data!B$3:B$16128,SMALL(IF(data!$D$3:$D$16128='Обеля'!$B$1,ROW(data!$A$3:$A$16128)-ROW($A$3)+1),ROWS(C$4:C80))),"")</f>
        <v>-740</v>
      </c>
      <c r="D80" s="7" t="str">
        <f t="array" ref="D80">IF(ROWS(D$4:D80)&lt;=$B$2,INDEX(data!E$3:E$16128,SMALL(IF(data!$D$3:$D$16128='Обеля'!$B$1,ROW(data!$A$3:$A$16128)-ROW($A$3)+1),ROWS(D$4:D80))),"")</f>
        <v>Цвети от заплатата</v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41">
        <f t="array" ref="A81">IF(ROWS(A$4:A81)&lt;=$B$2,INDEX(data!C$3:C$16128,SMALL(IF(data!$D$3:$D$16128='Обеля'!$B$1,ROW(data!$A$3:$A$16128)-ROW($A$3)+1),ROWS(A$4:A81))),"")</f>
        <v>46143</v>
      </c>
      <c r="B81" s="19" t="str">
        <f t="array" ref="B81">IF(ROWS(B$4:B81)&lt;=$B$2,INDEX(data!A$3:A$16128,SMALL(IF(data!$D$3:$D$16128='Обеля'!$B$1,ROW(data!$A$3:$A$16128)-ROW($A$3)+1),ROWS(B$4:B81))),"")</f>
        <v>КАСОВА КНИГА</v>
      </c>
      <c r="C81" s="19">
        <f t="array" ref="C81">IF(ROWS(C$4:C81)&lt;=$B$2,INDEX(data!B$3:B$16128,SMALL(IF(data!$D$3:$D$16128='Обеля'!$B$1,ROW(data!$A$3:$A$16128)-ROW($A$3)+1),ROWS(C$4:C81))),"")</f>
        <v>-500</v>
      </c>
      <c r="D81" s="7" t="str">
        <f t="array" ref="D81">IF(ROWS(D$4:D81)&lt;=$B$2,INDEX(data!E$3:E$16128,SMALL(IF(data!$D$3:$D$16128='Обеля'!$B$1,ROW(data!$A$3:$A$16128)-ROW($A$3)+1),ROWS(D$4:D81))),"")</f>
        <v/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41">
        <f t="array" ref="A82">IF(ROWS(A$4:A82)&lt;=$B$2,INDEX(data!C$3:C$16128,SMALL(IF(data!$D$3:$D$16128='Обеля'!$B$1,ROW(data!$A$3:$A$16128)-ROW($A$3)+1),ROWS(A$4:A82))),"")</f>
        <v>46146</v>
      </c>
      <c r="B82" s="19" t="str">
        <f t="array" ref="B82">IF(ROWS(B$4:B82)&lt;=$B$2,INDEX(data!A$3:A$16128,SMALL(IF(data!$D$3:$D$16128='Обеля'!$B$1,ROW(data!$A$3:$A$16128)-ROW($A$3)+1),ROWS(B$4:B82))),"")</f>
        <v>MYPOS Бакалия</v>
      </c>
      <c r="C82" s="19">
        <f t="array" ref="C82">IF(ROWS(C$4:C82)&lt;=$B$2,INDEX(data!B$3:B$16128,SMALL(IF(data!$D$3:$D$16128='Обеля'!$B$1,ROW(data!$A$3:$A$16128)-ROW($A$3)+1),ROWS(C$4:C82))),"")</f>
        <v>-6595.53</v>
      </c>
      <c r="D82" s="7" t="str">
        <f t="array" ref="D82">IF(ROWS(D$4:D82)&lt;=$B$2,INDEX(data!E$3:E$16128,SMALL(IF(data!$D$3:$D$16128='Обеля'!$B$1,ROW(data!$A$3:$A$16128)-ROW($A$3)+1),ROWS(D$4:D82))),"")</f>
        <v/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41">
        <f t="array" ref="A83">IF(ROWS(A$4:A83)&lt;=$B$2,INDEX(data!C$3:C$16128,SMALL(IF(data!$D$3:$D$16128='Обеля'!$B$1,ROW(data!$A$3:$A$16128)-ROW($A$3)+1),ROWS(A$4:A83))),"")</f>
        <v>46146</v>
      </c>
      <c r="B83" s="19" t="str">
        <f t="array" ref="B83">IF(ROWS(B$4:B83)&lt;=$B$2,INDEX(data!A$3:A$16128,SMALL(IF(data!$D$3:$D$16128='Обеля'!$B$1,ROW(data!$A$3:$A$16128)-ROW($A$3)+1),ROWS(B$4:B83))),"")</f>
        <v>КАСОВА КНИГА</v>
      </c>
      <c r="C83" s="19">
        <f t="array" ref="C83">IF(ROWS(C$4:C83)&lt;=$B$2,INDEX(data!B$3:B$16128,SMALL(IF(data!$D$3:$D$16128='Обеля'!$B$1,ROW(data!$A$3:$A$16128)-ROW($A$3)+1),ROWS(C$4:C83))),"")</f>
        <v>-2500</v>
      </c>
      <c r="D83" s="7" t="str">
        <f t="array" ref="D83">IF(ROWS(D$4:D83)&lt;=$B$2,INDEX(data!E$3:E$16128,SMALL(IF(data!$D$3:$D$16128='Обеля'!$B$1,ROW(data!$A$3:$A$16128)-ROW($A$3)+1),ROWS(D$4:D83))),"")</f>
        <v/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41">
        <f t="array" ref="A84">IF(ROWS(A$4:A84)&lt;=$B$2,INDEX(data!C$3:C$16128,SMALL(IF(data!$D$3:$D$16128='Обеля'!$B$1,ROW(data!$A$3:$A$16128)-ROW($A$3)+1),ROWS(A$4:A84))),"")</f>
        <v>46148</v>
      </c>
      <c r="B84" s="19" t="str">
        <f t="array" ref="B84">IF(ROWS(B$4:B84)&lt;=$B$2,INDEX(data!A$3:A$16128,SMALL(IF(data!$D$3:$D$16128='Обеля'!$B$1,ROW(data!$A$3:$A$16128)-ROW($A$3)+1),ROWS(B$4:B84))),"")</f>
        <v>ЗАЕМ</v>
      </c>
      <c r="C84" s="19">
        <f t="array" ref="C84">IF(ROWS(C$4:C84)&lt;=$B$2,INDEX(data!B$3:B$16128,SMALL(IF(data!$D$3:$D$16128='Обеля'!$B$1,ROW(data!$A$3:$A$16128)-ROW($A$3)+1),ROWS(C$4:C84))),"")</f>
        <v>52025.63</v>
      </c>
      <c r="D84" s="7" t="str">
        <f t="array" ref="D84">IF(ROWS(D$4:D84)&lt;=$B$2,INDEX(data!E$3:E$16128,SMALL(IF(data!$D$3:$D$16128='Обеля'!$B$1,ROW(data!$A$3:$A$16128)-ROW($A$3)+1),ROWS(D$4:D84))),"")</f>
        <v>Салдо склад + вътр. п-не</v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41">
        <f t="array" ref="A85">IF(ROWS(A$4:A85)&lt;=$B$2,INDEX(data!C$3:C$16128,SMALL(IF(data!$D$3:$D$16128='Обеля'!$B$1,ROW(data!$A$3:$A$16128)-ROW($A$3)+1),ROWS(A$4:A85))),"")</f>
        <v>46149</v>
      </c>
      <c r="B85" s="19" t="str">
        <f t="array" ref="B85">IF(ROWS(B$4:B85)&lt;=$B$2,INDEX(data!A$3:A$16128,SMALL(IF(data!$D$3:$D$16128='Обеля'!$B$1,ROW(data!$A$3:$A$16128)-ROW($A$3)+1),ROWS(B$4:B85))),"")</f>
        <v>КАСОВА КНИГА</v>
      </c>
      <c r="C85" s="19">
        <f t="array" ref="C85">IF(ROWS(C$4:C85)&lt;=$B$2,INDEX(data!B$3:B$16128,SMALL(IF(data!$D$3:$D$16128='Обеля'!$B$1,ROW(data!$A$3:$A$16128)-ROW($A$3)+1),ROWS(C$4:C85))),"")</f>
        <v>-1000</v>
      </c>
      <c r="D85" s="7" t="str">
        <f t="array" ref="D85">IF(ROWS(D$4:D85)&lt;=$B$2,INDEX(data!E$3:E$16128,SMALL(IF(data!$D$3:$D$16128='Обеля'!$B$1,ROW(data!$A$3:$A$16128)-ROW($A$3)+1),ROWS(D$4:D85))),"")</f>
        <v/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41">
        <f t="array" ref="A86">IF(ROWS(A$4:A86)&lt;=$B$2,INDEX(data!C$3:C$16128,SMALL(IF(data!$D$3:$D$16128='Обеля'!$B$1,ROW(data!$A$3:$A$16128)-ROW($A$3)+1),ROWS(A$4:A86))),"")</f>
        <v>46149</v>
      </c>
      <c r="B86" s="19" t="str">
        <f t="array" ref="B86">IF(ROWS(B$4:B86)&lt;=$B$2,INDEX(data!A$3:A$16128,SMALL(IF(data!$D$3:$D$16128='Обеля'!$B$1,ROW(data!$A$3:$A$16128)-ROW($A$3)+1),ROWS(B$4:B86))),"")</f>
        <v>Каса ВАУЧЕРИ</v>
      </c>
      <c r="C86" s="19">
        <f t="array" ref="C86">IF(ROWS(C$4:C86)&lt;=$B$2,INDEX(data!B$3:B$16128,SMALL(IF(data!$D$3:$D$16128='Обеля'!$B$1,ROW(data!$A$3:$A$16128)-ROW($A$3)+1),ROWS(C$4:C86))),"")</f>
        <v>-279.76</v>
      </c>
      <c r="D86" s="7" t="str">
        <f t="array" ref="D86">IF(ROWS(D$4:D86)&lt;=$B$2,INDEX(data!E$3:E$16128,SMALL(IF(data!$D$3:$D$16128='Обеля'!$B$1,ROW(data!$A$3:$A$16128)-ROW($A$3)+1),ROWS(D$4:D86))),"")</f>
        <v>към 27.04</v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41">
        <f t="array" ref="A87">IF(ROWS(A$4:A87)&lt;=$B$2,INDEX(data!C$3:C$16128,SMALL(IF(data!$D$3:$D$16128='Обеля'!$B$1,ROW(data!$A$3:$A$16128)-ROW($A$3)+1),ROWS(A$4:A87))),"")</f>
        <v>46153</v>
      </c>
      <c r="B87" s="19" t="str">
        <f t="array" ref="B87">IF(ROWS(B$4:B87)&lt;=$B$2,INDEX(data!A$3:A$16128,SMALL(IF(data!$D$3:$D$16128='Обеля'!$B$1,ROW(data!$A$3:$A$16128)-ROW($A$3)+1),ROWS(B$4:B87))),"")</f>
        <v>MYPOS Бакалия</v>
      </c>
      <c r="C87" s="19">
        <f t="array" ref="C87">IF(ROWS(C$4:C87)&lt;=$B$2,INDEX(data!B$3:B$16128,SMALL(IF(data!$D$3:$D$16128='Обеля'!$B$1,ROW(data!$A$3:$A$16128)-ROW($A$3)+1),ROWS(C$4:C87))),"")</f>
        <v>-7363.89</v>
      </c>
      <c r="D87" s="7" t="str">
        <f t="array" ref="D87">IF(ROWS(D$4:D87)&lt;=$B$2,INDEX(data!E$3:E$16128,SMALL(IF(data!$D$3:$D$16128='Обеля'!$B$1,ROW(data!$A$3:$A$16128)-ROW($A$3)+1),ROWS(D$4:D87))),"")</f>
        <v/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41">
        <f t="array" ref="A88">IF(ROWS(A$4:A88)&lt;=$B$2,INDEX(data!C$3:C$16128,SMALL(IF(data!$D$3:$D$16128='Обеля'!$B$1,ROW(data!$A$3:$A$16128)-ROW($A$3)+1),ROWS(A$4:A88))),"")</f>
        <v>46153</v>
      </c>
      <c r="B88" s="19" t="str">
        <f t="array" ref="B88">IF(ROWS(B$4:B88)&lt;=$B$2,INDEX(data!A$3:A$16128,SMALL(IF(data!$D$3:$D$16128='Обеля'!$B$1,ROW(data!$A$3:$A$16128)-ROW($A$3)+1),ROWS(B$4:B88))),"")</f>
        <v>КАСОВА КНИГА</v>
      </c>
      <c r="C88" s="19">
        <f t="array" ref="C88">IF(ROWS(C$4:C88)&lt;=$B$2,INDEX(data!B$3:B$16128,SMALL(IF(data!$D$3:$D$16128='Обеля'!$B$1,ROW(data!$A$3:$A$16128)-ROW($A$3)+1),ROWS(C$4:C88))),"")</f>
        <v>-3500</v>
      </c>
      <c r="D88" s="7" t="str">
        <f t="array" ref="D88">IF(ROWS(D$4:D88)&lt;=$B$2,INDEX(data!E$3:E$16128,SMALL(IF(data!$D$3:$D$16128='Обеля'!$B$1,ROW(data!$A$3:$A$16128)-ROW($A$3)+1),ROWS(D$4:D88))),"")</f>
        <v/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41">
        <f t="array" ref="A89">IF(ROWS(A$4:A89)&lt;=$B$2,INDEX(data!C$3:C$16128,SMALL(IF(data!$D$3:$D$16128='Обеля'!$B$1,ROW(data!$A$3:$A$16128)-ROW($A$3)+1),ROWS(A$4:A89))),"")</f>
        <v>46155</v>
      </c>
      <c r="B89" s="19" t="str">
        <f t="array" ref="B89">IF(ROWS(B$4:B89)&lt;=$B$2,INDEX(data!A$3:A$16128,SMALL(IF(data!$D$3:$D$16128='Обеля'!$B$1,ROW(data!$A$3:$A$16128)-ROW($A$3)+1),ROWS(B$4:B89))),"")</f>
        <v>КАСОВА КНИГА</v>
      </c>
      <c r="C89" s="19">
        <f t="array" ref="C89">IF(ROWS(C$4:C89)&lt;=$B$2,INDEX(data!B$3:B$16128,SMALL(IF(data!$D$3:$D$16128='Обеля'!$B$1,ROW(data!$A$3:$A$16128)-ROW($A$3)+1),ROWS(C$4:C89))),"")</f>
        <v>-1500</v>
      </c>
      <c r="D89" s="7" t="str">
        <f t="array" ref="D89">IF(ROWS(D$4:D89)&lt;=$B$2,INDEX(data!E$3:E$16128,SMALL(IF(data!$D$3:$D$16128='Обеля'!$B$1,ROW(data!$A$3:$A$16128)-ROW($A$3)+1),ROWS(D$4:D89))),"")</f>
        <v/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41">
        <f t="array" ref="A90">IF(ROWS(A$4:A90)&lt;=$B$2,INDEX(data!C$3:C$16128,SMALL(IF(data!$D$3:$D$16128='Обеля'!$B$1,ROW(data!$A$3:$A$16128)-ROW($A$3)+1),ROWS(A$4:A90))),"")</f>
        <v>46155</v>
      </c>
      <c r="B90" s="19" t="str">
        <f t="array" ref="B90">IF(ROWS(B$4:B90)&lt;=$B$2,INDEX(data!A$3:A$16128,SMALL(IF(data!$D$3:$D$16128='Обеля'!$B$1,ROW(data!$A$3:$A$16128)-ROW($A$3)+1),ROWS(B$4:B90))),"")</f>
        <v>КАСОВА КНИГА</v>
      </c>
      <c r="C90" s="19">
        <f t="array" ref="C90">IF(ROWS(C$4:C90)&lt;=$B$2,INDEX(data!B$3:B$16128,SMALL(IF(data!$D$3:$D$16128='Обеля'!$B$1,ROW(data!$A$3:$A$16128)-ROW($A$3)+1),ROWS(C$4:C90))),"")</f>
        <v>-100</v>
      </c>
      <c r="D90" s="7" t="str">
        <f t="array" ref="D90">IF(ROWS(D$4:D90)&lt;=$B$2,INDEX(data!E$3:E$16128,SMALL(IF(data!$D$3:$D$16128='Обеля'!$B$1,ROW(data!$A$3:$A$16128)-ROW($A$3)+1),ROWS(D$4:D90))),"")</f>
        <v>Нони от премиите</v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41">
        <f t="array" ref="A91">IF(ROWS(A$4:A91)&lt;=$B$2,INDEX(data!C$3:C$16128,SMALL(IF(data!$D$3:$D$16128='Обеля'!$B$1,ROW(data!$A$3:$A$16128)-ROW($A$3)+1),ROWS(A$4:A91))),"")</f>
        <v>46160</v>
      </c>
      <c r="B91" s="19" t="str">
        <f t="array" ref="B91">IF(ROWS(B$4:B91)&lt;=$B$2,INDEX(data!A$3:A$16128,SMALL(IF(data!$D$3:$D$16128='Обеля'!$B$1,ROW(data!$A$3:$A$16128)-ROW($A$3)+1),ROWS(B$4:B91))),"")</f>
        <v>MYPOS Бакалия</v>
      </c>
      <c r="C91" s="19">
        <f t="array" ref="C91">IF(ROWS(C$4:C91)&lt;=$B$2,INDEX(data!B$3:B$16128,SMALL(IF(data!$D$3:$D$16128='Обеля'!$B$1,ROW(data!$A$3:$A$16128)-ROW($A$3)+1),ROWS(C$4:C91))),"")</f>
        <v>-7288.11</v>
      </c>
      <c r="D91" s="7" t="str">
        <f t="array" ref="D91">IF(ROWS(D$4:D91)&lt;=$B$2,INDEX(data!E$3:E$16128,SMALL(IF(data!$D$3:$D$16128='Обеля'!$B$1,ROW(data!$A$3:$A$16128)-ROW($A$3)+1),ROWS(D$4:D91))),"")</f>
        <v/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41">
        <f t="array" ref="A92">IF(ROWS(A$4:A92)&lt;=$B$2,INDEX(data!C$3:C$16128,SMALL(IF(data!$D$3:$D$16128='Обеля'!$B$1,ROW(data!$A$3:$A$16128)-ROW($A$3)+1),ROWS(A$4:A92))),"")</f>
        <v>46160</v>
      </c>
      <c r="B92" s="19" t="str">
        <f t="array" ref="B92">IF(ROWS(B$4:B92)&lt;=$B$2,INDEX(data!A$3:A$16128,SMALL(IF(data!$D$3:$D$16128='Обеля'!$B$1,ROW(data!$A$3:$A$16128)-ROW($A$3)+1),ROWS(B$4:B92))),"")</f>
        <v>КАСОВА КНИГА</v>
      </c>
      <c r="C92" s="19">
        <f t="array" ref="C92">IF(ROWS(C$4:C92)&lt;=$B$2,INDEX(data!B$3:B$16128,SMALL(IF(data!$D$3:$D$16128='Обеля'!$B$1,ROW(data!$A$3:$A$16128)-ROW($A$3)+1),ROWS(C$4:C92))),"")</f>
        <v>-2000</v>
      </c>
      <c r="D92" s="7" t="str">
        <f t="array" ref="D92">IF(ROWS(D$4:D92)&lt;=$B$2,INDEX(data!E$3:E$16128,SMALL(IF(data!$D$3:$D$16128='Обеля'!$B$1,ROW(data!$A$3:$A$16128)-ROW($A$3)+1),ROWS(D$4:D92))),"")</f>
        <v/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41">
        <f t="array" ref="A93">IF(ROWS(A$4:A93)&lt;=$B$2,INDEX(data!C$3:C$16128,SMALL(IF(data!$D$3:$D$16128='Обеля'!$B$1,ROW(data!$A$3:$A$16128)-ROW($A$3)+1),ROWS(A$4:A93))),"")</f>
        <v>46162</v>
      </c>
      <c r="B93" s="19" t="str">
        <f t="array" ref="B93">IF(ROWS(B$4:B93)&lt;=$B$2,INDEX(data!A$3:A$16128,SMALL(IF(data!$D$3:$D$16128='Обеля'!$B$1,ROW(data!$A$3:$A$16128)-ROW($A$3)+1),ROWS(B$4:B93))),"")</f>
        <v>КАСОВА КНИГА</v>
      </c>
      <c r="C93" s="19">
        <f t="array" ref="C93">IF(ROWS(C$4:C93)&lt;=$B$2,INDEX(data!B$3:B$16128,SMALL(IF(data!$D$3:$D$16128='Обеля'!$B$1,ROW(data!$A$3:$A$16128)-ROW($A$3)+1),ROWS(C$4:C93))),"")</f>
        <v>-1000</v>
      </c>
      <c r="D93" s="7" t="str">
        <f t="array" ref="D93">IF(ROWS(D$4:D93)&lt;=$B$2,INDEX(data!E$3:E$16128,SMALL(IF(data!$D$3:$D$16128='Обеля'!$B$1,ROW(data!$A$3:$A$16128)-ROW($A$3)+1),ROWS(D$4:D93))),"")</f>
        <v/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41">
        <f t="array" ref="A94">IF(ROWS(A$4:A94)&lt;=$B$2,INDEX(data!C$3:C$16128,SMALL(IF(data!$D$3:$D$16128='Обеля'!$B$1,ROW(data!$A$3:$A$16128)-ROW($A$3)+1),ROWS(A$4:A94))),"")</f>
        <v>46162</v>
      </c>
      <c r="B94" s="19" t="str">
        <f t="array" ref="B94">IF(ROWS(B$4:B94)&lt;=$B$2,INDEX(data!A$3:A$16128,SMALL(IF(data!$D$3:$D$16128='Обеля'!$B$1,ROW(data!$A$3:$A$16128)-ROW($A$3)+1),ROWS(B$4:B94))),"")</f>
        <v>Каса ВАУЧЕРИ</v>
      </c>
      <c r="C94" s="19">
        <f t="array" ref="C94">IF(ROWS(C$4:C94)&lt;=$B$2,INDEX(data!B$3:B$16128,SMALL(IF(data!$D$3:$D$16128='Обеля'!$B$1,ROW(data!$A$3:$A$16128)-ROW($A$3)+1),ROWS(C$4:C94))),"")</f>
        <v>800</v>
      </c>
      <c r="D94" s="7" t="str">
        <f t="array" ref="D94">IF(ROWS(D$4:D94)&lt;=$B$2,INDEX(data!E$3:E$16128,SMALL(IF(data!$D$3:$D$16128='Обеля'!$B$1,ROW(data!$A$3:$A$16128)-ROW($A$3)+1),ROWS(D$4:D94))),"")</f>
        <v>ваучери персонал</v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41">
        <f t="array" ref="A95">IF(ROWS(A$4:A95)&lt;=$B$2,INDEX(data!C$3:C$16128,SMALL(IF(data!$D$3:$D$16128='Обеля'!$B$1,ROW(data!$A$3:$A$16128)-ROW($A$3)+1),ROWS(A$4:A95))),"")</f>
        <v>46163</v>
      </c>
      <c r="B95" s="19" t="str">
        <f t="array" ref="B95">IF(ROWS(B$4:B95)&lt;=$B$2,INDEX(data!A$3:A$16128,SMALL(IF(data!$D$3:$D$16128='Обеля'!$B$1,ROW(data!$A$3:$A$16128)-ROW($A$3)+1),ROWS(B$4:B95))),"")</f>
        <v>Каса ВАУЧЕРИ</v>
      </c>
      <c r="C95" s="19">
        <f t="array" ref="C95">IF(ROWS(C$4:C95)&lt;=$B$2,INDEX(data!B$3:B$16128,SMALL(IF(data!$D$3:$D$16128='Обеля'!$B$1,ROW(data!$A$3:$A$16128)-ROW($A$3)+1),ROWS(C$4:C95))),"")</f>
        <v>-146.23</v>
      </c>
      <c r="D95" s="7" t="str">
        <f t="array" ref="D95">IF(ROWS(D$4:D95)&lt;=$B$2,INDEX(data!E$3:E$16128,SMALL(IF(data!$D$3:$D$16128='Обеля'!$B$1,ROW(data!$A$3:$A$16128)-ROW($A$3)+1),ROWS(D$4:D95))),"")</f>
        <v/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41">
        <f t="array" ref="A96">IF(ROWS(A$4:A96)&lt;=$B$2,INDEX(data!C$3:C$16128,SMALL(IF(data!$D$3:$D$16128='Обеля'!$B$1,ROW(data!$A$3:$A$16128)-ROW($A$3)+1),ROWS(A$4:A96))),"")</f>
        <v>46167</v>
      </c>
      <c r="B96" s="19" t="str">
        <f t="array" ref="B96">IF(ROWS(B$4:B96)&lt;=$B$2,INDEX(data!A$3:A$16128,SMALL(IF(data!$D$3:$D$16128='Обеля'!$B$1,ROW(data!$A$3:$A$16128)-ROW($A$3)+1),ROWS(B$4:B96))),"")</f>
        <v>MYPOS Бакалия</v>
      </c>
      <c r="C96" s="19">
        <f t="array" ref="C96">IF(ROWS(C$4:C96)&lt;=$B$2,INDEX(data!B$3:B$16128,SMALL(IF(data!$D$3:$D$16128='Обеля'!$B$1,ROW(data!$A$3:$A$16128)-ROW($A$3)+1),ROWS(C$4:C96))),"")</f>
        <v>-6423.41</v>
      </c>
      <c r="D96" s="7" t="str">
        <f t="array" ref="D96">IF(ROWS(D$4:D96)&lt;=$B$2,INDEX(data!E$3:E$16128,SMALL(IF(data!$D$3:$D$16128='Обеля'!$B$1,ROW(data!$A$3:$A$16128)-ROW($A$3)+1),ROWS(D$4:D96))),"")</f>
        <v/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41">
        <f t="array" ref="A97">IF(ROWS(A$4:A97)&lt;=$B$2,INDEX(data!C$3:C$16128,SMALL(IF(data!$D$3:$D$16128='Обеля'!$B$1,ROW(data!$A$3:$A$16128)-ROW($A$3)+1),ROWS(A$4:A97))),"")</f>
        <v>46168</v>
      </c>
      <c r="B97" s="19" t="str">
        <f t="array" ref="B97">IF(ROWS(B$4:B97)&lt;=$B$2,INDEX(data!A$3:A$16128,SMALL(IF(data!$D$3:$D$16128='Обеля'!$B$1,ROW(data!$A$3:$A$16128)-ROW($A$3)+1),ROWS(B$4:B97))),"")</f>
        <v>КАСОВА КНИГА</v>
      </c>
      <c r="C97" s="19">
        <f t="array" ref="C97">IF(ROWS(C$4:C97)&lt;=$B$2,INDEX(data!B$3:B$16128,SMALL(IF(data!$D$3:$D$16128='Обеля'!$B$1,ROW(data!$A$3:$A$16128)-ROW($A$3)+1),ROWS(C$4:C97))),"")</f>
        <v>-2500</v>
      </c>
      <c r="D97" s="7" t="str">
        <f t="array" ref="D97">IF(ROWS(D$4:D97)&lt;=$B$2,INDEX(data!E$3:E$16128,SMALL(IF(data!$D$3:$D$16128='Обеля'!$B$1,ROW(data!$A$3:$A$16128)-ROW($A$3)+1),ROWS(D$4:D97))),"")</f>
        <v/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41">
        <f t="array" ref="A98">IF(ROWS(A$4:A98)&lt;=$B$2,INDEX(data!C$3:C$16128,SMALL(IF(data!$D$3:$D$16128='Обеля'!$B$1,ROW(data!$A$3:$A$16128)-ROW($A$3)+1),ROWS(A$4:A98))),"")</f>
        <v>46171</v>
      </c>
      <c r="B98" s="19" t="str">
        <f t="array" ref="B98">IF(ROWS(B$4:B98)&lt;=$B$2,INDEX(data!A$3:A$16128,SMALL(IF(data!$D$3:$D$16128='Обеля'!$B$1,ROW(data!$A$3:$A$16128)-ROW($A$3)+1),ROWS(B$4:B98))),"")</f>
        <v>КАСОВА КНИГА</v>
      </c>
      <c r="C98" s="19">
        <f t="array" ref="C98">IF(ROWS(C$4:C98)&lt;=$B$2,INDEX(data!B$3:B$16128,SMALL(IF(data!$D$3:$D$16128='Обеля'!$B$1,ROW(data!$A$3:$A$16128)-ROW($A$3)+1),ROWS(C$4:C98))),"")</f>
        <v>-2000</v>
      </c>
      <c r="D98" s="7" t="str">
        <f t="array" ref="D98">IF(ROWS(D$4:D98)&lt;=$B$2,INDEX(data!E$3:E$16128,SMALL(IF(data!$D$3:$D$16128='Обеля'!$B$1,ROW(data!$A$3:$A$16128)-ROW($A$3)+1),ROWS(D$4:D98))),"")</f>
        <v/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41">
        <f t="array" ref="A99">IF(ROWS(A$4:A99)&lt;=$B$2,INDEX(data!C$3:C$16128,SMALL(IF(data!$D$3:$D$16128='Обеля'!$B$1,ROW(data!$A$3:$A$16128)-ROW($A$3)+1),ROWS(A$4:A99))),"")</f>
        <v>46174</v>
      </c>
      <c r="B99" s="19" t="str">
        <f t="array" ref="B99">IF(ROWS(B$4:B99)&lt;=$B$2,INDEX(data!A$3:A$16128,SMALL(IF(data!$D$3:$D$16128='Обеля'!$B$1,ROW(data!$A$3:$A$16128)-ROW($A$3)+1),ROWS(B$4:B99))),"")</f>
        <v>MYPOS Бакалия</v>
      </c>
      <c r="C99" s="19">
        <f t="array" ref="C99">IF(ROWS(C$4:C99)&lt;=$B$2,INDEX(data!B$3:B$16128,SMALL(IF(data!$D$3:$D$16128='Обеля'!$B$1,ROW(data!$A$3:$A$16128)-ROW($A$3)+1),ROWS(C$4:C99))),"")</f>
        <v>-7139.41</v>
      </c>
      <c r="D99" s="7" t="str">
        <f t="array" ref="D99">IF(ROWS(D$4:D99)&lt;=$B$2,INDEX(data!E$3:E$16128,SMALL(IF(data!$D$3:$D$16128='Обеля'!$B$1,ROW(data!$A$3:$A$16128)-ROW($A$3)+1),ROWS(D$4:D99))),"")</f>
        <v/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41">
        <f t="array" ref="A100">IF(ROWS(A$4:A100)&lt;=$B$2,INDEX(data!C$3:C$16128,SMALL(IF(data!$D$3:$D$16128='Обеля'!$B$1,ROW(data!$A$3:$A$16128)-ROW($A$3)+1),ROWS(A$4:A100))),"")</f>
        <v>46174</v>
      </c>
      <c r="B100" s="19" t="str">
        <f t="array" ref="B100">IF(ROWS(B$4:B100)&lt;=$B$2,INDEX(data!A$3:A$16128,SMALL(IF(data!$D$3:$D$16128='Обеля'!$B$1,ROW(data!$A$3:$A$16128)-ROW($A$3)+1),ROWS(B$4:B100))),"")</f>
        <v>КАСОВА КНИГА</v>
      </c>
      <c r="C100" s="19">
        <f t="array" ref="C100">IF(ROWS(C$4:C100)&lt;=$B$2,INDEX(data!B$3:B$16128,SMALL(IF(data!$D$3:$D$16128='Обеля'!$B$1,ROW(data!$A$3:$A$16128)-ROW($A$3)+1),ROWS(C$4:C100))),"")</f>
        <v>-3000</v>
      </c>
      <c r="D100" s="7" t="str">
        <f t="array" ref="D100">IF(ROWS(D$4:D100)&lt;=$B$2,INDEX(data!E$3:E$16128,SMALL(IF(data!$D$3:$D$16128='Обеля'!$B$1,ROW(data!$A$3:$A$16128)-ROW($A$3)+1),ROWS(D$4:D100))),"")</f>
        <v/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41">
        <f t="array" ref="A101">IF(ROWS(A$4:A101)&lt;=$B$2,INDEX(data!C$3:C$16128,SMALL(IF(data!$D$3:$D$16128='Обеля'!$B$1,ROW(data!$A$3:$A$16128)-ROW($A$3)+1),ROWS(A$4:A101))),"")</f>
        <v>46174</v>
      </c>
      <c r="B101" s="19" t="str">
        <f t="array" ref="B101">IF(ROWS(B$4:B101)&lt;=$B$2,INDEX(data!A$3:A$16128,SMALL(IF(data!$D$3:$D$16128='Обеля'!$B$1,ROW(data!$A$3:$A$16128)-ROW($A$3)+1),ROWS(B$4:B101))),"")</f>
        <v>каса ФИКТИВНА</v>
      </c>
      <c r="C101" s="19">
        <f t="array" ref="C101">IF(ROWS(C$4:C101)&lt;=$B$2,INDEX(data!B$3:B$16128,SMALL(IF(data!$D$3:$D$16128='Обеля'!$B$1,ROW(data!$A$3:$A$16128)-ROW($A$3)+1),ROWS(C$4:C101))),"")</f>
        <v>-500</v>
      </c>
      <c r="D101" s="7" t="str">
        <f t="array" ref="D101">IF(ROWS(D$4:D101)&lt;=$B$2,INDEX(data!E$3:E$16128,SMALL(IF(data!$D$3:$D$16128='Обеля'!$B$1,ROW(data!$A$3:$A$16128)-ROW($A$3)+1),ROWS(D$4:D101))),"")</f>
        <v>Ния от заплатата</v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41">
        <f t="array" ref="A102">IF(ROWS(A$4:A102)&lt;=$B$2,INDEX(data!C$3:C$16128,SMALL(IF(data!$D$3:$D$16128='Обеля'!$B$1,ROW(data!$A$3:$A$16128)-ROW($A$3)+1),ROWS(A$4:A102))),"")</f>
        <v>46176</v>
      </c>
      <c r="B102" s="19" t="str">
        <f t="array" ref="B102">IF(ROWS(B$4:B102)&lt;=$B$2,INDEX(data!A$3:A$16128,SMALL(IF(data!$D$3:$D$16128='Обеля'!$B$1,ROW(data!$A$3:$A$16128)-ROW($A$3)+1),ROWS(B$4:B102))),"")</f>
        <v>Каса ВАУЧЕРИ</v>
      </c>
      <c r="C102" s="19">
        <f t="array" ref="C102">IF(ROWS(C$4:C102)&lt;=$B$2,INDEX(data!B$3:B$16128,SMALL(IF(data!$D$3:$D$16128='Обеля'!$B$1,ROW(data!$A$3:$A$16128)-ROW($A$3)+1),ROWS(C$4:C102))),"")</f>
        <v>-343.6</v>
      </c>
      <c r="D102" s="7" t="str">
        <f t="array" ref="D102">IF(ROWS(D$4:D102)&lt;=$B$2,INDEX(data!E$3:E$16128,SMALL(IF(data!$D$3:$D$16128='Обеля'!$B$1,ROW(data!$A$3:$A$16128)-ROW($A$3)+1),ROWS(D$4:D102))),"")</f>
        <v>към 25.05</v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41">
        <f t="array" ref="A103">IF(ROWS(A$4:A103)&lt;=$B$2,INDEX(data!C$3:C$16128,SMALL(IF(data!$D$3:$D$16128='Обеля'!$B$1,ROW(data!$A$3:$A$16128)-ROW($A$3)+1),ROWS(A$4:A103))),"")</f>
        <v>46181</v>
      </c>
      <c r="B103" s="19" t="str">
        <f t="array" ref="B103">IF(ROWS(B$4:B103)&lt;=$B$2,INDEX(data!A$3:A$16128,SMALL(IF(data!$D$3:$D$16128='Обеля'!$B$1,ROW(data!$A$3:$A$16128)-ROW($A$3)+1),ROWS(B$4:B103))),"")</f>
        <v>КАСОВА КНИГА</v>
      </c>
      <c r="C103" s="19">
        <f t="array" ref="C103">IF(ROWS(C$4:C103)&lt;=$B$2,INDEX(data!B$3:B$16128,SMALL(IF(data!$D$3:$D$16128='Обеля'!$B$1,ROW(data!$A$3:$A$16128)-ROW($A$3)+1),ROWS(C$4:C103))),"")</f>
        <v>-3500</v>
      </c>
      <c r="D103" s="7" t="str">
        <f t="array" ref="D103">IF(ROWS(D$4:D103)&lt;=$B$2,INDEX(data!E$3:E$16128,SMALL(IF(data!$D$3:$D$16128='Обеля'!$B$1,ROW(data!$A$3:$A$16128)-ROW($A$3)+1),ROWS(D$4:D103))),"")</f>
        <v/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41">
        <f t="array" ref="A104">IF(ROWS(A$4:A104)&lt;=$B$2,INDEX(data!C$3:C$16128,SMALL(IF(data!$D$3:$D$16128='Обеля'!$B$1,ROW(data!$A$3:$A$16128)-ROW($A$3)+1),ROWS(A$4:A104))),"")</f>
        <v>46182</v>
      </c>
      <c r="B104" s="19" t="str">
        <f t="array" ref="B104">IF(ROWS(B$4:B104)&lt;=$B$2,INDEX(data!A$3:A$16128,SMALL(IF(data!$D$3:$D$16128='Обеля'!$B$1,ROW(data!$A$3:$A$16128)-ROW($A$3)+1),ROWS(B$4:B104))),"")</f>
        <v>MYPOS Бакалия</v>
      </c>
      <c r="C104" s="19">
        <f t="array" ref="C104">IF(ROWS(C$4:C104)&lt;=$B$2,INDEX(data!B$3:B$16128,SMALL(IF(data!$D$3:$D$16128='Обеля'!$B$1,ROW(data!$A$3:$A$16128)-ROW($A$3)+1),ROWS(C$4:C104))),"")</f>
        <v>-7383.08</v>
      </c>
      <c r="D104" s="7" t="str">
        <f t="array" ref="D104">IF(ROWS(D$4:D104)&lt;=$B$2,INDEX(data!E$3:E$16128,SMALL(IF(data!$D$3:$D$16128='Обеля'!$B$1,ROW(data!$A$3:$A$16128)-ROW($A$3)+1),ROWS(D$4:D104))),"")</f>
        <v/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41">
        <f t="array" ref="A105">IF(ROWS(A$4:A105)&lt;=$B$2,INDEX(data!C$3:C$16128,SMALL(IF(data!$D$3:$D$16128='Обеля'!$B$1,ROW(data!$A$3:$A$16128)-ROW($A$3)+1),ROWS(A$4:A105))),"")</f>
        <v>46185</v>
      </c>
      <c r="B105" s="19" t="str">
        <f t="array" ref="B105">IF(ROWS(B$4:B105)&lt;=$B$2,INDEX(data!A$3:A$16128,SMALL(IF(data!$D$3:$D$16128='Обеля'!$B$1,ROW(data!$A$3:$A$16128)-ROW($A$3)+1),ROWS(B$4:B105))),"")</f>
        <v>КАСОВА КНИГА</v>
      </c>
      <c r="C105" s="19">
        <f t="array" ref="C105">IF(ROWS(C$4:C105)&lt;=$B$2,INDEX(data!B$3:B$16128,SMALL(IF(data!$D$3:$D$16128='Обеля'!$B$1,ROW(data!$A$3:$A$16128)-ROW($A$3)+1),ROWS(C$4:C105))),"")</f>
        <v>-500</v>
      </c>
      <c r="D105" s="7" t="str">
        <f t="array" ref="D105">IF(ROWS(D$4:D105)&lt;=$B$2,INDEX(data!E$3:E$16128,SMALL(IF(data!$D$3:$D$16128='Обеля'!$B$1,ROW(data!$A$3:$A$16128)-ROW($A$3)+1),ROWS(D$4:D105))),"")</f>
        <v/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41">
        <f t="array" ref="A106">IF(ROWS(A$4:A106)&lt;=$B$2,INDEX(data!C$3:C$16128,SMALL(IF(data!$D$3:$D$16128='Обеля'!$B$1,ROW(data!$A$3:$A$16128)-ROW($A$3)+1),ROWS(A$4:A106))),"")</f>
        <v>46188</v>
      </c>
      <c r="B106" s="19" t="str">
        <f t="array" ref="B106">IF(ROWS(B$4:B106)&lt;=$B$2,INDEX(data!A$3:A$16128,SMALL(IF(data!$D$3:$D$16128='Обеля'!$B$1,ROW(data!$A$3:$A$16128)-ROW($A$3)+1),ROWS(B$4:B106))),"")</f>
        <v>MYPOS Бакалия</v>
      </c>
      <c r="C106" s="19">
        <f t="array" ref="C106">IF(ROWS(C$4:C106)&lt;=$B$2,INDEX(data!B$3:B$16128,SMALL(IF(data!$D$3:$D$16128='Обеля'!$B$1,ROW(data!$A$3:$A$16128)-ROW($A$3)+1),ROWS(C$4:C106))),"")</f>
        <v>-7315.16</v>
      </c>
      <c r="D106" s="7" t="str">
        <f t="array" ref="D106">IF(ROWS(D$4:D106)&lt;=$B$2,INDEX(data!E$3:E$16128,SMALL(IF(data!$D$3:$D$16128='Обеля'!$B$1,ROW(data!$A$3:$A$16128)-ROW($A$3)+1),ROWS(D$4:D106))),"")</f>
        <v/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41">
        <f t="array" ref="A107">IF(ROWS(A$4:A107)&lt;=$B$2,INDEX(data!C$3:C$16128,SMALL(IF(data!$D$3:$D$16128='Обеля'!$B$1,ROW(data!$A$3:$A$16128)-ROW($A$3)+1),ROWS(A$4:A107))),"")</f>
        <v>46188</v>
      </c>
      <c r="B107" s="19" t="str">
        <f t="array" ref="B107">IF(ROWS(B$4:B107)&lt;=$B$2,INDEX(data!A$3:A$16128,SMALL(IF(data!$D$3:$D$16128='Обеля'!$B$1,ROW(data!$A$3:$A$16128)-ROW($A$3)+1),ROWS(B$4:B107))),"")</f>
        <v>КАСОВА КНИГА</v>
      </c>
      <c r="C107" s="19">
        <f t="array" ref="C107">IF(ROWS(C$4:C107)&lt;=$B$2,INDEX(data!B$3:B$16128,SMALL(IF(data!$D$3:$D$16128='Обеля'!$B$1,ROW(data!$A$3:$A$16128)-ROW($A$3)+1),ROWS(C$4:C107))),"")</f>
        <v>-2500</v>
      </c>
      <c r="D107" s="7" t="str">
        <f t="array" ref="D107">IF(ROWS(D$4:D107)&lt;=$B$2,INDEX(data!E$3:E$16128,SMALL(IF(data!$D$3:$D$16128='Обеля'!$B$1,ROW(data!$A$3:$A$16128)-ROW($A$3)+1),ROWS(D$4:D107))),"")</f>
        <v/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41">
        <f t="array" ref="A108">IF(ROWS(A$4:A108)&lt;=$B$2,INDEX(data!C$3:C$16128,SMALL(IF(data!$D$3:$D$16128='Обеля'!$B$1,ROW(data!$A$3:$A$16128)-ROW($A$3)+1),ROWS(A$4:A108))),"")</f>
        <v>46188</v>
      </c>
      <c r="B108" s="19" t="str">
        <f t="array" ref="B108">IF(ROWS(B$4:B108)&lt;=$B$2,INDEX(data!A$3:A$16128,SMALL(IF(data!$D$3:$D$16128='Обеля'!$B$1,ROW(data!$A$3:$A$16128)-ROW($A$3)+1),ROWS(B$4:B108))),"")</f>
        <v>ЗАЕМ</v>
      </c>
      <c r="C108" s="19">
        <f t="array" ref="C108">IF(ROWS(C$4:C108)&lt;=$B$2,INDEX(data!B$3:B$16128,SMALL(IF(data!$D$3:$D$16128='Обеля'!$B$1,ROW(data!$A$3:$A$16128)-ROW($A$3)+1),ROWS(C$4:C108))),"")</f>
        <v>60407.7</v>
      </c>
      <c r="D108" s="7" t="str">
        <f t="array" ref="D108">IF(ROWS(D$4:D108)&lt;=$B$2,INDEX(data!E$3:E$16128,SMALL(IF(data!$D$3:$D$16128='Обеля'!$B$1,ROW(data!$A$3:$A$16128)-ROW($A$3)+1),ROWS(D$4:D108))),"")</f>
        <v>Салдо склад + вътр. п-не</v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41">
        <f t="array" ref="A109">IF(ROWS(A$4:A109)&lt;=$B$2,INDEX(data!C$3:C$16128,SMALL(IF(data!$D$3:$D$16128='Обеля'!$B$1,ROW(data!$A$3:$A$16128)-ROW($A$3)+1),ROWS(A$4:A109))),"")</f>
        <v>46190</v>
      </c>
      <c r="B109" s="19" t="str">
        <f t="array" ref="B109">IF(ROWS(B$4:B109)&lt;=$B$2,INDEX(data!A$3:A$16128,SMALL(IF(data!$D$3:$D$16128='Обеля'!$B$1,ROW(data!$A$3:$A$16128)-ROW($A$3)+1),ROWS(B$4:B109))),"")</f>
        <v>КАСОВА КНИГА</v>
      </c>
      <c r="C109" s="19">
        <f t="array" ref="C109">IF(ROWS(C$4:C109)&lt;=$B$2,INDEX(data!B$3:B$16128,SMALL(IF(data!$D$3:$D$16128='Обеля'!$B$1,ROW(data!$A$3:$A$16128)-ROW($A$3)+1),ROWS(C$4:C109))),"")</f>
        <v>-1500</v>
      </c>
      <c r="D109" s="7" t="str">
        <f t="array" ref="D109">IF(ROWS(D$4:D109)&lt;=$B$2,INDEX(data!E$3:E$16128,SMALL(IF(data!$D$3:$D$16128='Обеля'!$B$1,ROW(data!$A$3:$A$16128)-ROW($A$3)+1),ROWS(D$4:D109))),"")</f>
        <v/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41">
        <f t="array" ref="A110">IF(ROWS(A$4:A110)&lt;=$B$2,INDEX(data!C$3:C$16128,SMALL(IF(data!$D$3:$D$16128='Обеля'!$B$1,ROW(data!$A$3:$A$16128)-ROW($A$3)+1),ROWS(A$4:A110))),"")</f>
        <v>46190</v>
      </c>
      <c r="B110" s="19" t="str">
        <f t="array" ref="B110">IF(ROWS(B$4:B110)&lt;=$B$2,INDEX(data!A$3:A$16128,SMALL(IF(data!$D$3:$D$16128='Обеля'!$B$1,ROW(data!$A$3:$A$16128)-ROW($A$3)+1),ROWS(B$4:B110))),"")</f>
        <v>Каса ВАУЧЕРИ</v>
      </c>
      <c r="C110" s="19">
        <f t="array" ref="C110">IF(ROWS(C$4:C110)&lt;=$B$2,INDEX(data!B$3:B$16128,SMALL(IF(data!$D$3:$D$16128='Обеля'!$B$1,ROW(data!$A$3:$A$16128)-ROW($A$3)+1),ROWS(C$4:C110))),"")</f>
        <v>-71</v>
      </c>
      <c r="D110" s="7" t="str">
        <f t="array" ref="D110">IF(ROWS(D$4:D110)&lt;=$B$2,INDEX(data!E$3:E$16128,SMALL(IF(data!$D$3:$D$16128='Обеля'!$B$1,ROW(data!$A$3:$A$16128)-ROW($A$3)+1),ROWS(D$4:D110))),"")</f>
        <v>за 01-07.06</v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41">
        <f t="array" ref="A111">IF(ROWS(A$4:A111)&lt;=$B$2,INDEX(data!C$3:C$16128,SMALL(IF(data!$D$3:$D$16128='Обеля'!$B$1,ROW(data!$A$3:$A$16128)-ROW($A$3)+1),ROWS(A$4:A111))),"")</f>
        <v>46191</v>
      </c>
      <c r="B111" s="19" t="str">
        <f t="array" ref="B111">IF(ROWS(B$4:B111)&lt;=$B$2,INDEX(data!A$3:A$16128,SMALL(IF(data!$D$3:$D$16128='Обеля'!$B$1,ROW(data!$A$3:$A$16128)-ROW($A$3)+1),ROWS(B$4:B111))),"")</f>
        <v>каса ФИКТИВНА</v>
      </c>
      <c r="C111" s="19">
        <f t="array" ref="C111">IF(ROWS(C$4:C111)&lt;=$B$2,INDEX(data!B$3:B$16128,SMALL(IF(data!$D$3:$D$16128='Обеля'!$B$1,ROW(data!$A$3:$A$16128)-ROW($A$3)+1),ROWS(C$4:C111))),"")</f>
        <v>-300</v>
      </c>
      <c r="D111" s="7" t="str">
        <f t="array" ref="D111">IF(ROWS(D$4:D111)&lt;=$B$2,INDEX(data!E$3:E$16128,SMALL(IF(data!$D$3:$D$16128='Обеля'!$B$1,ROW(data!$A$3:$A$16128)-ROW($A$3)+1),ROWS(D$4:D111))),"")</f>
        <v>Нони от премиите</v>
      </c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41">
        <f t="array" ref="A112">IF(ROWS(A$4:A112)&lt;=$B$2,INDEX(data!C$3:C$16128,SMALL(IF(data!$D$3:$D$16128='Обеля'!$B$1,ROW(data!$A$3:$A$16128)-ROW($A$3)+1),ROWS(A$4:A112))),"")</f>
        <v>46192</v>
      </c>
      <c r="B112" s="19" t="str">
        <f t="array" ref="B112">IF(ROWS(B$4:B112)&lt;=$B$2,INDEX(data!A$3:A$16128,SMALL(IF(data!$D$3:$D$16128='Обеля'!$B$1,ROW(data!$A$3:$A$16128)-ROW($A$3)+1),ROWS(B$4:B112))),"")</f>
        <v>Каса ВАУЧЕРИ</v>
      </c>
      <c r="C112" s="19">
        <f t="array" ref="C112">IF(ROWS(C$4:C112)&lt;=$B$2,INDEX(data!B$3:B$16128,SMALL(IF(data!$D$3:$D$16128='Обеля'!$B$1,ROW(data!$A$3:$A$16128)-ROW($A$3)+1),ROWS(C$4:C112))),"")</f>
        <v>800</v>
      </c>
      <c r="D112" s="7" t="str">
        <f t="array" ref="D112">IF(ROWS(D$4:D112)&lt;=$B$2,INDEX(data!E$3:E$16128,SMALL(IF(data!$D$3:$D$16128='Обеля'!$B$1,ROW(data!$A$3:$A$16128)-ROW($A$3)+1),ROWS(D$4:D112))),"")</f>
        <v>ваучери персонал</v>
      </c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41">
        <f t="array" ref="A113">IF(ROWS(A$4:A113)&lt;=$B$2,INDEX(data!C$3:C$16128,SMALL(IF(data!$D$3:$D$16128='Обеля'!$B$1,ROW(data!$A$3:$A$16128)-ROW($A$3)+1),ROWS(A$4:A113))),"")</f>
        <v>46195</v>
      </c>
      <c r="B113" s="19" t="str">
        <f t="array" ref="B113">IF(ROWS(B$4:B113)&lt;=$B$2,INDEX(data!A$3:A$16128,SMALL(IF(data!$D$3:$D$16128='Обеля'!$B$1,ROW(data!$A$3:$A$16128)-ROW($A$3)+1),ROWS(B$4:B113))),"")</f>
        <v>MYPOS Бакалия</v>
      </c>
      <c r="C113" s="19">
        <f t="array" ref="C113">IF(ROWS(C$4:C113)&lt;=$B$2,INDEX(data!B$3:B$16128,SMALL(IF(data!$D$3:$D$16128='Обеля'!$B$1,ROW(data!$A$3:$A$16128)-ROW($A$3)+1),ROWS(C$4:C113))),"")</f>
        <v>-3318.2</v>
      </c>
      <c r="D113" s="7" t="str">
        <f t="array" ref="D113">IF(ROWS(D$4:D113)&lt;=$B$2,INDEX(data!E$3:E$16128,SMALL(IF(data!$D$3:$D$16128='Обеля'!$B$1,ROW(data!$A$3:$A$16128)-ROW($A$3)+1),ROWS(D$4:D113))),"")</f>
        <v/>
      </c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41">
        <f t="array" ref="A114">IF(ROWS(A$4:A114)&lt;=$B$2,INDEX(data!C$3:C$16128,SMALL(IF(data!$D$3:$D$16128='Обеля'!$B$1,ROW(data!$A$3:$A$16128)-ROW($A$3)+1),ROWS(A$4:A114))),"")</f>
        <v>46195</v>
      </c>
      <c r="B114" s="19" t="str">
        <f t="array" ref="B114">IF(ROWS(B$4:B114)&lt;=$B$2,INDEX(data!A$3:A$16128,SMALL(IF(data!$D$3:$D$16128='Обеля'!$B$1,ROW(data!$A$3:$A$16128)-ROW($A$3)+1),ROWS(B$4:B114))),"")</f>
        <v>КАСОВА КНИГА</v>
      </c>
      <c r="C114" s="19">
        <f t="array" ref="C114">IF(ROWS(C$4:C114)&lt;=$B$2,INDEX(data!B$3:B$16128,SMALL(IF(data!$D$3:$D$16128='Обеля'!$B$1,ROW(data!$A$3:$A$16128)-ROW($A$3)+1),ROWS(C$4:C114))),"")</f>
        <v>-2700</v>
      </c>
      <c r="D114" s="7" t="str">
        <f t="array" ref="D114">IF(ROWS(D$4:D114)&lt;=$B$2,INDEX(data!E$3:E$16128,SMALL(IF(data!$D$3:$D$16128='Обеля'!$B$1,ROW(data!$A$3:$A$16128)-ROW($A$3)+1),ROWS(D$4:D114))),"")</f>
        <v/>
      </c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41">
        <f t="array" ref="A115">IF(ROWS(A$4:A115)&lt;=$B$2,INDEX(data!C$3:C$16128,SMALL(IF(data!$D$3:$D$16128='Обеля'!$B$1,ROW(data!$A$3:$A$16128)-ROW($A$3)+1),ROWS(A$4:A115))),"")</f>
        <v>46195</v>
      </c>
      <c r="B115" s="19" t="str">
        <f t="array" ref="B115">IF(ROWS(B$4:B115)&lt;=$B$2,INDEX(data!A$3:A$16128,SMALL(IF(data!$D$3:$D$16128='Обеля'!$B$1,ROW(data!$A$3:$A$16128)-ROW($A$3)+1),ROWS(B$4:B115))),"")</f>
        <v>ПОС ДСК Бакалия</v>
      </c>
      <c r="C115" s="19">
        <f t="array" ref="C115">IF(ROWS(C$4:C115)&lt;=$B$2,INDEX(data!B$3:B$16128,SMALL(IF(data!$D$3:$D$16128='Обеля'!$B$1,ROW(data!$A$3:$A$16128)-ROW($A$3)+1),ROWS(C$4:C115))),"")</f>
        <v>-2723.83</v>
      </c>
      <c r="D115" s="7" t="str">
        <f t="array" ref="D115">IF(ROWS(D$4:D115)&lt;=$B$2,INDEX(data!E$3:E$16128,SMALL(IF(data!$D$3:$D$16128='Обеля'!$B$1,ROW(data!$A$3:$A$16128)-ROW($A$3)+1),ROWS(D$4:D115))),"")</f>
        <v/>
      </c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41">
        <f t="array" ref="A116">IF(ROWS(A$4:A116)&lt;=$B$2,INDEX(data!C$3:C$16128,SMALL(IF(data!$D$3:$D$16128='Обеля'!$B$1,ROW(data!$A$3:$A$16128)-ROW($A$3)+1),ROWS(A$4:A116))),"")</f>
        <v>46197</v>
      </c>
      <c r="B116" s="19" t="str">
        <f t="array" ref="B116">IF(ROWS(B$4:B116)&lt;=$B$2,INDEX(data!A$3:A$16128,SMALL(IF(data!$D$3:$D$16128='Обеля'!$B$1,ROW(data!$A$3:$A$16128)-ROW($A$3)+1),ROWS(B$4:B116))),"")</f>
        <v>Каса ВАУЧЕРИ</v>
      </c>
      <c r="C116" s="19">
        <f t="array" ref="C116">IF(ROWS(C$4:C116)&lt;=$B$2,INDEX(data!B$3:B$16128,SMALL(IF(data!$D$3:$D$16128='Обеля'!$B$1,ROW(data!$A$3:$A$16128)-ROW($A$3)+1),ROWS(C$4:C116))),"")</f>
        <v>-69</v>
      </c>
      <c r="D116" s="7" t="str">
        <f t="array" ref="D116">IF(ROWS(D$4:D116)&lt;=$B$2,INDEX(data!E$3:E$16128,SMALL(IF(data!$D$3:$D$16128='Обеля'!$B$1,ROW(data!$A$3:$A$16128)-ROW($A$3)+1),ROWS(D$4:D116))),"")</f>
        <v/>
      </c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41">
        <f t="array" ref="A117">IF(ROWS(A$4:A117)&lt;=$B$2,INDEX(data!C$3:C$16128,SMALL(IF(data!$D$3:$D$16128='Обеля'!$B$1,ROW(data!$A$3:$A$16128)-ROW($A$3)+1),ROWS(A$4:A117))),"")</f>
        <v>46202</v>
      </c>
      <c r="B117" s="19" t="str">
        <f t="array" ref="B117">IF(ROWS(B$4:B117)&lt;=$B$2,INDEX(data!A$3:A$16128,SMALL(IF(data!$D$3:$D$16128='Обеля'!$B$1,ROW(data!$A$3:$A$16128)-ROW($A$3)+1),ROWS(B$4:B117))),"")</f>
        <v>MYPOS Бакалия</v>
      </c>
      <c r="C117" s="19">
        <f t="array" ref="C117">IF(ROWS(C$4:C117)&lt;=$B$2,INDEX(data!B$3:B$16128,SMALL(IF(data!$D$3:$D$16128='Обеля'!$B$1,ROW(data!$A$3:$A$16128)-ROW($A$3)+1),ROWS(C$4:C117))),"")</f>
        <v>-6756.03</v>
      </c>
      <c r="D117" s="7" t="str">
        <f t="array" ref="D117">IF(ROWS(D$4:D117)&lt;=$B$2,INDEX(data!E$3:E$16128,SMALL(IF(data!$D$3:$D$16128='Обеля'!$B$1,ROW(data!$A$3:$A$16128)-ROW($A$3)+1),ROWS(D$4:D117))),"")</f>
        <v/>
      </c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41">
        <f t="array" ref="A118">IF(ROWS(A$4:A118)&lt;=$B$2,INDEX(data!C$3:C$16128,SMALL(IF(data!$D$3:$D$16128='Обеля'!$B$1,ROW(data!$A$3:$A$16128)-ROW($A$3)+1),ROWS(A$4:A118))),"")</f>
        <v>46202</v>
      </c>
      <c r="B118" s="19" t="str">
        <f t="array" ref="B118">IF(ROWS(B$4:B118)&lt;=$B$2,INDEX(data!A$3:A$16128,SMALL(IF(data!$D$3:$D$16128='Обеля'!$B$1,ROW(data!$A$3:$A$16128)-ROW($A$3)+1),ROWS(B$4:B118))),"")</f>
        <v>КАСОВА КНИГА</v>
      </c>
      <c r="C118" s="19">
        <f t="array" ref="C118">IF(ROWS(C$4:C118)&lt;=$B$2,INDEX(data!B$3:B$16128,SMALL(IF(data!$D$3:$D$16128='Обеля'!$B$1,ROW(data!$A$3:$A$16128)-ROW($A$3)+1),ROWS(C$4:C118))),"")</f>
        <v>-2000</v>
      </c>
      <c r="D118" s="7" t="str">
        <f t="array" ref="D118">IF(ROWS(D$4:D118)&lt;=$B$2,INDEX(data!E$3:E$16128,SMALL(IF(data!$D$3:$D$16128='Обеля'!$B$1,ROW(data!$A$3:$A$16128)-ROW($A$3)+1),ROWS(D$4:D118))),"")</f>
        <v/>
      </c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41">
        <f t="array" ref="A119">IF(ROWS(A$4:A119)&lt;=$B$2,INDEX(data!C$3:C$16128,SMALL(IF(data!$D$3:$D$16128='Обеля'!$B$1,ROW(data!$A$3:$A$16128)-ROW($A$3)+1),ROWS(A$4:A119))),"")</f>
        <v>46202</v>
      </c>
      <c r="B119" s="19" t="str">
        <f t="array" ref="B119">IF(ROWS(B$4:B119)&lt;=$B$2,INDEX(data!A$3:A$16128,SMALL(IF(data!$D$3:$D$16128='Обеля'!$B$1,ROW(data!$A$3:$A$16128)-ROW($A$3)+1),ROWS(B$4:B119))),"")</f>
        <v>ПОС ДСК Бакалия</v>
      </c>
      <c r="C119" s="19">
        <f t="array" ref="C119">IF(ROWS(C$4:C119)&lt;=$B$2,INDEX(data!B$3:B$16128,SMALL(IF(data!$D$3:$D$16128='Обеля'!$B$1,ROW(data!$A$3:$A$16128)-ROW($A$3)+1),ROWS(C$4:C119))),"")</f>
        <v>-992.78</v>
      </c>
      <c r="D119" s="7" t="str">
        <f t="array" ref="D119">IF(ROWS(D$4:D119)&lt;=$B$2,INDEX(data!E$3:E$16128,SMALL(IF(data!$D$3:$D$16128='Обеля'!$B$1,ROW(data!$A$3:$A$16128)-ROW($A$3)+1),ROWS(D$4:D119))),"")</f>
        <v/>
      </c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41">
        <f t="array" ref="A120">IF(ROWS(A$4:A120)&lt;=$B$2,INDEX(data!C$3:C$16128,SMALL(IF(data!$D$3:$D$16128='Обеля'!$B$1,ROW(data!$A$3:$A$16128)-ROW($A$3)+1),ROWS(A$4:A120))),"")</f>
        <v>46204</v>
      </c>
      <c r="B120" s="19" t="str">
        <f t="array" ref="B120">IF(ROWS(B$4:B120)&lt;=$B$2,INDEX(data!A$3:A$16128,SMALL(IF(data!$D$3:$D$16128='Обеля'!$B$1,ROW(data!$A$3:$A$16128)-ROW($A$3)+1),ROWS(B$4:B120))),"")</f>
        <v>КАСОВА КНИГА</v>
      </c>
      <c r="C120" s="19">
        <f t="array" ref="C120">IF(ROWS(C$4:C120)&lt;=$B$2,INDEX(data!B$3:B$16128,SMALL(IF(data!$D$3:$D$16128='Обеля'!$B$1,ROW(data!$A$3:$A$16128)-ROW($A$3)+1),ROWS(C$4:C120))),"")</f>
        <v>-550</v>
      </c>
      <c r="D120" s="7" t="str">
        <f t="array" ref="D120">IF(ROWS(D$4:D120)&lt;=$B$2,INDEX(data!E$3:E$16128,SMALL(IF(data!$D$3:$D$16128='Обеля'!$B$1,ROW(data!$A$3:$A$16128)-ROW($A$3)+1),ROWS(D$4:D120))),"")</f>
        <v/>
      </c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41">
        <f t="array" ref="A121">IF(ROWS(A$4:A121)&lt;=$B$2,INDEX(data!C$3:C$16128,SMALL(IF(data!$D$3:$D$16128='Обеля'!$B$1,ROW(data!$A$3:$A$16128)-ROW($A$3)+1),ROWS(A$4:A121))),"")</f>
        <v>46206</v>
      </c>
      <c r="B121" s="19" t="str">
        <f t="array" ref="B121">IF(ROWS(B$4:B121)&lt;=$B$2,INDEX(data!A$3:A$16128,SMALL(IF(data!$D$3:$D$16128='Обеля'!$B$1,ROW(data!$A$3:$A$16128)-ROW($A$3)+1),ROWS(B$4:B121))),"")</f>
        <v>каса ФИКТИВНА</v>
      </c>
      <c r="C121" s="19">
        <f t="array" ref="C121">IF(ROWS(C$4:C121)&lt;=$B$2,INDEX(data!B$3:B$16128,SMALL(IF(data!$D$3:$D$16128='Обеля'!$B$1,ROW(data!$A$3:$A$16128)-ROW($A$3)+1),ROWS(C$4:C121))),"")</f>
        <v>-150</v>
      </c>
      <c r="D121" s="7" t="str">
        <f t="array" ref="D121">IF(ROWS(D$4:D121)&lt;=$B$2,INDEX(data!E$3:E$16128,SMALL(IF(data!$D$3:$D$16128='Обеля'!$B$1,ROW(data!$A$3:$A$16128)-ROW($A$3)+1),ROWS(D$4:D121))),"")</f>
        <v>Нони от премиите</v>
      </c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41">
        <f t="array" ref="A122">IF(ROWS(A$4:A122)&lt;=$B$2,INDEX(data!C$3:C$16128,SMALL(IF(data!$D$3:$D$16128='Обеля'!$B$1,ROW(data!$A$3:$A$16128)-ROW($A$3)+1),ROWS(A$4:A122))),"")</f>
        <v>46209</v>
      </c>
      <c r="B122" s="19" t="str">
        <f t="array" ref="B122">IF(ROWS(B$4:B122)&lt;=$B$2,INDEX(data!A$3:A$16128,SMALL(IF(data!$D$3:$D$16128='Обеля'!$B$1,ROW(data!$A$3:$A$16128)-ROW($A$3)+1),ROWS(B$4:B122))),"")</f>
        <v>MYPOS Бакалия</v>
      </c>
      <c r="C122" s="19">
        <f t="array" ref="C122">IF(ROWS(C$4:C122)&lt;=$B$2,INDEX(data!B$3:B$16128,SMALL(IF(data!$D$3:$D$16128='Обеля'!$B$1,ROW(data!$A$3:$A$16128)-ROW($A$3)+1),ROWS(C$4:C122))),"")</f>
        <v>-4407.73</v>
      </c>
      <c r="D122" s="7" t="str">
        <f t="array" ref="D122">IF(ROWS(D$4:D122)&lt;=$B$2,INDEX(data!E$3:E$16128,SMALL(IF(data!$D$3:$D$16128='Обеля'!$B$1,ROW(data!$A$3:$A$16128)-ROW($A$3)+1),ROWS(D$4:D122))),"")</f>
        <v/>
      </c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41">
        <f t="array" ref="A123">IF(ROWS(A$4:A123)&lt;=$B$2,INDEX(data!C$3:C$16128,SMALL(IF(data!$D$3:$D$16128='Обеля'!$B$1,ROW(data!$A$3:$A$16128)-ROW($A$3)+1),ROWS(A$4:A123))),"")</f>
        <v>46209</v>
      </c>
      <c r="B123" s="19" t="str">
        <f t="array" ref="B123">IF(ROWS(B$4:B123)&lt;=$B$2,INDEX(data!A$3:A$16128,SMALL(IF(data!$D$3:$D$16128='Обеля'!$B$1,ROW(data!$A$3:$A$16128)-ROW($A$3)+1),ROWS(B$4:B123))),"")</f>
        <v>КАСОВА КНИГА</v>
      </c>
      <c r="C123" s="19">
        <f t="array" ref="C123">IF(ROWS(C$4:C123)&lt;=$B$2,INDEX(data!B$3:B$16128,SMALL(IF(data!$D$3:$D$16128='Обеля'!$B$1,ROW(data!$A$3:$A$16128)-ROW($A$3)+1),ROWS(C$4:C123))),"")</f>
        <v>-2500</v>
      </c>
      <c r="D123" s="7" t="str">
        <f t="array" ref="D123">IF(ROWS(D$4:D123)&lt;=$B$2,INDEX(data!E$3:E$16128,SMALL(IF(data!$D$3:$D$16128='Обеля'!$B$1,ROW(data!$A$3:$A$16128)-ROW($A$3)+1),ROWS(D$4:D123))),"")</f>
        <v/>
      </c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41">
        <f t="array" ref="A124">IF(ROWS(A$4:A124)&lt;=$B$2,INDEX(data!C$3:C$16128,SMALL(IF(data!$D$3:$D$16128='Обеля'!$B$1,ROW(data!$A$3:$A$16128)-ROW($A$3)+1),ROWS(A$4:A124))),"")</f>
        <v>46209</v>
      </c>
      <c r="B124" s="19" t="str">
        <f t="array" ref="B124">IF(ROWS(B$4:B124)&lt;=$B$2,INDEX(data!A$3:A$16128,SMALL(IF(data!$D$3:$D$16128='Обеля'!$B$1,ROW(data!$A$3:$A$16128)-ROW($A$3)+1),ROWS(B$4:B124))),"")</f>
        <v>Каса ВАУЧЕРИ</v>
      </c>
      <c r="C124" s="19">
        <f t="array" ref="C124">IF(ROWS(C$4:C124)&lt;=$B$2,INDEX(data!B$3:B$16128,SMALL(IF(data!$D$3:$D$16128='Обеля'!$B$1,ROW(data!$A$3:$A$16128)-ROW($A$3)+1),ROWS(C$4:C124))),"")</f>
        <v>-54.64</v>
      </c>
      <c r="D124" s="7" t="str">
        <f t="array" ref="D124">IF(ROWS(D$4:D124)&lt;=$B$2,INDEX(data!E$3:E$16128,SMALL(IF(data!$D$3:$D$16128='Обеля'!$B$1,ROW(data!$A$3:$A$16128)-ROW($A$3)+1),ROWS(D$4:D124))),"")</f>
        <v>към 22.06</v>
      </c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41">
        <f t="array" ref="A125">IF(ROWS(A$4:A125)&lt;=$B$2,INDEX(data!C$3:C$16128,SMALL(IF(data!$D$3:$D$16128='Обеля'!$B$1,ROW(data!$A$3:$A$16128)-ROW($A$3)+1),ROWS(A$4:A125))),"")</f>
        <v>46213</v>
      </c>
      <c r="B125" s="19" t="str">
        <f t="array" ref="B125">IF(ROWS(B$4:B125)&lt;=$B$2,INDEX(data!A$3:A$16128,SMALL(IF(data!$D$3:$D$16128='Обеля'!$B$1,ROW(data!$A$3:$A$16128)-ROW($A$3)+1),ROWS(B$4:B125))),"")</f>
        <v>КАСОВА КНИГА</v>
      </c>
      <c r="C125" s="19">
        <f t="array" ref="C125">IF(ROWS(C$4:C125)&lt;=$B$2,INDEX(data!B$3:B$16128,SMALL(IF(data!$D$3:$D$16128='Обеля'!$B$1,ROW(data!$A$3:$A$16128)-ROW($A$3)+1),ROWS(C$4:C125))),"")</f>
        <v>-1000</v>
      </c>
      <c r="D125" s="7" t="str">
        <f t="array" ref="D125">IF(ROWS(D$4:D125)&lt;=$B$2,INDEX(data!E$3:E$16128,SMALL(IF(data!$D$3:$D$16128='Обеля'!$B$1,ROW(data!$A$3:$A$16128)-ROW($A$3)+1),ROWS(D$4:D125))),"")</f>
        <v/>
      </c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41">
        <f t="array" ref="A126">IF(ROWS(A$4:A126)&lt;=$B$2,INDEX(data!C$3:C$16128,SMALL(IF(data!$D$3:$D$16128='Обеля'!$B$1,ROW(data!$A$3:$A$16128)-ROW($A$3)+1),ROWS(A$4:A126))),"")</f>
        <v>46216</v>
      </c>
      <c r="B126" s="19" t="str">
        <f t="array" ref="B126">IF(ROWS(B$4:B126)&lt;=$B$2,INDEX(data!A$3:A$16128,SMALL(IF(data!$D$3:$D$16128='Обеля'!$B$1,ROW(data!$A$3:$A$16128)-ROW($A$3)+1),ROWS(B$4:B126))),"")</f>
        <v>КАСОВА КНИГА</v>
      </c>
      <c r="C126" s="19">
        <f t="array" ref="C126">IF(ROWS(C$4:C126)&lt;=$B$2,INDEX(data!B$3:B$16128,SMALL(IF(data!$D$3:$D$16128='Обеля'!$B$1,ROW(data!$A$3:$A$16128)-ROW($A$3)+1),ROWS(C$4:C126))),"")</f>
        <v>-3000</v>
      </c>
      <c r="D126" s="7" t="str">
        <f t="array" ref="D126">IF(ROWS(D$4:D126)&lt;=$B$2,INDEX(data!E$3:E$16128,SMALL(IF(data!$D$3:$D$16128='Обеля'!$B$1,ROW(data!$A$3:$A$16128)-ROW($A$3)+1),ROWS(D$4:D126))),"")</f>
        <v/>
      </c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41">
        <f t="array" ref="A127">IF(ROWS(A$4:A127)&lt;=$B$2,INDEX(data!C$3:C$16128,SMALL(IF(data!$D$3:$D$16128='Обеля'!$B$1,ROW(data!$A$3:$A$16128)-ROW($A$3)+1),ROWS(A$4:A127))),"")</f>
        <v>46218</v>
      </c>
      <c r="B127" s="19" t="str">
        <f t="array" ref="B127">IF(ROWS(B$4:B127)&lt;=$B$2,INDEX(data!A$3:A$16128,SMALL(IF(data!$D$3:$D$16128='Обеля'!$B$1,ROW(data!$A$3:$A$16128)-ROW($A$3)+1),ROWS(B$4:B127))),"")</f>
        <v>КАСОВА КНИГА</v>
      </c>
      <c r="C127" s="19">
        <f t="array" ref="C127">IF(ROWS(C$4:C127)&lt;=$B$2,INDEX(data!B$3:B$16128,SMALL(IF(data!$D$3:$D$16128='Обеля'!$B$1,ROW(data!$A$3:$A$16128)-ROW($A$3)+1),ROWS(C$4:C127))),"")</f>
        <v>-500</v>
      </c>
      <c r="D127" s="7" t="str">
        <f t="array" ref="D127">IF(ROWS(D$4:D127)&lt;=$B$2,INDEX(data!E$3:E$16128,SMALL(IF(data!$D$3:$D$16128='Обеля'!$B$1,ROW(data!$A$3:$A$16128)-ROW($A$3)+1),ROWS(D$4:D127))),"")</f>
        <v/>
      </c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41">
        <f t="array" ref="A128">IF(ROWS(A$4:A128)&lt;=$B$2,INDEX(data!C$3:C$16128,SMALL(IF(data!$D$3:$D$16128='Обеля'!$B$1,ROW(data!$A$3:$A$16128)-ROW($A$3)+1),ROWS(A$4:A128))),"")</f>
        <v>46219</v>
      </c>
      <c r="B128" s="19" t="str">
        <f t="array" ref="B128">IF(ROWS(B$4:B128)&lt;=$B$2,INDEX(data!A$3:A$16128,SMALL(IF(data!$D$3:$D$16128='Обеля'!$B$1,ROW(data!$A$3:$A$16128)-ROW($A$3)+1),ROWS(B$4:B128))),"")</f>
        <v>Каса ВАУЧЕРИ</v>
      </c>
      <c r="C128" s="19">
        <f t="array" ref="C128">IF(ROWS(C$4:C128)&lt;=$B$2,INDEX(data!B$3:B$16128,SMALL(IF(data!$D$3:$D$16128='Обеля'!$B$1,ROW(data!$A$3:$A$16128)-ROW($A$3)+1),ROWS(C$4:C128))),"")</f>
        <v>-45.72</v>
      </c>
      <c r="D128" s="7" t="str">
        <f t="array" ref="D128">IF(ROWS(D$4:D128)&lt;=$B$2,INDEX(data!E$3:E$16128,SMALL(IF(data!$D$3:$D$16128='Обеля'!$B$1,ROW(data!$A$3:$A$16128)-ROW($A$3)+1),ROWS(D$4:D128))),"")</f>
        <v>за 22-28.06</v>
      </c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41">
        <f t="array" ref="A129">IF(ROWS(A$4:A129)&lt;=$B$2,INDEX(data!C$3:C$16128,SMALL(IF(data!$D$3:$D$16128='Обеля'!$B$1,ROW(data!$A$3:$A$16128)-ROW($A$3)+1),ROWS(A$4:A129))),"")</f>
        <v>46223</v>
      </c>
      <c r="B129" s="19" t="str">
        <f t="array" ref="B129">IF(ROWS(B$4:B129)&lt;=$B$2,INDEX(data!A$3:A$16128,SMALL(IF(data!$D$3:$D$16128='Обеля'!$B$1,ROW(data!$A$3:$A$16128)-ROW($A$3)+1),ROWS(B$4:B129))),"")</f>
        <v>КАСОВА КНИГА</v>
      </c>
      <c r="C129" s="19">
        <f t="array" ref="C129">IF(ROWS(C$4:C129)&lt;=$B$2,INDEX(data!B$3:B$16128,SMALL(IF(data!$D$3:$D$16128='Обеля'!$B$1,ROW(data!$A$3:$A$16128)-ROW($A$3)+1),ROWS(C$4:C129))),"")</f>
        <v>-4000</v>
      </c>
      <c r="D129" s="7" t="str">
        <f t="array" ref="D129">IF(ROWS(D$4:D129)&lt;=$B$2,INDEX(data!E$3:E$16128,SMALL(IF(data!$D$3:$D$16128='Обеля'!$B$1,ROW(data!$A$3:$A$16128)-ROW($A$3)+1),ROWS(D$4:D129))),"")</f>
        <v/>
      </c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41">
        <f t="array" ref="A130">IF(ROWS(A$4:A130)&lt;=$B$2,INDEX(data!C$3:C$16128,SMALL(IF(data!$D$3:$D$16128='Обеля'!$B$1,ROW(data!$A$3:$A$16128)-ROW($A$3)+1),ROWS(A$4:A130))),"")</f>
        <v>46223</v>
      </c>
      <c r="B130" s="19" t="str">
        <f t="array" ref="B130">IF(ROWS(B$4:B130)&lt;=$B$2,INDEX(data!A$3:A$16128,SMALL(IF(data!$D$3:$D$16128='Обеля'!$B$1,ROW(data!$A$3:$A$16128)-ROW($A$3)+1),ROWS(B$4:B130))),"")</f>
        <v>Каса ВАУЧЕРИ</v>
      </c>
      <c r="C130" s="19">
        <f t="array" ref="C130">IF(ROWS(C$4:C130)&lt;=$B$2,INDEX(data!B$3:B$16128,SMALL(IF(data!$D$3:$D$16128='Обеля'!$B$1,ROW(data!$A$3:$A$16128)-ROW($A$3)+1),ROWS(C$4:C130))),"")</f>
        <v>800</v>
      </c>
      <c r="D130" s="7" t="str">
        <f t="array" ref="D130">IF(ROWS(D$4:D130)&lt;=$B$2,INDEX(data!E$3:E$16128,SMALL(IF(data!$D$3:$D$16128='Обеля'!$B$1,ROW(data!$A$3:$A$16128)-ROW($A$3)+1),ROWS(D$4:D130))),"")</f>
        <v>ваучери персонал</v>
      </c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41">
        <f t="array" ref="A131">IF(ROWS(A$4:A131)&lt;=$B$2,INDEX(data!C$3:C$16128,SMALL(IF(data!$D$3:$D$16128='Обеля'!$B$1,ROW(data!$A$3:$A$16128)-ROW($A$3)+1),ROWS(A$4:A131))),"")</f>
        <v>46223</v>
      </c>
      <c r="B131" s="19" t="str">
        <f t="array" ref="B131">IF(ROWS(B$4:B131)&lt;=$B$2,INDEX(data!A$3:A$16128,SMALL(IF(data!$D$3:$D$16128='Обеля'!$B$1,ROW(data!$A$3:$A$16128)-ROW($A$3)+1),ROWS(B$4:B131))),"")</f>
        <v>MYPOS Бакалия</v>
      </c>
      <c r="C131" s="19">
        <f t="array" ref="C131">IF(ROWS(C$4:C131)&lt;=$B$2,INDEX(data!B$3:B$16128,SMALL(IF(data!$D$3:$D$16128='Обеля'!$B$1,ROW(data!$A$3:$A$16128)-ROW($A$3)+1),ROWS(C$4:C131))),"")</f>
        <v>-13459.22</v>
      </c>
      <c r="D131" s="7" t="str">
        <f t="array" ref="D131">IF(ROWS(D$4:D131)&lt;=$B$2,INDEX(data!E$3:E$16128,SMALL(IF(data!$D$3:$D$16128='Обеля'!$B$1,ROW(data!$A$3:$A$16128)-ROW($A$3)+1),ROWS(D$4:D131))),"")</f>
        <v/>
      </c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41">
        <f t="array" ref="A132">IF(ROWS(A$4:A132)&lt;=$B$2,INDEX(data!C$3:C$16128,SMALL(IF(data!$D$3:$D$16128='Обеля'!$B$1,ROW(data!$A$3:$A$16128)-ROW($A$3)+1),ROWS(A$4:A132))),"")</f>
        <v>46224</v>
      </c>
      <c r="B132" s="19" t="str">
        <f t="array" ref="B132">IF(ROWS(B$4:B132)&lt;=$B$2,INDEX(data!A$3:A$16128,SMALL(IF(data!$D$3:$D$16128='Обеля'!$B$1,ROW(data!$A$3:$A$16128)-ROW($A$3)+1),ROWS(B$4:B132))),"")</f>
        <v>ПОС ДСК Бакалия</v>
      </c>
      <c r="C132" s="19">
        <f t="array" ref="C132">IF(ROWS(C$4:C132)&lt;=$B$2,INDEX(data!B$3:B$16128,SMALL(IF(data!$D$3:$D$16128='Обеля'!$B$1,ROW(data!$A$3:$A$16128)-ROW($A$3)+1),ROWS(C$4:C132))),"")</f>
        <v>-1989.92</v>
      </c>
      <c r="D132" s="7" t="str">
        <f t="array" ref="D132">IF(ROWS(D$4:D132)&lt;=$B$2,INDEX(data!E$3:E$16128,SMALL(IF(data!$D$3:$D$16128='Обеля'!$B$1,ROW(data!$A$3:$A$16128)-ROW($A$3)+1),ROWS(D$4:D132))),"")</f>
        <v/>
      </c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41">
        <f t="array" ref="A133">IF(ROWS(A$4:A133)&lt;=$B$2,INDEX(data!C$3:C$16128,SMALL(IF(data!$D$3:$D$16128='Обеля'!$B$1,ROW(data!$A$3:$A$16128)-ROW($A$3)+1),ROWS(A$4:A133))),"")</f>
        <v>46224</v>
      </c>
      <c r="B133" s="19" t="str">
        <f t="array" ref="B133">IF(ROWS(B$4:B133)&lt;=$B$2,INDEX(data!A$3:A$16128,SMALL(IF(data!$D$3:$D$16128='Обеля'!$B$1,ROW(data!$A$3:$A$16128)-ROW($A$3)+1),ROWS(B$4:B133))),"")</f>
        <v>ЗАЕМ</v>
      </c>
      <c r="C133" s="19">
        <f t="array" ref="C133">IF(ROWS(C$4:C133)&lt;=$B$2,INDEX(data!B$3:B$16128,SMALL(IF(data!$D$3:$D$16128='Обеля'!$B$1,ROW(data!$A$3:$A$16128)-ROW($A$3)+1),ROWS(C$4:C133))),"")</f>
        <v>56915.5</v>
      </c>
      <c r="D133" s="7" t="str">
        <f t="array" ref="D133">IF(ROWS(D$4:D133)&lt;=$B$2,INDEX(data!E$3:E$16128,SMALL(IF(data!$D$3:$D$16128='Обеля'!$B$1,ROW(data!$A$3:$A$16128)-ROW($A$3)+1),ROWS(D$4:D133))),"")</f>
        <v>Салдо склад + вътр. п-не</v>
      </c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41">
        <f t="array" ref="A134">IF(ROWS(A$4:A134)&lt;=$B$2,INDEX(data!C$3:C$16128,SMALL(IF(data!$D$3:$D$16128='Обеля'!$B$1,ROW(data!$A$3:$A$16128)-ROW($A$3)+1),ROWS(A$4:A134))),"")</f>
        <v>46225</v>
      </c>
      <c r="B134" s="19" t="str">
        <f t="array" ref="B134">IF(ROWS(B$4:B134)&lt;=$B$2,INDEX(data!A$3:A$16128,SMALL(IF(data!$D$3:$D$16128='Обеля'!$B$1,ROW(data!$A$3:$A$16128)-ROW($A$3)+1),ROWS(B$4:B134))),"")</f>
        <v>КАСОВА КНИГА</v>
      </c>
      <c r="C134" s="19">
        <f t="array" ref="C134">IF(ROWS(C$4:C134)&lt;=$B$2,INDEX(data!B$3:B$16128,SMALL(IF(data!$D$3:$D$16128='Обеля'!$B$1,ROW(data!$A$3:$A$16128)-ROW($A$3)+1),ROWS(C$4:C134))),"")</f>
        <v>-1000</v>
      </c>
      <c r="D134" s="7" t="str">
        <f t="array" ref="D134">IF(ROWS(D$4:D134)&lt;=$B$2,INDEX(data!E$3:E$16128,SMALL(IF(data!$D$3:$D$16128='Обеля'!$B$1,ROW(data!$A$3:$A$16128)-ROW($A$3)+1),ROWS(D$4:D134))),"")</f>
        <v/>
      </c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41">
        <f t="array" ref="A135">IF(ROWS(A$4:A135)&lt;=$B$2,INDEX(data!C$3:C$16128,SMALL(IF(data!$D$3:$D$16128='Обеля'!$B$1,ROW(data!$A$3:$A$16128)-ROW($A$3)+1),ROWS(A$4:A135))),"")</f>
        <v>46226</v>
      </c>
      <c r="B135" s="19" t="str">
        <f t="array" ref="B135">IF(ROWS(B$4:B135)&lt;=$B$2,INDEX(data!A$3:A$16128,SMALL(IF(data!$D$3:$D$16128='Обеля'!$B$1,ROW(data!$A$3:$A$16128)-ROW($A$3)+1),ROWS(B$4:B135))),"")</f>
        <v>Каса ВАУЧЕРИ</v>
      </c>
      <c r="C135" s="19">
        <f t="array" ref="C135">IF(ROWS(C$4:C135)&lt;=$B$2,INDEX(data!B$3:B$16128,SMALL(IF(data!$D$3:$D$16128='Обеля'!$B$1,ROW(data!$A$3:$A$16128)-ROW($A$3)+1),ROWS(C$4:C135))),"")</f>
        <v>-139.2</v>
      </c>
      <c r="D135" s="7" t="str">
        <f t="array" ref="D135">IF(ROWS(D$4:D135)&lt;=$B$2,INDEX(data!E$3:E$16128,SMALL(IF(data!$D$3:$D$16128='Обеля'!$B$1,ROW(data!$A$3:$A$16128)-ROW($A$3)+1),ROWS(D$4:D135))),"")</f>
        <v>към 13.07</v>
      </c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41">
        <f t="array" ref="A136">IF(ROWS(A$4:A136)&lt;=$B$2,INDEX(data!C$3:C$16128,SMALL(IF(data!$D$3:$D$16128='Обеля'!$B$1,ROW(data!$A$3:$A$16128)-ROW($A$3)+1),ROWS(A$4:A136))),"")</f>
        <v>46230</v>
      </c>
      <c r="B136" s="19" t="str">
        <f t="array" ref="B136">IF(ROWS(B$4:B136)&lt;=$B$2,INDEX(data!A$3:A$16128,SMALL(IF(data!$D$3:$D$16128='Обеля'!$B$1,ROW(data!$A$3:$A$16128)-ROW($A$3)+1),ROWS(B$4:B136))),"")</f>
        <v>КАСОВА КНИГА</v>
      </c>
      <c r="C136" s="19">
        <f t="array" ref="C136">IF(ROWS(C$4:C136)&lt;=$B$2,INDEX(data!B$3:B$16128,SMALL(IF(data!$D$3:$D$16128='Обеля'!$B$1,ROW(data!$A$3:$A$16128)-ROW($A$3)+1),ROWS(C$4:C136))),"")</f>
        <v>-2500</v>
      </c>
      <c r="D136" s="7" t="str">
        <f t="array" ref="D136">IF(ROWS(D$4:D136)&lt;=$B$2,INDEX(data!E$3:E$16128,SMALL(IF(data!$D$3:$D$16128='Обеля'!$B$1,ROW(data!$A$3:$A$16128)-ROW($A$3)+1),ROWS(D$4:D136))),"")</f>
        <v/>
      </c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41">
        <f t="array" ref="A137">IF(ROWS(A$4:A137)&lt;=$B$2,INDEX(data!C$3:C$16128,SMALL(IF(data!$D$3:$D$16128='Обеля'!$B$1,ROW(data!$A$3:$A$16128)-ROW($A$3)+1),ROWS(A$4:A137))),"")</f>
        <v>46231</v>
      </c>
      <c r="B137" s="19" t="str">
        <f t="array" ref="B137">IF(ROWS(B$4:B137)&lt;=$B$2,INDEX(data!A$3:A$16128,SMALL(IF(data!$D$3:$D$16128='Обеля'!$B$1,ROW(data!$A$3:$A$16128)-ROW($A$3)+1),ROWS(B$4:B137))),"")</f>
        <v>MYPOS Бакалия</v>
      </c>
      <c r="C137" s="19">
        <f t="array" ref="C137">IF(ROWS(C$4:C137)&lt;=$B$2,INDEX(data!B$3:B$16128,SMALL(IF(data!$D$3:$D$16128='Обеля'!$B$1,ROW(data!$A$3:$A$16128)-ROW($A$3)+1),ROWS(C$4:C137))),"")</f>
        <v>-6917.75</v>
      </c>
      <c r="D137" s="7" t="str">
        <f t="array" ref="D137">IF(ROWS(D$4:D137)&lt;=$B$2,INDEX(data!E$3:E$16128,SMALL(IF(data!$D$3:$D$16128='Обеля'!$B$1,ROW(data!$A$3:$A$16128)-ROW($A$3)+1),ROWS(D$4:D137))),"")</f>
        <v/>
      </c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41">
        <f t="array" ref="A138">IF(ROWS(A$4:A138)&lt;=$B$2,INDEX(data!C$3:C$16128,SMALL(IF(data!$D$3:$D$16128='Обеля'!$B$1,ROW(data!$A$3:$A$16128)-ROW($A$3)+1),ROWS(A$4:A138))),"")</f>
        <v>46232</v>
      </c>
      <c r="B138" s="19" t="str">
        <f t="array" ref="B138">IF(ROWS(B$4:B138)&lt;=$B$2,INDEX(data!A$3:A$16128,SMALL(IF(data!$D$3:$D$16128='Обеля'!$B$1,ROW(data!$A$3:$A$16128)-ROW($A$3)+1),ROWS(B$4:B138))),"")</f>
        <v>КАСОВА КНИГА</v>
      </c>
      <c r="C138" s="19">
        <f t="array" ref="C138">IF(ROWS(C$4:C138)&lt;=$B$2,INDEX(data!B$3:B$16128,SMALL(IF(data!$D$3:$D$16128='Обеля'!$B$1,ROW(data!$A$3:$A$16128)-ROW($A$3)+1),ROWS(C$4:C138))),"")</f>
        <v>-2000</v>
      </c>
      <c r="D138" s="7" t="str">
        <f t="array" ref="D138">IF(ROWS(D$4:D138)&lt;=$B$2,INDEX(data!E$3:E$16128,SMALL(IF(data!$D$3:$D$16128='Обеля'!$B$1,ROW(data!$A$3:$A$16128)-ROW($A$3)+1),ROWS(D$4:D138))),"")</f>
        <v/>
      </c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41">
        <f t="array" ref="A139">IF(ROWS(A$4:A139)&lt;=$B$2,INDEX(data!C$3:C$16128,SMALL(IF(data!$D$3:$D$16128='Обеля'!$B$1,ROW(data!$A$3:$A$16128)-ROW($A$3)+1),ROWS(A$4:A139))),"")</f>
        <v>46237</v>
      </c>
      <c r="B139" s="19" t="str">
        <f t="array" ref="B139">IF(ROWS(B$4:B139)&lt;=$B$2,INDEX(data!A$3:A$16128,SMALL(IF(data!$D$3:$D$16128='Обеля'!$B$1,ROW(data!$A$3:$A$16128)-ROW($A$3)+1),ROWS(B$4:B139))),"")</f>
        <v>MYPOS Бакалия</v>
      </c>
      <c r="C139" s="19">
        <f t="array" ref="C139">IF(ROWS(C$4:C139)&lt;=$B$2,INDEX(data!B$3:B$16128,SMALL(IF(data!$D$3:$D$16128='Обеля'!$B$1,ROW(data!$A$3:$A$16128)-ROW($A$3)+1),ROWS(C$4:C139))),"")</f>
        <v>-7611.07</v>
      </c>
      <c r="D139" s="7" t="str">
        <f t="array" ref="D139">IF(ROWS(D$4:D139)&lt;=$B$2,INDEX(data!E$3:E$16128,SMALL(IF(data!$D$3:$D$16128='Обеля'!$B$1,ROW(data!$A$3:$A$16128)-ROW($A$3)+1),ROWS(D$4:D139))),"")</f>
        <v/>
      </c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41">
        <f t="array" ref="A140">IF(ROWS(A$4:A140)&lt;=$B$2,INDEX(data!C$3:C$16128,SMALL(IF(data!$D$3:$D$16128='Обеля'!$B$1,ROW(data!$A$3:$A$16128)-ROW($A$3)+1),ROWS(A$4:A140))),"")</f>
        <v>46237</v>
      </c>
      <c r="B140" s="19" t="str">
        <f t="array" ref="B140">IF(ROWS(B$4:B140)&lt;=$B$2,INDEX(data!A$3:A$16128,SMALL(IF(data!$D$3:$D$16128='Обеля'!$B$1,ROW(data!$A$3:$A$16128)-ROW($A$3)+1),ROWS(B$4:B140))),"")</f>
        <v>КАСОВА КНИГА</v>
      </c>
      <c r="C140" s="19">
        <f t="array" ref="C140">IF(ROWS(C$4:C140)&lt;=$B$2,INDEX(data!B$3:B$16128,SMALL(IF(data!$D$3:$D$16128='Обеля'!$B$1,ROW(data!$A$3:$A$16128)-ROW($A$3)+1),ROWS(C$4:C140))),"")</f>
        <v>-3000</v>
      </c>
      <c r="D140" s="7" t="str">
        <f t="array" ref="D140">IF(ROWS(D$4:D140)&lt;=$B$2,INDEX(data!E$3:E$16128,SMALL(IF(data!$D$3:$D$16128='Обеля'!$B$1,ROW(data!$A$3:$A$16128)-ROW($A$3)+1),ROWS(D$4:D140))),"")</f>
        <v/>
      </c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41">
        <f t="array" ref="A141">IF(ROWS(A$4:A141)&lt;=$B$2,INDEX(data!C$3:C$16128,SMALL(IF(data!$D$3:$D$16128='Обеля'!$B$1,ROW(data!$A$3:$A$16128)-ROW($A$3)+1),ROWS(A$4:A141))),"")</f>
        <v>46238</v>
      </c>
      <c r="B141" s="19" t="str">
        <f t="array" ref="B141">IF(ROWS(B$4:B141)&lt;=$B$2,INDEX(data!A$3:A$16128,SMALL(IF(data!$D$3:$D$16128='Обеля'!$B$1,ROW(data!$A$3:$A$16128)-ROW($A$3)+1),ROWS(B$4:B141))),"")</f>
        <v>каса ФИКТИВНА</v>
      </c>
      <c r="C141" s="19">
        <f t="array" ref="C141">IF(ROWS(C$4:C141)&lt;=$B$2,INDEX(data!B$3:B$16128,SMALL(IF(data!$D$3:$D$16128='Обеля'!$B$1,ROW(data!$A$3:$A$16128)-ROW($A$3)+1),ROWS(C$4:C141))),"")</f>
        <v>-100</v>
      </c>
      <c r="D141" s="7" t="str">
        <f t="array" ref="D141">IF(ROWS(D$4:D141)&lt;=$B$2,INDEX(data!E$3:E$16128,SMALL(IF(data!$D$3:$D$16128='Обеля'!$B$1,ROW(data!$A$3:$A$16128)-ROW($A$3)+1),ROWS(D$4:D141))),"")</f>
        <v>Нони от премиите</v>
      </c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41">
        <f t="array" ref="A142">IF(ROWS(A$4:A142)&lt;=$B$2,INDEX(data!C$3:C$16128,SMALL(IF(data!$D$3:$D$16128='Обеля'!$B$1,ROW(data!$A$3:$A$16128)-ROW($A$3)+1),ROWS(A$4:A142))),"")</f>
        <v>46238</v>
      </c>
      <c r="B142" s="19" t="str">
        <f t="array" ref="B142">IF(ROWS(B$4:B142)&lt;=$B$2,INDEX(data!A$3:A$16128,SMALL(IF(data!$D$3:$D$16128='Обеля'!$B$1,ROW(data!$A$3:$A$16128)-ROW($A$3)+1),ROWS(B$4:B142))),"")</f>
        <v>каса ФИКТИВНА</v>
      </c>
      <c r="C142" s="19">
        <f t="array" ref="C142">IF(ROWS(C$4:C142)&lt;=$B$2,INDEX(data!B$3:B$16128,SMALL(IF(data!$D$3:$D$16128='Обеля'!$B$1,ROW(data!$A$3:$A$16128)-ROW($A$3)+1),ROWS(C$4:C142))),"")</f>
        <v>-350</v>
      </c>
      <c r="D142" s="7" t="str">
        <f t="array" ref="D142">IF(ROWS(D$4:D142)&lt;=$B$2,INDEX(data!E$3:E$16128,SMALL(IF(data!$D$3:$D$16128='Обеля'!$B$1,ROW(data!$A$3:$A$16128)-ROW($A$3)+1),ROWS(D$4:D142))),"")</f>
        <v>Стаси от заплатата</v>
      </c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41">
        <f t="array" ref="A143">IF(ROWS(A$4:A143)&lt;=$B$2,INDEX(data!C$3:C$16128,SMALL(IF(data!$D$3:$D$16128='Обеля'!$B$1,ROW(data!$A$3:$A$16128)-ROW($A$3)+1),ROWS(A$4:A143))),"")</f>
        <v>46239</v>
      </c>
      <c r="B143" s="19" t="str">
        <f t="array" ref="B143">IF(ROWS(B$4:B143)&lt;=$B$2,INDEX(data!A$3:A$16128,SMALL(IF(data!$D$3:$D$16128='Обеля'!$B$1,ROW(data!$A$3:$A$16128)-ROW($A$3)+1),ROWS(B$4:B143))),"")</f>
        <v>КАСОВА КНИГА</v>
      </c>
      <c r="C143" s="19">
        <f t="array" ref="C143">IF(ROWS(C$4:C143)&lt;=$B$2,INDEX(data!B$3:B$16128,SMALL(IF(data!$D$3:$D$16128='Обеля'!$B$1,ROW(data!$A$3:$A$16128)-ROW($A$3)+1),ROWS(C$4:C143))),"")</f>
        <v>-1000</v>
      </c>
      <c r="D143" s="7" t="str">
        <f t="array" ref="D143">IF(ROWS(D$4:D143)&lt;=$B$2,INDEX(data!E$3:E$16128,SMALL(IF(data!$D$3:$D$16128='Обеля'!$B$1,ROW(data!$A$3:$A$16128)-ROW($A$3)+1),ROWS(D$4:D143))),"")</f>
        <v/>
      </c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41">
        <f t="array" ref="A144">IF(ROWS(A$4:A144)&lt;=$B$2,INDEX(data!C$3:C$16128,SMALL(IF(data!$D$3:$D$16128='Обеля'!$B$1,ROW(data!$A$3:$A$16128)-ROW($A$3)+1),ROWS(A$4:A144))),"")</f>
        <v>46244</v>
      </c>
      <c r="B144" s="19" t="str">
        <f t="array" ref="B144">IF(ROWS(B$4:B144)&lt;=$B$2,INDEX(data!A$3:A$16128,SMALL(IF(data!$D$3:$D$16128='Обеля'!$B$1,ROW(data!$A$3:$A$16128)-ROW($A$3)+1),ROWS(B$4:B144))),"")</f>
        <v>MYPOS Бакалия</v>
      </c>
      <c r="C144" s="19">
        <f t="array" ref="C144">IF(ROWS(C$4:C144)&lt;=$B$2,INDEX(data!B$3:B$16128,SMALL(IF(data!$D$3:$D$16128='Обеля'!$B$1,ROW(data!$A$3:$A$16128)-ROW($A$3)+1),ROWS(C$4:C144))),"")</f>
        <v>-7608.42</v>
      </c>
      <c r="D144" s="7" t="str">
        <f t="array" ref="D144">IF(ROWS(D$4:D144)&lt;=$B$2,INDEX(data!E$3:E$16128,SMALL(IF(data!$D$3:$D$16128='Обеля'!$B$1,ROW(data!$A$3:$A$16128)-ROW($A$3)+1),ROWS(D$4:D144))),"")</f>
        <v/>
      </c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41">
        <f t="array" ref="A145">IF(ROWS(A$4:A145)&lt;=$B$2,INDEX(data!C$3:C$16128,SMALL(IF(data!$D$3:$D$16128='Обеля'!$B$1,ROW(data!$A$3:$A$16128)-ROW($A$3)+1),ROWS(A$4:A145))),"")</f>
        <v>46244</v>
      </c>
      <c r="B145" s="19" t="str">
        <f t="array" ref="B145">IF(ROWS(B$4:B145)&lt;=$B$2,INDEX(data!A$3:A$16128,SMALL(IF(data!$D$3:$D$16128='Обеля'!$B$1,ROW(data!$A$3:$A$16128)-ROW($A$3)+1),ROWS(B$4:B145))),"")</f>
        <v>КАСОВА КНИГА</v>
      </c>
      <c r="C145" s="19">
        <f t="array" ref="C145">IF(ROWS(C$4:C145)&lt;=$B$2,INDEX(data!B$3:B$16128,SMALL(IF(data!$D$3:$D$16128='Обеля'!$B$1,ROW(data!$A$3:$A$16128)-ROW($A$3)+1),ROWS(C$4:C145))),"")</f>
        <v>-3000</v>
      </c>
      <c r="D145" s="7" t="str">
        <f t="array" ref="D145">IF(ROWS(D$4:D145)&lt;=$B$2,INDEX(data!E$3:E$16128,SMALL(IF(data!$D$3:$D$16128='Обеля'!$B$1,ROW(data!$A$3:$A$16128)-ROW($A$3)+1),ROWS(D$4:D145))),"")</f>
        <v/>
      </c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41">
        <f t="array" ref="A146">IF(ROWS(A$4:A146)&lt;=$B$2,INDEX(data!C$3:C$16128,SMALL(IF(data!$D$3:$D$16128='Обеля'!$B$1,ROW(data!$A$3:$A$16128)-ROW($A$3)+1),ROWS(A$4:A146))),"")</f>
        <v>46246</v>
      </c>
      <c r="B146" s="19" t="str">
        <f t="array" ref="B146">IF(ROWS(B$4:B146)&lt;=$B$2,INDEX(data!A$3:A$16128,SMALL(IF(data!$D$3:$D$16128='Обеля'!$B$1,ROW(data!$A$3:$A$16128)-ROW($A$3)+1),ROWS(B$4:B146))),"")</f>
        <v>КАСОВА КНИГА</v>
      </c>
      <c r="C146" s="19">
        <f t="array" ref="C146">IF(ROWS(C$4:C146)&lt;=$B$2,INDEX(data!B$3:B$16128,SMALL(IF(data!$D$3:$D$16128='Обеля'!$B$1,ROW(data!$A$3:$A$16128)-ROW($A$3)+1),ROWS(C$4:C146))),"")</f>
        <v>-1500</v>
      </c>
      <c r="D146" s="7" t="str">
        <f t="array" ref="D146">IF(ROWS(D$4:D146)&lt;=$B$2,INDEX(data!E$3:E$16128,SMALL(IF(data!$D$3:$D$16128='Обеля'!$B$1,ROW(data!$A$3:$A$16128)-ROW($A$3)+1),ROWS(D$4:D146))),"")</f>
        <v/>
      </c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41">
        <f t="array" ref="A147">IF(ROWS(A$4:A147)&lt;=$B$2,INDEX(data!C$3:C$16128,SMALL(IF(data!$D$3:$D$16128='Обеля'!$B$1,ROW(data!$A$3:$A$16128)-ROW($A$3)+1),ROWS(A$4:A147))),"")</f>
        <v>46251</v>
      </c>
      <c r="B147" s="19" t="str">
        <f t="array" ref="B147">IF(ROWS(B$4:B147)&lt;=$B$2,INDEX(data!A$3:A$16128,SMALL(IF(data!$D$3:$D$16128='Обеля'!$B$1,ROW(data!$A$3:$A$16128)-ROW($A$3)+1),ROWS(B$4:B147))),"")</f>
        <v>MYPOS Бакалия</v>
      </c>
      <c r="C147" s="19">
        <f t="array" ref="C147">IF(ROWS(C$4:C147)&lt;=$B$2,INDEX(data!B$3:B$16128,SMALL(IF(data!$D$3:$D$16128='Обеля'!$B$1,ROW(data!$A$3:$A$16128)-ROW($A$3)+1),ROWS(C$4:C147))),"")</f>
        <v>-7181.92</v>
      </c>
      <c r="D147" s="7" t="str">
        <f t="array" ref="D147">IF(ROWS(D$4:D147)&lt;=$B$2,INDEX(data!E$3:E$16128,SMALL(IF(data!$D$3:$D$16128='Обеля'!$B$1,ROW(data!$A$3:$A$16128)-ROW($A$3)+1),ROWS(D$4:D147))),"")</f>
        <v/>
      </c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41">
        <f t="array" ref="A148">IF(ROWS(A$4:A148)&lt;=$B$2,INDEX(data!C$3:C$16128,SMALL(IF(data!$D$3:$D$16128='Обеля'!$B$1,ROW(data!$A$3:$A$16128)-ROW($A$3)+1),ROWS(A$4:A148))),"")</f>
        <v>46251</v>
      </c>
      <c r="B148" s="19" t="str">
        <f t="array" ref="B148">IF(ROWS(B$4:B148)&lt;=$B$2,INDEX(data!A$3:A$16128,SMALL(IF(data!$D$3:$D$16128='Обеля'!$B$1,ROW(data!$A$3:$A$16128)-ROW($A$3)+1),ROWS(B$4:B148))),"")</f>
        <v>КАСОВА КНИГА</v>
      </c>
      <c r="C148" s="19">
        <f t="array" ref="C148">IF(ROWS(C$4:C148)&lt;=$B$2,INDEX(data!B$3:B$16128,SMALL(IF(data!$D$3:$D$16128='Обеля'!$B$1,ROW(data!$A$3:$A$16128)-ROW($A$3)+1),ROWS(C$4:C148))),"")</f>
        <v>-5400</v>
      </c>
      <c r="D148" s="7" t="str">
        <f t="array" ref="D148">IF(ROWS(D$4:D148)&lt;=$B$2,INDEX(data!E$3:E$16128,SMALL(IF(data!$D$3:$D$16128='Обеля'!$B$1,ROW(data!$A$3:$A$16128)-ROW($A$3)+1),ROWS(D$4:D148))),"")</f>
        <v/>
      </c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41">
        <f t="array" ref="A149">IF(ROWS(A$4:A149)&lt;=$B$2,INDEX(data!C$3:C$16128,SMALL(IF(data!$D$3:$D$16128='Обеля'!$B$1,ROW(data!$A$3:$A$16128)-ROW($A$3)+1),ROWS(A$4:A149))),"")</f>
        <v>46254</v>
      </c>
      <c r="B149" s="19" t="str">
        <f t="array" ref="B149">IF(ROWS(B$4:B149)&lt;=$B$2,INDEX(data!A$3:A$16128,SMALL(IF(data!$D$3:$D$16128='Обеля'!$B$1,ROW(data!$A$3:$A$16128)-ROW($A$3)+1),ROWS(B$4:B149))),"")</f>
        <v>Каса ВАУЧЕРИ</v>
      </c>
      <c r="C149" s="19">
        <f t="array" ref="C149">IF(ROWS(C$4:C149)&lt;=$B$2,INDEX(data!B$3:B$16128,SMALL(IF(data!$D$3:$D$16128='Обеля'!$B$1,ROW(data!$A$3:$A$16128)-ROW($A$3)+1),ROWS(C$4:C149))),"")</f>
        <v>-190.5</v>
      </c>
      <c r="D149" s="7" t="str">
        <f t="array" ref="D149">IF(ROWS(D$4:D149)&lt;=$B$2,INDEX(data!E$3:E$16128,SMALL(IF(data!$D$3:$D$16128='Обеля'!$B$1,ROW(data!$A$3:$A$16128)-ROW($A$3)+1),ROWS(D$4:D149))),"")</f>
        <v/>
      </c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41">
        <f t="array" ref="A150">IF(ROWS(A$4:A150)&lt;=$B$2,INDEX(data!C$3:C$16128,SMALL(IF(data!$D$3:$D$16128='Обеля'!$B$1,ROW(data!$A$3:$A$16128)-ROW($A$3)+1),ROWS(A$4:A150))),"")</f>
        <v>46255</v>
      </c>
      <c r="B150" s="19" t="str">
        <f t="array" ref="B150">IF(ROWS(B$4:B150)&lt;=$B$2,INDEX(data!A$3:A$16128,SMALL(IF(data!$D$3:$D$16128='Обеля'!$B$1,ROW(data!$A$3:$A$16128)-ROW($A$3)+1),ROWS(B$4:B150))),"")</f>
        <v>Каса ВАУЧЕРИ</v>
      </c>
      <c r="C150" s="19">
        <f t="array" ref="C150">IF(ROWS(C$4:C150)&lt;=$B$2,INDEX(data!B$3:B$16128,SMALL(IF(data!$D$3:$D$16128='Обеля'!$B$1,ROW(data!$A$3:$A$16128)-ROW($A$3)+1),ROWS(C$4:C150))),"")</f>
        <v>900</v>
      </c>
      <c r="D150" s="7" t="str">
        <f t="array" ref="D150">IF(ROWS(D$4:D150)&lt;=$B$2,INDEX(data!E$3:E$16128,SMALL(IF(data!$D$3:$D$16128='Обеля'!$B$1,ROW(data!$A$3:$A$16128)-ROW($A$3)+1),ROWS(D$4:D150))),"")</f>
        <v>ваучери персонал</v>
      </c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41">
        <f t="array" ref="A151">IF(ROWS(A$4:A151)&lt;=$B$2,INDEX(data!C$3:C$16128,SMALL(IF(data!$D$3:$D$16128='Обеля'!$B$1,ROW(data!$A$3:$A$16128)-ROW($A$3)+1),ROWS(A$4:A151))),"")</f>
        <v>46258</v>
      </c>
      <c r="B151" s="19" t="str">
        <f t="array" ref="B151">IF(ROWS(B$4:B151)&lt;=$B$2,INDEX(data!A$3:A$16128,SMALL(IF(data!$D$3:$D$16128='Обеля'!$B$1,ROW(data!$A$3:$A$16128)-ROW($A$3)+1),ROWS(B$4:B151))),"")</f>
        <v>MYPOS Бакалия</v>
      </c>
      <c r="C151" s="19">
        <f t="array" ref="C151">IF(ROWS(C$4:C151)&lt;=$B$2,INDEX(data!B$3:B$16128,SMALL(IF(data!$D$3:$D$16128='Обеля'!$B$1,ROW(data!$A$3:$A$16128)-ROW($A$3)+1),ROWS(C$4:C151))),"")</f>
        <v>-7094.8</v>
      </c>
      <c r="D151" s="7" t="str">
        <f t="array" ref="D151">IF(ROWS(D$4:D151)&lt;=$B$2,INDEX(data!E$3:E$16128,SMALL(IF(data!$D$3:$D$16128='Обеля'!$B$1,ROW(data!$A$3:$A$16128)-ROW($A$3)+1),ROWS(D$4:D151))),"")</f>
        <v/>
      </c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41">
        <f t="array" ref="A152">IF(ROWS(A$4:A152)&lt;=$B$2,INDEX(data!C$3:C$16128,SMALL(IF(data!$D$3:$D$16128='Обеля'!$B$1,ROW(data!$A$3:$A$16128)-ROW($A$3)+1),ROWS(A$4:A152))),"")</f>
        <v>46258</v>
      </c>
      <c r="B152" s="19" t="str">
        <f t="array" ref="B152">IF(ROWS(B$4:B152)&lt;=$B$2,INDEX(data!A$3:A$16128,SMALL(IF(data!$D$3:$D$16128='Обеля'!$B$1,ROW(data!$A$3:$A$16128)-ROW($A$3)+1),ROWS(B$4:B152))),"")</f>
        <v>КАСОВА КНИГА</v>
      </c>
      <c r="C152" s="19">
        <f t="array" ref="C152">IF(ROWS(C$4:C152)&lt;=$B$2,INDEX(data!B$3:B$16128,SMALL(IF(data!$D$3:$D$16128='Обеля'!$B$1,ROW(data!$A$3:$A$16128)-ROW($A$3)+1),ROWS(C$4:C152))),"")</f>
        <v>-2500</v>
      </c>
      <c r="D152" s="7" t="str">
        <f t="array" ref="D152">IF(ROWS(D$4:D152)&lt;=$B$2,INDEX(data!E$3:E$16128,SMALL(IF(data!$D$3:$D$16128='Обеля'!$B$1,ROW(data!$A$3:$A$16128)-ROW($A$3)+1),ROWS(D$4:D152))),"")</f>
        <v/>
      </c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41" t="str">
        <f t="array" ref="A153">IF(ROWS(A$4:A153)&lt;=$B$2,INDEX(data!C$3:C$16128,SMALL(IF(data!$D$3:$D$16128='Обеля'!$B$1,ROW(data!$A$3:$A$16128)-ROW($A$3)+1),ROWS(A$4:A153))),"")</f>
        <v/>
      </c>
      <c r="B153" s="19" t="str">
        <f t="array" ref="B153">IF(ROWS(B$4:B153)&lt;=$B$2,INDEX(data!A$3:A$16128,SMALL(IF(data!$D$3:$D$16128='Обеля'!$B$1,ROW(data!$A$3:$A$16128)-ROW($A$3)+1),ROWS(B$4:B153))),"")</f>
        <v/>
      </c>
      <c r="C153" s="19" t="str">
        <f t="array" ref="C153">IF(ROWS(C$4:C153)&lt;=$B$2,INDEX(data!B$3:B$16128,SMALL(IF(data!$D$3:$D$16128='Обеля'!$B$1,ROW(data!$A$3:$A$16128)-ROW($A$3)+1),ROWS(C$4:C153))),"")</f>
        <v/>
      </c>
      <c r="D153" s="7" t="str">
        <f t="array" ref="D153">IF(ROWS(D$4:D153)&lt;=$B$2,INDEX(data!E$3:E$16128,SMALL(IF(data!$D$3:$D$16128='Обеля'!$B$1,ROW(data!$A$3:$A$16128)-ROW($A$3)+1),ROWS(D$4:D153))),"")</f>
        <v/>
      </c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41" t="str">
        <f t="array" ref="A154">IF(ROWS(A$4:A154)&lt;=$B$2,INDEX(data!C$3:C$16128,SMALL(IF(data!$D$3:$D$16128='Обеля'!$B$1,ROW(data!$A$3:$A$16128)-ROW($A$3)+1),ROWS(A$4:A154))),"")</f>
        <v/>
      </c>
      <c r="B154" s="19" t="str">
        <f t="array" ref="B154">IF(ROWS(B$4:B154)&lt;=$B$2,INDEX(data!A$3:A$16128,SMALL(IF(data!$D$3:$D$16128='Обеля'!$B$1,ROW(data!$A$3:$A$16128)-ROW($A$3)+1),ROWS(B$4:B154))),"")</f>
        <v/>
      </c>
      <c r="C154" s="19" t="str">
        <f t="array" ref="C154">IF(ROWS(C$4:C154)&lt;=$B$2,INDEX(data!B$3:B$16128,SMALL(IF(data!$D$3:$D$16128='Обеля'!$B$1,ROW(data!$A$3:$A$16128)-ROW($A$3)+1),ROWS(C$4:C154))),"")</f>
        <v/>
      </c>
      <c r="D154" s="7" t="str">
        <f t="array" ref="D154">IF(ROWS(D$4:D154)&lt;=$B$2,INDEX(data!E$3:E$16128,SMALL(IF(data!$D$3:$D$16128='Обеля'!$B$1,ROW(data!$A$3:$A$16128)-ROW($A$3)+1),ROWS(D$4:D154))),"")</f>
        <v/>
      </c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41" t="str">
        <f t="array" ref="A155">IF(ROWS(A$4:A155)&lt;=$B$2,INDEX(data!C$3:C$16128,SMALL(IF(data!$D$3:$D$16128='Обеля'!$B$1,ROW(data!$A$3:$A$16128)-ROW($A$3)+1),ROWS(A$4:A155))),"")</f>
        <v/>
      </c>
      <c r="B155" s="19" t="str">
        <f t="array" ref="B155">IF(ROWS(B$4:B155)&lt;=$B$2,INDEX(data!A$3:A$16128,SMALL(IF(data!$D$3:$D$16128='Обеля'!$B$1,ROW(data!$A$3:$A$16128)-ROW($A$3)+1),ROWS(B$4:B155))),"")</f>
        <v/>
      </c>
      <c r="C155" s="19" t="str">
        <f t="array" ref="C155">IF(ROWS(C$4:C155)&lt;=$B$2,INDEX(data!B$3:B$16128,SMALL(IF(data!$D$3:$D$16128='Обеля'!$B$1,ROW(data!$A$3:$A$16128)-ROW($A$3)+1),ROWS(C$4:C155))),"")</f>
        <v/>
      </c>
      <c r="D155" s="7" t="str">
        <f t="array" ref="D155">IF(ROWS(D$4:D155)&lt;=$B$2,INDEX(data!E$3:E$16128,SMALL(IF(data!$D$3:$D$16128='Обеля'!$B$1,ROW(data!$A$3:$A$16128)-ROW($A$3)+1),ROWS(D$4:D155))),"")</f>
        <v/>
      </c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41" t="str">
        <f t="array" ref="A156">IF(ROWS(A$4:A156)&lt;=$B$2,INDEX(data!C$3:C$16128,SMALL(IF(data!$D$3:$D$16128='Обеля'!$B$1,ROW(data!$A$3:$A$16128)-ROW($A$3)+1),ROWS(A$4:A156))),"")</f>
        <v/>
      </c>
      <c r="B156" s="19" t="str">
        <f t="array" ref="B156">IF(ROWS(B$4:B156)&lt;=$B$2,INDEX(data!A$3:A$16128,SMALL(IF(data!$D$3:$D$16128='Обеля'!$B$1,ROW(data!$A$3:$A$16128)-ROW($A$3)+1),ROWS(B$4:B156))),"")</f>
        <v/>
      </c>
      <c r="C156" s="19" t="str">
        <f t="array" ref="C156">IF(ROWS(C$4:C156)&lt;=$B$2,INDEX(data!B$3:B$16128,SMALL(IF(data!$D$3:$D$16128='Обеля'!$B$1,ROW(data!$A$3:$A$16128)-ROW($A$3)+1),ROWS(C$4:C156))),"")</f>
        <v/>
      </c>
      <c r="D156" s="7" t="str">
        <f t="array" ref="D156">IF(ROWS(D$4:D156)&lt;=$B$2,INDEX(data!E$3:E$16128,SMALL(IF(data!$D$3:$D$16128='Обеля'!$B$1,ROW(data!$A$3:$A$16128)-ROW($A$3)+1),ROWS(D$4:D156))),"")</f>
        <v/>
      </c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41" t="str">
        <f t="array" ref="A157">IF(ROWS(A$4:A157)&lt;=$B$2,INDEX(data!C$3:C$16128,SMALL(IF(data!$D$3:$D$16128='Обеля'!$B$1,ROW(data!$A$3:$A$16128)-ROW($A$3)+1),ROWS(A$4:A157))),"")</f>
        <v/>
      </c>
      <c r="B157" s="19" t="str">
        <f t="array" ref="B157">IF(ROWS(B$4:B157)&lt;=$B$2,INDEX(data!A$3:A$16128,SMALL(IF(data!$D$3:$D$16128='Обеля'!$B$1,ROW(data!$A$3:$A$16128)-ROW($A$3)+1),ROWS(B$4:B157))),"")</f>
        <v/>
      </c>
      <c r="C157" s="19" t="str">
        <f t="array" ref="C157">IF(ROWS(C$4:C157)&lt;=$B$2,INDEX(data!B$3:B$16128,SMALL(IF(data!$D$3:$D$16128='Обеля'!$B$1,ROW(data!$A$3:$A$16128)-ROW($A$3)+1),ROWS(C$4:C157))),"")</f>
        <v/>
      </c>
      <c r="D157" s="7" t="str">
        <f t="array" ref="D157">IF(ROWS(D$4:D157)&lt;=$B$2,INDEX(data!E$3:E$16128,SMALL(IF(data!$D$3:$D$16128='Обеля'!$B$1,ROW(data!$A$3:$A$16128)-ROW($A$3)+1),ROWS(D$4:D157))),"")</f>
        <v/>
      </c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41" t="str">
        <f t="array" ref="A158">IF(ROWS(A$4:A158)&lt;=$B$2,INDEX(data!C$3:C$16128,SMALL(IF(data!$D$3:$D$16128='Обеля'!$B$1,ROW(data!$A$3:$A$16128)-ROW($A$3)+1),ROWS(A$4:A158))),"")</f>
        <v/>
      </c>
      <c r="B158" s="19" t="str">
        <f t="array" ref="B158">IF(ROWS(B$4:B158)&lt;=$B$2,INDEX(data!A$3:A$16128,SMALL(IF(data!$D$3:$D$16128='Обеля'!$B$1,ROW(data!$A$3:$A$16128)-ROW($A$3)+1),ROWS(B$4:B158))),"")</f>
        <v/>
      </c>
      <c r="C158" s="19" t="str">
        <f t="array" ref="C158">IF(ROWS(C$4:C158)&lt;=$B$2,INDEX(data!B$3:B$16128,SMALL(IF(data!$D$3:$D$16128='Обеля'!$B$1,ROW(data!$A$3:$A$16128)-ROW($A$3)+1),ROWS(C$4:C158))),"")</f>
        <v/>
      </c>
      <c r="D158" s="7" t="str">
        <f t="array" ref="D158">IF(ROWS(D$4:D158)&lt;=$B$2,INDEX(data!E$3:E$16128,SMALL(IF(data!$D$3:$D$16128='Обеля'!$B$1,ROW(data!$A$3:$A$16128)-ROW($A$3)+1),ROWS(D$4:D158))),"")</f>
        <v/>
      </c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41" t="str">
        <f t="array" ref="A159">IF(ROWS(A$4:A159)&lt;=$B$2,INDEX(data!C$3:C$16128,SMALL(IF(data!$D$3:$D$16128='Обеля'!$B$1,ROW(data!$A$3:$A$16128)-ROW($A$3)+1),ROWS(A$4:A159))),"")</f>
        <v/>
      </c>
      <c r="B159" s="19" t="str">
        <f t="array" ref="B159">IF(ROWS(B$4:B159)&lt;=$B$2,INDEX(data!A$3:A$16128,SMALL(IF(data!$D$3:$D$16128='Обеля'!$B$1,ROW(data!$A$3:$A$16128)-ROW($A$3)+1),ROWS(B$4:B159))),"")</f>
        <v/>
      </c>
      <c r="C159" s="19" t="str">
        <f t="array" ref="C159">IF(ROWS(C$4:C159)&lt;=$B$2,INDEX(data!B$3:B$16128,SMALL(IF(data!$D$3:$D$16128='Обеля'!$B$1,ROW(data!$A$3:$A$16128)-ROW($A$3)+1),ROWS(C$4:C159))),"")</f>
        <v/>
      </c>
      <c r="D159" s="7" t="str">
        <f t="array" ref="D159">IF(ROWS(D$4:D159)&lt;=$B$2,INDEX(data!E$3:E$16128,SMALL(IF(data!$D$3:$D$16128='Обеля'!$B$1,ROW(data!$A$3:$A$16128)-ROW($A$3)+1),ROWS(D$4:D159))),"")</f>
        <v/>
      </c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41" t="str">
        <f t="array" ref="A160">IF(ROWS(A$4:A160)&lt;=$B$2,INDEX(data!C$3:C$16128,SMALL(IF(data!$D$3:$D$16128='Обеля'!$B$1,ROW(data!$A$3:$A$16128)-ROW($A$3)+1),ROWS(A$4:A160))),"")</f>
        <v/>
      </c>
      <c r="B160" s="19" t="str">
        <f t="array" ref="B160">IF(ROWS(B$4:B160)&lt;=$B$2,INDEX(data!A$3:A$16128,SMALL(IF(data!$D$3:$D$16128='Обеля'!$B$1,ROW(data!$A$3:$A$16128)-ROW($A$3)+1),ROWS(B$4:B160))),"")</f>
        <v/>
      </c>
      <c r="C160" s="19" t="str">
        <f t="array" ref="C160">IF(ROWS(C$4:C160)&lt;=$B$2,INDEX(data!B$3:B$16128,SMALL(IF(data!$D$3:$D$16128='Обеля'!$B$1,ROW(data!$A$3:$A$16128)-ROW($A$3)+1),ROWS(C$4:C160))),"")</f>
        <v/>
      </c>
      <c r="D160" s="7" t="str">
        <f t="array" ref="D160">IF(ROWS(D$4:D160)&lt;=$B$2,INDEX(data!E$3:E$16128,SMALL(IF(data!$D$3:$D$16128='Обеля'!$B$1,ROW(data!$A$3:$A$16128)-ROW($A$3)+1),ROWS(D$4:D160))),"")</f>
        <v/>
      </c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41" t="str">
        <f t="array" ref="A161">IF(ROWS(A$4:A161)&lt;=$B$2,INDEX(data!C$3:C$16128,SMALL(IF(data!$D$3:$D$16128='Обеля'!$B$1,ROW(data!$A$3:$A$16128)-ROW($A$3)+1),ROWS(A$4:A161))),"")</f>
        <v/>
      </c>
      <c r="B161" s="19" t="str">
        <f t="array" ref="B161">IF(ROWS(B$4:B161)&lt;=$B$2,INDEX(data!A$3:A$16128,SMALL(IF(data!$D$3:$D$16128='Обеля'!$B$1,ROW(data!$A$3:$A$16128)-ROW($A$3)+1),ROWS(B$4:B161))),"")</f>
        <v/>
      </c>
      <c r="C161" s="19" t="str">
        <f t="array" ref="C161">IF(ROWS(C$4:C161)&lt;=$B$2,INDEX(data!B$3:B$16128,SMALL(IF(data!$D$3:$D$16128='Обеля'!$B$1,ROW(data!$A$3:$A$16128)-ROW($A$3)+1),ROWS(C$4:C161))),"")</f>
        <v/>
      </c>
      <c r="D161" s="7" t="str">
        <f t="array" ref="D161">IF(ROWS(D$4:D161)&lt;=$B$2,INDEX(data!E$3:E$16128,SMALL(IF(data!$D$3:$D$16128='Обеля'!$B$1,ROW(data!$A$3:$A$16128)-ROW($A$3)+1),ROWS(D$4:D161))),"")</f>
        <v/>
      </c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41" t="str">
        <f t="array" ref="A162">IF(ROWS(A$4:A162)&lt;=$B$2,INDEX(data!C$3:C$16128,SMALL(IF(data!$D$3:$D$16128='Обеля'!$B$1,ROW(data!$A$3:$A$16128)-ROW($A$3)+1),ROWS(A$4:A162))),"")</f>
        <v/>
      </c>
      <c r="B162" s="19" t="str">
        <f t="array" ref="B162">IF(ROWS(B$4:B162)&lt;=$B$2,INDEX(data!A$3:A$16128,SMALL(IF(data!$D$3:$D$16128='Обеля'!$B$1,ROW(data!$A$3:$A$16128)-ROW($A$3)+1),ROWS(B$4:B162))),"")</f>
        <v/>
      </c>
      <c r="C162" s="19" t="str">
        <f t="array" ref="C162">IF(ROWS(C$4:C162)&lt;=$B$2,INDEX(data!B$3:B$16128,SMALL(IF(data!$D$3:$D$16128='Обеля'!$B$1,ROW(data!$A$3:$A$16128)-ROW($A$3)+1),ROWS(C$4:C162))),"")</f>
        <v/>
      </c>
      <c r="D162" s="7" t="str">
        <f t="array" ref="D162">IF(ROWS(D$4:D162)&lt;=$B$2,INDEX(data!E$3:E$16128,SMALL(IF(data!$D$3:$D$16128='Обеля'!$B$1,ROW(data!$A$3:$A$16128)-ROW($A$3)+1),ROWS(D$4:D162))),"")</f>
        <v/>
      </c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41" t="str">
        <f t="array" ref="A163">IF(ROWS(A$4:A163)&lt;=$B$2,INDEX(data!C$3:C$16128,SMALL(IF(data!$D$3:$D$16128='Обеля'!$B$1,ROW(data!$A$3:$A$16128)-ROW($A$3)+1),ROWS(A$4:A163))),"")</f>
        <v/>
      </c>
      <c r="B163" s="19" t="str">
        <f t="array" ref="B163">IF(ROWS(B$4:B163)&lt;=$B$2,INDEX(data!A$3:A$16128,SMALL(IF(data!$D$3:$D$16128='Обеля'!$B$1,ROW(data!$A$3:$A$16128)-ROW($A$3)+1),ROWS(B$4:B163))),"")</f>
        <v/>
      </c>
      <c r="C163" s="19" t="str">
        <f t="array" ref="C163">IF(ROWS(C$4:C163)&lt;=$B$2,INDEX(data!B$3:B$16128,SMALL(IF(data!$D$3:$D$16128='Обеля'!$B$1,ROW(data!$A$3:$A$16128)-ROW($A$3)+1),ROWS(C$4:C163))),"")</f>
        <v/>
      </c>
      <c r="D163" s="7" t="str">
        <f t="array" ref="D163">IF(ROWS(D$4:D163)&lt;=$B$2,INDEX(data!E$3:E$16128,SMALL(IF(data!$D$3:$D$16128='Обеля'!$B$1,ROW(data!$A$3:$A$16128)-ROW($A$3)+1),ROWS(D$4:D163))),"")</f>
        <v/>
      </c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41" t="str">
        <f t="array" ref="A164">IF(ROWS(A$4:A164)&lt;=$B$2,INDEX(data!C$3:C$16128,SMALL(IF(data!$D$3:$D$16128='Обеля'!$B$1,ROW(data!$A$3:$A$16128)-ROW($A$3)+1),ROWS(A$4:A164))),"")</f>
        <v/>
      </c>
      <c r="B164" s="19" t="str">
        <f t="array" ref="B164">IF(ROWS(B$4:B164)&lt;=$B$2,INDEX(data!A$3:A$16128,SMALL(IF(data!$D$3:$D$16128='Обеля'!$B$1,ROW(data!$A$3:$A$16128)-ROW($A$3)+1),ROWS(B$4:B164))),"")</f>
        <v/>
      </c>
      <c r="C164" s="19" t="str">
        <f t="array" ref="C164">IF(ROWS(C$4:C164)&lt;=$B$2,INDEX(data!B$3:B$16128,SMALL(IF(data!$D$3:$D$16128='Обеля'!$B$1,ROW(data!$A$3:$A$16128)-ROW($A$3)+1),ROWS(C$4:C164))),"")</f>
        <v/>
      </c>
      <c r="D164" s="7" t="str">
        <f t="array" ref="D164">IF(ROWS(D$4:D164)&lt;=$B$2,INDEX(data!E$3:E$16128,SMALL(IF(data!$D$3:$D$16128='Обеля'!$B$1,ROW(data!$A$3:$A$16128)-ROW($A$3)+1),ROWS(D$4:D164))),"")</f>
        <v/>
      </c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41" t="str">
        <f t="array" ref="A165">IF(ROWS(A$4:A165)&lt;=$B$2,INDEX(data!C$3:C$16128,SMALL(IF(data!$D$3:$D$16128='Обеля'!$B$1,ROW(data!$A$3:$A$16128)-ROW($A$3)+1),ROWS(A$4:A165))),"")</f>
        <v/>
      </c>
      <c r="B165" s="19" t="str">
        <f t="array" ref="B165">IF(ROWS(B$4:B165)&lt;=$B$2,INDEX(data!A$3:A$16128,SMALL(IF(data!$D$3:$D$16128='Обеля'!$B$1,ROW(data!$A$3:$A$16128)-ROW($A$3)+1),ROWS(B$4:B165))),"")</f>
        <v/>
      </c>
      <c r="C165" s="19" t="str">
        <f t="array" ref="C165">IF(ROWS(C$4:C165)&lt;=$B$2,INDEX(data!B$3:B$16128,SMALL(IF(data!$D$3:$D$16128='Обеля'!$B$1,ROW(data!$A$3:$A$16128)-ROW($A$3)+1),ROWS(C$4:C165))),"")</f>
        <v/>
      </c>
      <c r="D165" s="7" t="str">
        <f t="array" ref="D165">IF(ROWS(D$4:D165)&lt;=$B$2,INDEX(data!E$3:E$16128,SMALL(IF(data!$D$3:$D$16128='Обеля'!$B$1,ROW(data!$A$3:$A$16128)-ROW($A$3)+1),ROWS(D$4:D165))),"")</f>
        <v/>
      </c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41" t="str">
        <f t="array" ref="A166">IF(ROWS(A$4:A166)&lt;=$B$2,INDEX(data!C$3:C$16128,SMALL(IF(data!$D$3:$D$16128='Обеля'!$B$1,ROW(data!$A$3:$A$16128)-ROW($A$3)+1),ROWS(A$4:A166))),"")</f>
        <v/>
      </c>
      <c r="B166" s="19" t="str">
        <f t="array" ref="B166">IF(ROWS(B$4:B166)&lt;=$B$2,INDEX(data!A$3:A$16128,SMALL(IF(data!$D$3:$D$16128='Обеля'!$B$1,ROW(data!$A$3:$A$16128)-ROW($A$3)+1),ROWS(B$4:B166))),"")</f>
        <v/>
      </c>
      <c r="C166" s="19" t="str">
        <f t="array" ref="C166">IF(ROWS(C$4:C166)&lt;=$B$2,INDEX(data!B$3:B$16128,SMALL(IF(data!$D$3:$D$16128='Обеля'!$B$1,ROW(data!$A$3:$A$16128)-ROW($A$3)+1),ROWS(C$4:C166))),"")</f>
        <v/>
      </c>
      <c r="D166" s="7" t="str">
        <f t="array" ref="D166">IF(ROWS(D$4:D166)&lt;=$B$2,INDEX(data!E$3:E$16128,SMALL(IF(data!$D$3:$D$16128='Обеля'!$B$1,ROW(data!$A$3:$A$16128)-ROW($A$3)+1),ROWS(D$4:D166))),"")</f>
        <v/>
      </c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44"/>
      <c r="B167" s="40"/>
      <c r="C167" s="40"/>
      <c r="D167" s="40"/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44"/>
      <c r="B168" s="40"/>
      <c r="C168" s="40"/>
      <c r="D168" s="40"/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44"/>
      <c r="B169" s="40"/>
      <c r="C169" s="40"/>
      <c r="D169" s="40"/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44"/>
      <c r="B170" s="40"/>
      <c r="C170" s="40"/>
      <c r="D170" s="40"/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44"/>
      <c r="B171" s="40"/>
      <c r="C171" s="40"/>
      <c r="D171" s="40"/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44"/>
      <c r="B172" s="40"/>
      <c r="C172" s="40"/>
      <c r="D172" s="40"/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44"/>
      <c r="B173" s="40"/>
      <c r="C173" s="40"/>
      <c r="D173" s="40"/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44"/>
      <c r="B174" s="40"/>
      <c r="C174" s="40"/>
      <c r="D174" s="40"/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44"/>
      <c r="B175" s="40"/>
      <c r="C175" s="40"/>
      <c r="D175" s="40"/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44"/>
      <c r="B176" s="40"/>
      <c r="C176" s="40"/>
      <c r="D176" s="40"/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44"/>
      <c r="B177" s="40"/>
      <c r="C177" s="40"/>
      <c r="D177" s="40"/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44"/>
      <c r="B178" s="40"/>
      <c r="C178" s="40"/>
      <c r="D178" s="40"/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44"/>
      <c r="B179" s="40"/>
      <c r="C179" s="40"/>
      <c r="D179" s="40"/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44"/>
      <c r="B180" s="40"/>
      <c r="C180" s="40"/>
      <c r="D180" s="40"/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44"/>
      <c r="B181" s="40"/>
      <c r="C181" s="40"/>
      <c r="D181" s="40"/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44"/>
      <c r="B182" s="40"/>
      <c r="C182" s="40"/>
      <c r="D182" s="40"/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44"/>
      <c r="B183" s="40"/>
      <c r="C183" s="40"/>
      <c r="D183" s="40"/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44"/>
      <c r="B184" s="40"/>
      <c r="C184" s="40"/>
      <c r="D184" s="40"/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44"/>
      <c r="B185" s="40"/>
      <c r="C185" s="40"/>
      <c r="D185" s="40"/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44"/>
      <c r="B186" s="40"/>
      <c r="C186" s="40"/>
      <c r="D186" s="40"/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44"/>
      <c r="B187" s="40"/>
      <c r="C187" s="40"/>
      <c r="D187" s="40"/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44"/>
      <c r="B188" s="40"/>
      <c r="C188" s="40"/>
      <c r="D188" s="40"/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44"/>
      <c r="B189" s="40"/>
      <c r="C189" s="40"/>
      <c r="D189" s="40"/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44"/>
      <c r="B190" s="40"/>
      <c r="C190" s="40"/>
      <c r="D190" s="40"/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44"/>
      <c r="B191" s="40"/>
      <c r="C191" s="40"/>
      <c r="D191" s="40"/>
      <c r="E191" s="11"/>
      <c r="F191" s="11"/>
      <c r="G191" s="11"/>
      <c r="H191" s="14"/>
      <c r="I191" s="14"/>
      <c r="J191" s="14"/>
      <c r="K191" s="14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44"/>
      <c r="B192" s="40"/>
      <c r="C192" s="40"/>
      <c r="D192" s="40"/>
      <c r="E192" s="11"/>
      <c r="F192" s="11"/>
      <c r="G192" s="11"/>
      <c r="H192" s="14"/>
      <c r="I192" s="14"/>
      <c r="J192" s="14"/>
      <c r="K192" s="1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44"/>
      <c r="B193" s="40"/>
      <c r="C193" s="40"/>
      <c r="D193" s="40"/>
      <c r="E193" s="11"/>
      <c r="F193" s="11"/>
      <c r="G193" s="11"/>
      <c r="H193" s="14"/>
      <c r="I193" s="14"/>
      <c r="J193" s="14"/>
      <c r="K193" s="14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44"/>
      <c r="B194" s="40"/>
      <c r="C194" s="40"/>
      <c r="D194" s="40"/>
      <c r="E194" s="11"/>
      <c r="F194" s="11"/>
      <c r="G194" s="11"/>
      <c r="H194" s="14"/>
      <c r="I194" s="14"/>
      <c r="J194" s="14"/>
      <c r="K194" s="14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44"/>
      <c r="B195" s="40"/>
      <c r="C195" s="40"/>
      <c r="D195" s="40"/>
      <c r="E195" s="11"/>
      <c r="F195" s="11"/>
      <c r="G195" s="11"/>
      <c r="H195" s="14"/>
      <c r="I195" s="14"/>
      <c r="J195" s="14"/>
      <c r="K195" s="14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44"/>
      <c r="B196" s="40"/>
      <c r="C196" s="40"/>
      <c r="D196" s="40"/>
      <c r="E196" s="11"/>
      <c r="F196" s="11"/>
      <c r="G196" s="11"/>
      <c r="H196" s="14"/>
      <c r="I196" s="14"/>
      <c r="J196" s="14"/>
      <c r="K196" s="14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44"/>
      <c r="B197" s="40"/>
      <c r="C197" s="40"/>
      <c r="D197" s="40"/>
      <c r="E197" s="11"/>
      <c r="F197" s="11"/>
      <c r="G197" s="11"/>
      <c r="H197" s="14"/>
      <c r="I197" s="14"/>
      <c r="J197" s="14"/>
      <c r="K197" s="14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44"/>
      <c r="B198" s="40"/>
      <c r="C198" s="40"/>
      <c r="D198" s="40"/>
      <c r="E198" s="11"/>
      <c r="F198" s="11"/>
      <c r="G198" s="11"/>
      <c r="H198" s="14"/>
      <c r="I198" s="14"/>
      <c r="J198" s="14"/>
      <c r="K198" s="14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44"/>
      <c r="B199" s="40"/>
      <c r="C199" s="40"/>
      <c r="D199" s="40"/>
      <c r="E199" s="11"/>
      <c r="F199" s="11"/>
      <c r="G199" s="11"/>
      <c r="H199" s="14"/>
      <c r="I199" s="14"/>
      <c r="J199" s="14"/>
      <c r="K199" s="14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44"/>
      <c r="B200" s="40"/>
      <c r="C200" s="40"/>
      <c r="D200" s="40"/>
      <c r="E200" s="11"/>
      <c r="F200" s="11"/>
      <c r="G200" s="11"/>
      <c r="H200" s="14"/>
      <c r="I200" s="14"/>
      <c r="J200" s="14"/>
      <c r="K200" s="14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44"/>
      <c r="B201" s="40"/>
      <c r="C201" s="40"/>
      <c r="D201" s="40"/>
      <c r="E201" s="11"/>
      <c r="F201" s="11"/>
      <c r="G201" s="11"/>
      <c r="H201" s="14"/>
      <c r="I201" s="14"/>
      <c r="J201" s="14"/>
      <c r="K201" s="14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44"/>
      <c r="B202" s="40"/>
      <c r="C202" s="40"/>
      <c r="D202" s="40"/>
      <c r="E202" s="11"/>
      <c r="F202" s="11"/>
      <c r="G202" s="11"/>
      <c r="H202" s="14"/>
      <c r="I202" s="14"/>
      <c r="J202" s="14"/>
      <c r="K202" s="14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44"/>
      <c r="B203" s="40"/>
      <c r="C203" s="40"/>
      <c r="D203" s="40"/>
      <c r="E203" s="11"/>
      <c r="F203" s="11"/>
      <c r="G203" s="11"/>
      <c r="H203" s="14"/>
      <c r="I203" s="14"/>
      <c r="J203" s="14"/>
      <c r="K203" s="14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44"/>
      <c r="B204" s="40"/>
      <c r="C204" s="40"/>
      <c r="D204" s="40"/>
      <c r="E204" s="11"/>
      <c r="F204" s="11"/>
      <c r="G204" s="11"/>
      <c r="H204" s="14"/>
      <c r="I204" s="14"/>
      <c r="J204" s="14"/>
      <c r="K204" s="14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44"/>
      <c r="B205" s="40"/>
      <c r="C205" s="40"/>
      <c r="D205" s="40"/>
      <c r="E205" s="11"/>
      <c r="F205" s="11"/>
      <c r="G205" s="11"/>
      <c r="H205" s="14"/>
      <c r="I205" s="14"/>
      <c r="J205" s="14"/>
      <c r="K205" s="14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44"/>
      <c r="B206" s="40"/>
      <c r="C206" s="40"/>
      <c r="D206" s="40"/>
      <c r="E206" s="11"/>
      <c r="F206" s="11"/>
      <c r="G206" s="11"/>
      <c r="H206" s="14"/>
      <c r="I206" s="14"/>
      <c r="J206" s="14"/>
      <c r="K206" s="14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44"/>
      <c r="B207" s="40"/>
      <c r="C207" s="40"/>
      <c r="D207" s="40"/>
      <c r="E207" s="11"/>
      <c r="F207" s="11"/>
      <c r="G207" s="11"/>
      <c r="H207" s="14"/>
      <c r="I207" s="14"/>
      <c r="J207" s="14"/>
      <c r="K207" s="14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44"/>
      <c r="B208" s="40"/>
      <c r="C208" s="40"/>
      <c r="D208" s="40"/>
      <c r="E208" s="11"/>
      <c r="F208" s="11"/>
      <c r="G208" s="11"/>
      <c r="H208" s="14"/>
      <c r="I208" s="14"/>
      <c r="J208" s="14"/>
      <c r="K208" s="14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44"/>
      <c r="B209" s="40"/>
      <c r="C209" s="40"/>
      <c r="D209" s="40"/>
      <c r="E209" s="11"/>
      <c r="F209" s="11"/>
      <c r="G209" s="11"/>
      <c r="H209" s="14"/>
      <c r="I209" s="14"/>
      <c r="J209" s="14"/>
      <c r="K209" s="14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44"/>
      <c r="B210" s="40"/>
      <c r="C210" s="40"/>
      <c r="D210" s="40"/>
      <c r="E210" s="11"/>
      <c r="F210" s="11"/>
      <c r="G210" s="11"/>
      <c r="H210" s="14"/>
      <c r="I210" s="14"/>
      <c r="J210" s="14"/>
      <c r="K210" s="14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44"/>
      <c r="B211" s="40"/>
      <c r="C211" s="40"/>
      <c r="D211" s="40"/>
      <c r="E211" s="11"/>
      <c r="F211" s="11"/>
      <c r="G211" s="11"/>
      <c r="H211" s="14"/>
      <c r="I211" s="14"/>
      <c r="J211" s="14"/>
      <c r="K211" s="14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44"/>
      <c r="B212" s="40"/>
      <c r="C212" s="40"/>
      <c r="D212" s="40"/>
      <c r="E212" s="11"/>
      <c r="F212" s="11"/>
      <c r="G212" s="11"/>
      <c r="H212" s="14"/>
      <c r="I212" s="14"/>
      <c r="J212" s="14"/>
      <c r="K212" s="14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44"/>
      <c r="B213" s="40"/>
      <c r="C213" s="40"/>
      <c r="D213" s="40"/>
      <c r="E213" s="11"/>
      <c r="F213" s="11"/>
      <c r="G213" s="11"/>
      <c r="H213" s="14"/>
      <c r="I213" s="14"/>
      <c r="J213" s="14"/>
      <c r="K213" s="14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44"/>
      <c r="B214" s="40"/>
      <c r="C214" s="40"/>
      <c r="D214" s="40"/>
      <c r="E214" s="11"/>
      <c r="F214" s="11"/>
      <c r="G214" s="11"/>
      <c r="H214" s="14"/>
      <c r="I214" s="14"/>
      <c r="J214" s="14"/>
      <c r="K214" s="14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44"/>
      <c r="B215" s="40"/>
      <c r="C215" s="40"/>
      <c r="D215" s="40"/>
      <c r="E215" s="11"/>
      <c r="F215" s="11"/>
      <c r="G215" s="11"/>
      <c r="H215" s="14"/>
      <c r="I215" s="14"/>
      <c r="J215" s="14"/>
      <c r="K215" s="14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44"/>
      <c r="B216" s="40"/>
      <c r="C216" s="40"/>
      <c r="D216" s="40"/>
      <c r="E216" s="11"/>
      <c r="F216" s="11"/>
      <c r="G216" s="11"/>
      <c r="H216" s="14"/>
      <c r="I216" s="14"/>
      <c r="J216" s="14"/>
      <c r="K216" s="14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44"/>
      <c r="B217" s="40"/>
      <c r="C217" s="40"/>
      <c r="D217" s="40"/>
      <c r="E217" s="11"/>
      <c r="F217" s="11"/>
      <c r="G217" s="11"/>
      <c r="H217" s="14"/>
      <c r="I217" s="14"/>
      <c r="J217" s="14"/>
      <c r="K217" s="14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44"/>
      <c r="B218" s="40"/>
      <c r="C218" s="40"/>
      <c r="D218" s="40"/>
      <c r="E218" s="11"/>
      <c r="F218" s="11"/>
      <c r="G218" s="11"/>
      <c r="H218" s="14"/>
      <c r="I218" s="14"/>
      <c r="J218" s="14"/>
      <c r="K218" s="14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44"/>
      <c r="B219" s="40"/>
      <c r="C219" s="40"/>
      <c r="D219" s="40"/>
      <c r="E219" s="11"/>
      <c r="F219" s="11"/>
      <c r="G219" s="11"/>
      <c r="H219" s="14"/>
      <c r="I219" s="14"/>
      <c r="J219" s="14"/>
      <c r="K219" s="14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44"/>
      <c r="B220" s="40"/>
      <c r="C220" s="40"/>
      <c r="D220" s="40"/>
      <c r="E220" s="11"/>
      <c r="F220" s="11"/>
      <c r="G220" s="11"/>
      <c r="H220" s="14"/>
      <c r="I220" s="14"/>
      <c r="J220" s="14"/>
      <c r="K220" s="14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44"/>
      <c r="B221" s="40"/>
      <c r="C221" s="40"/>
      <c r="D221" s="40"/>
      <c r="E221" s="11"/>
      <c r="F221" s="11"/>
      <c r="G221" s="11"/>
      <c r="H221" s="14"/>
      <c r="I221" s="14"/>
      <c r="J221" s="14"/>
      <c r="K221" s="14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44"/>
      <c r="B222" s="40"/>
      <c r="C222" s="40"/>
      <c r="D222" s="40"/>
      <c r="E222" s="11"/>
      <c r="F222" s="11"/>
      <c r="G222" s="11"/>
      <c r="H222" s="14"/>
      <c r="I222" s="14"/>
      <c r="J222" s="14"/>
      <c r="K222" s="14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44"/>
      <c r="B223" s="40"/>
      <c r="C223" s="40"/>
      <c r="D223" s="40"/>
      <c r="E223" s="11"/>
      <c r="F223" s="11"/>
      <c r="G223" s="11"/>
      <c r="H223" s="14"/>
      <c r="I223" s="14"/>
      <c r="J223" s="14"/>
      <c r="K223" s="14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44"/>
      <c r="B224" s="40"/>
      <c r="C224" s="40"/>
      <c r="D224" s="40"/>
      <c r="E224" s="11"/>
      <c r="F224" s="11"/>
      <c r="G224" s="11"/>
      <c r="H224" s="14"/>
      <c r="I224" s="14"/>
      <c r="J224" s="14"/>
      <c r="K224" s="14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44"/>
      <c r="B225" s="40"/>
      <c r="C225" s="40"/>
      <c r="D225" s="40"/>
      <c r="E225" s="11"/>
      <c r="F225" s="11"/>
      <c r="G225" s="11"/>
      <c r="H225" s="14"/>
      <c r="I225" s="14"/>
      <c r="J225" s="14"/>
      <c r="K225" s="14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44"/>
      <c r="B226" s="40"/>
      <c r="C226" s="40"/>
      <c r="D226" s="40"/>
      <c r="E226" s="11"/>
      <c r="F226" s="11"/>
      <c r="G226" s="11"/>
      <c r="H226" s="14"/>
      <c r="I226" s="14"/>
      <c r="J226" s="14"/>
      <c r="K226" s="14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44"/>
      <c r="B227" s="40"/>
      <c r="C227" s="40"/>
      <c r="D227" s="40"/>
      <c r="E227" s="11"/>
      <c r="F227" s="11"/>
      <c r="G227" s="11"/>
      <c r="H227" s="14"/>
      <c r="I227" s="14"/>
      <c r="J227" s="14"/>
      <c r="K227" s="14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44"/>
      <c r="B228" s="40"/>
      <c r="C228" s="40"/>
      <c r="D228" s="40"/>
      <c r="E228" s="11"/>
      <c r="F228" s="11"/>
      <c r="G228" s="11"/>
      <c r="H228" s="14"/>
      <c r="I228" s="14"/>
      <c r="J228" s="14"/>
      <c r="K228" s="14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44"/>
      <c r="B229" s="40"/>
      <c r="C229" s="40"/>
      <c r="D229" s="40"/>
      <c r="E229" s="11"/>
      <c r="F229" s="11"/>
      <c r="G229" s="11"/>
      <c r="H229" s="14"/>
      <c r="I229" s="14"/>
      <c r="J229" s="14"/>
      <c r="K229" s="14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44"/>
      <c r="B230" s="40"/>
      <c r="C230" s="40"/>
      <c r="D230" s="40"/>
      <c r="E230" s="11"/>
      <c r="F230" s="11"/>
      <c r="G230" s="11"/>
      <c r="H230" s="14"/>
      <c r="I230" s="14"/>
      <c r="J230" s="14"/>
      <c r="K230" s="14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44"/>
      <c r="B231" s="40"/>
      <c r="C231" s="40"/>
      <c r="D231" s="40"/>
      <c r="E231" s="11"/>
      <c r="F231" s="11"/>
      <c r="G231" s="11"/>
      <c r="H231" s="14"/>
      <c r="I231" s="14"/>
      <c r="J231" s="14"/>
      <c r="K231" s="14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44"/>
      <c r="B232" s="40"/>
      <c r="C232" s="40"/>
      <c r="D232" s="40"/>
      <c r="E232" s="11"/>
      <c r="F232" s="11"/>
      <c r="G232" s="11"/>
      <c r="H232" s="14"/>
      <c r="I232" s="14"/>
      <c r="J232" s="14"/>
      <c r="K232" s="14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44"/>
      <c r="B233" s="40"/>
      <c r="C233" s="40"/>
      <c r="D233" s="40"/>
      <c r="E233" s="11"/>
      <c r="F233" s="11"/>
      <c r="G233" s="11"/>
      <c r="H233" s="14"/>
      <c r="I233" s="14"/>
      <c r="J233" s="14"/>
      <c r="K233" s="14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44"/>
      <c r="B234" s="40"/>
      <c r="C234" s="40"/>
      <c r="D234" s="40"/>
      <c r="E234" s="11"/>
      <c r="F234" s="11"/>
      <c r="G234" s="11"/>
      <c r="H234" s="14"/>
      <c r="I234" s="14"/>
      <c r="J234" s="14"/>
      <c r="K234" s="14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44"/>
      <c r="B235" s="40"/>
      <c r="C235" s="40"/>
      <c r="D235" s="40"/>
      <c r="E235" s="11"/>
      <c r="F235" s="11"/>
      <c r="G235" s="11"/>
      <c r="H235" s="14"/>
      <c r="I235" s="14"/>
      <c r="J235" s="14"/>
      <c r="K235" s="14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44"/>
      <c r="B236" s="40"/>
      <c r="C236" s="40"/>
      <c r="D236" s="40"/>
      <c r="E236" s="11"/>
      <c r="F236" s="11"/>
      <c r="G236" s="11"/>
      <c r="H236" s="14"/>
      <c r="I236" s="14"/>
      <c r="J236" s="14"/>
      <c r="K236" s="1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44"/>
      <c r="B237" s="40"/>
      <c r="C237" s="40"/>
      <c r="D237" s="40"/>
      <c r="E237" s="11"/>
      <c r="F237" s="11"/>
      <c r="G237" s="11"/>
      <c r="H237" s="14"/>
      <c r="I237" s="14"/>
      <c r="J237" s="14"/>
      <c r="K237" s="14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44"/>
      <c r="B238" s="40"/>
      <c r="C238" s="40"/>
      <c r="D238" s="40"/>
      <c r="E238" s="11"/>
      <c r="F238" s="11"/>
      <c r="G238" s="11"/>
      <c r="H238" s="14"/>
      <c r="I238" s="14"/>
      <c r="J238" s="14"/>
      <c r="K238" s="14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44"/>
      <c r="B239" s="40"/>
      <c r="C239" s="40"/>
      <c r="D239" s="40"/>
      <c r="E239" s="11"/>
      <c r="F239" s="11"/>
      <c r="G239" s="11"/>
      <c r="H239" s="14"/>
      <c r="I239" s="14"/>
      <c r="J239" s="14"/>
      <c r="K239" s="14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44"/>
      <c r="B240" s="40"/>
      <c r="C240" s="40"/>
      <c r="D240" s="40"/>
      <c r="E240" s="11"/>
      <c r="F240" s="11"/>
      <c r="G240" s="11"/>
      <c r="H240" s="14"/>
      <c r="I240" s="14"/>
      <c r="J240" s="14"/>
      <c r="K240" s="14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44"/>
      <c r="B241" s="40"/>
      <c r="C241" s="40"/>
      <c r="D241" s="40"/>
      <c r="E241" s="11"/>
      <c r="F241" s="11"/>
      <c r="G241" s="11"/>
      <c r="H241" s="14"/>
      <c r="I241" s="14"/>
      <c r="J241" s="14"/>
      <c r="K241" s="14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44"/>
      <c r="B242" s="40"/>
      <c r="C242" s="40"/>
      <c r="D242" s="40"/>
      <c r="E242" s="11"/>
      <c r="F242" s="11"/>
      <c r="G242" s="11"/>
      <c r="H242" s="14"/>
      <c r="I242" s="14"/>
      <c r="J242" s="14"/>
      <c r="K242" s="14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44"/>
      <c r="B243" s="40"/>
      <c r="C243" s="40"/>
      <c r="D243" s="40"/>
      <c r="E243" s="11"/>
      <c r="F243" s="11"/>
      <c r="G243" s="11"/>
      <c r="H243" s="14"/>
      <c r="I243" s="14"/>
      <c r="J243" s="14"/>
      <c r="K243" s="14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44"/>
      <c r="B244" s="40"/>
      <c r="C244" s="40"/>
      <c r="D244" s="40"/>
      <c r="E244" s="11"/>
      <c r="F244" s="11"/>
      <c r="G244" s="11"/>
      <c r="H244" s="14"/>
      <c r="I244" s="14"/>
      <c r="J244" s="14"/>
      <c r="K244" s="14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44"/>
      <c r="B245" s="40"/>
      <c r="C245" s="40"/>
      <c r="D245" s="40"/>
      <c r="E245" s="11"/>
      <c r="F245" s="11"/>
      <c r="G245" s="11"/>
      <c r="H245" s="14"/>
      <c r="I245" s="14"/>
      <c r="J245" s="14"/>
      <c r="K245" s="14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44"/>
      <c r="B246" s="40"/>
      <c r="C246" s="40"/>
      <c r="D246" s="40"/>
      <c r="E246" s="11"/>
      <c r="F246" s="11"/>
      <c r="G246" s="11"/>
      <c r="H246" s="14"/>
      <c r="I246" s="14"/>
      <c r="J246" s="14"/>
      <c r="K246" s="14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44"/>
      <c r="B247" s="40"/>
      <c r="C247" s="40"/>
      <c r="D247" s="40"/>
      <c r="E247" s="11"/>
      <c r="F247" s="11"/>
      <c r="G247" s="11"/>
      <c r="H247" s="14"/>
      <c r="I247" s="14"/>
      <c r="J247" s="14"/>
      <c r="K247" s="14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44"/>
      <c r="B248" s="40"/>
      <c r="C248" s="40"/>
      <c r="D248" s="40"/>
      <c r="E248" s="11"/>
      <c r="F248" s="11"/>
      <c r="G248" s="11"/>
      <c r="H248" s="14"/>
      <c r="I248" s="14"/>
      <c r="J248" s="14"/>
      <c r="K248" s="14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44"/>
      <c r="B249" s="40"/>
      <c r="C249" s="40"/>
      <c r="D249" s="40"/>
      <c r="E249" s="11"/>
      <c r="F249" s="11"/>
      <c r="G249" s="11"/>
      <c r="H249" s="14"/>
      <c r="I249" s="14"/>
      <c r="J249" s="14"/>
      <c r="K249" s="14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44"/>
      <c r="B250" s="40"/>
      <c r="C250" s="40"/>
      <c r="D250" s="40"/>
      <c r="E250" s="11"/>
      <c r="F250" s="11"/>
      <c r="G250" s="11"/>
      <c r="H250" s="14"/>
      <c r="I250" s="14"/>
      <c r="J250" s="14"/>
      <c r="K250" s="14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44"/>
      <c r="B251" s="40"/>
      <c r="C251" s="40"/>
      <c r="D251" s="40"/>
      <c r="E251" s="11"/>
      <c r="F251" s="11"/>
      <c r="G251" s="11"/>
      <c r="H251" s="14"/>
      <c r="I251" s="14"/>
      <c r="J251" s="14"/>
      <c r="K251" s="14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44"/>
      <c r="B252" s="40"/>
      <c r="C252" s="40"/>
      <c r="D252" s="40"/>
      <c r="E252" s="11"/>
      <c r="F252" s="11"/>
      <c r="G252" s="11"/>
      <c r="H252" s="14"/>
      <c r="I252" s="14"/>
      <c r="J252" s="14"/>
      <c r="K252" s="14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44"/>
      <c r="B253" s="40"/>
      <c r="C253" s="40"/>
      <c r="D253" s="40"/>
      <c r="E253" s="11"/>
      <c r="F253" s="11"/>
      <c r="G253" s="11"/>
      <c r="H253" s="14"/>
      <c r="I253" s="14"/>
      <c r="J253" s="14"/>
      <c r="K253" s="14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44"/>
      <c r="B254" s="40"/>
      <c r="C254" s="40"/>
      <c r="D254" s="40"/>
      <c r="E254" s="11"/>
      <c r="F254" s="11"/>
      <c r="G254" s="11"/>
      <c r="H254" s="14"/>
      <c r="I254" s="14"/>
      <c r="J254" s="14"/>
      <c r="K254" s="14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44"/>
      <c r="B255" s="40"/>
      <c r="C255" s="40"/>
      <c r="D255" s="40"/>
      <c r="E255" s="11"/>
      <c r="F255" s="11"/>
      <c r="G255" s="11"/>
      <c r="H255" s="14"/>
      <c r="I255" s="14"/>
      <c r="J255" s="14"/>
      <c r="K255" s="14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44"/>
      <c r="B256" s="40"/>
      <c r="C256" s="40"/>
      <c r="D256" s="40"/>
      <c r="E256" s="11"/>
      <c r="F256" s="11"/>
      <c r="G256" s="11"/>
      <c r="H256" s="14"/>
      <c r="I256" s="14"/>
      <c r="J256" s="14"/>
      <c r="K256" s="14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44"/>
      <c r="B257" s="40"/>
      <c r="C257" s="40"/>
      <c r="D257" s="40"/>
      <c r="E257" s="11"/>
      <c r="F257" s="11"/>
      <c r="G257" s="11"/>
      <c r="H257" s="14"/>
      <c r="I257" s="14"/>
      <c r="J257" s="14"/>
      <c r="K257" s="14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44"/>
      <c r="B258" s="40"/>
      <c r="C258" s="40"/>
      <c r="D258" s="40"/>
      <c r="E258" s="11"/>
      <c r="F258" s="11"/>
      <c r="G258" s="11"/>
      <c r="H258" s="14"/>
      <c r="I258" s="14"/>
      <c r="J258" s="14"/>
      <c r="K258" s="14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44"/>
      <c r="B259" s="40"/>
      <c r="C259" s="40"/>
      <c r="D259" s="40"/>
      <c r="E259" s="11"/>
      <c r="F259" s="11"/>
      <c r="G259" s="11"/>
      <c r="H259" s="14"/>
      <c r="I259" s="14"/>
      <c r="J259" s="14"/>
      <c r="K259" s="14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44"/>
      <c r="B260" s="40"/>
      <c r="C260" s="40"/>
      <c r="D260" s="40"/>
      <c r="E260" s="11"/>
      <c r="F260" s="11"/>
      <c r="G260" s="11"/>
      <c r="H260" s="14"/>
      <c r="I260" s="14"/>
      <c r="J260" s="14"/>
      <c r="K260" s="14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44"/>
      <c r="B261" s="40"/>
      <c r="C261" s="40"/>
      <c r="D261" s="40"/>
      <c r="E261" s="11"/>
      <c r="F261" s="11"/>
      <c r="G261" s="11"/>
      <c r="H261" s="14"/>
      <c r="I261" s="14"/>
      <c r="J261" s="14"/>
      <c r="K261" s="14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44"/>
      <c r="B262" s="40"/>
      <c r="C262" s="40"/>
      <c r="D262" s="40"/>
      <c r="E262" s="11"/>
      <c r="F262" s="11"/>
      <c r="G262" s="11"/>
      <c r="H262" s="14"/>
      <c r="I262" s="14"/>
      <c r="J262" s="14"/>
      <c r="K262" s="14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44"/>
      <c r="B263" s="40"/>
      <c r="C263" s="40"/>
      <c r="D263" s="40"/>
      <c r="E263" s="11"/>
      <c r="F263" s="11"/>
      <c r="G263" s="11"/>
      <c r="H263" s="14"/>
      <c r="I263" s="14"/>
      <c r="J263" s="14"/>
      <c r="K263" s="14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44"/>
      <c r="B264" s="40"/>
      <c r="C264" s="40"/>
      <c r="D264" s="40"/>
      <c r="E264" s="11"/>
      <c r="F264" s="11"/>
      <c r="G264" s="11"/>
      <c r="H264" s="14"/>
      <c r="I264" s="14"/>
      <c r="J264" s="14"/>
      <c r="K264" s="14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44"/>
      <c r="B265" s="40"/>
      <c r="C265" s="40"/>
      <c r="D265" s="40"/>
      <c r="E265" s="11"/>
      <c r="F265" s="11"/>
      <c r="G265" s="11"/>
      <c r="H265" s="14"/>
      <c r="I265" s="14"/>
      <c r="J265" s="14"/>
      <c r="K265" s="14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44"/>
      <c r="B266" s="40"/>
      <c r="C266" s="40"/>
      <c r="D266" s="40"/>
      <c r="E266" s="11"/>
      <c r="F266" s="11"/>
      <c r="G266" s="11"/>
      <c r="H266" s="14"/>
      <c r="I266" s="14"/>
      <c r="J266" s="14"/>
      <c r="K266" s="14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44"/>
      <c r="B267" s="40"/>
      <c r="C267" s="40"/>
      <c r="D267" s="40"/>
      <c r="E267" s="11"/>
      <c r="F267" s="11"/>
      <c r="G267" s="11"/>
      <c r="H267" s="14"/>
      <c r="I267" s="14"/>
      <c r="J267" s="14"/>
      <c r="K267" s="14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44"/>
      <c r="B268" s="40"/>
      <c r="C268" s="40"/>
      <c r="D268" s="40"/>
      <c r="E268" s="11"/>
      <c r="F268" s="11"/>
      <c r="G268" s="11"/>
      <c r="H268" s="14"/>
      <c r="I268" s="14"/>
      <c r="J268" s="14"/>
      <c r="K268" s="14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44"/>
      <c r="B269" s="40"/>
      <c r="C269" s="40"/>
      <c r="D269" s="40"/>
      <c r="E269" s="11"/>
      <c r="F269" s="11"/>
      <c r="G269" s="11"/>
      <c r="H269" s="14"/>
      <c r="I269" s="14"/>
      <c r="J269" s="14"/>
      <c r="K269" s="14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44"/>
      <c r="B270" s="40"/>
      <c r="C270" s="40"/>
      <c r="D270" s="40"/>
      <c r="E270" s="11"/>
      <c r="F270" s="11"/>
      <c r="G270" s="11"/>
      <c r="H270" s="14"/>
      <c r="I270" s="14"/>
      <c r="J270" s="14"/>
      <c r="K270" s="14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44"/>
      <c r="B271" s="40"/>
      <c r="C271" s="40"/>
      <c r="D271" s="40"/>
      <c r="E271" s="11"/>
      <c r="F271" s="11"/>
      <c r="G271" s="11"/>
      <c r="H271" s="14"/>
      <c r="I271" s="14"/>
      <c r="J271" s="14"/>
      <c r="K271" s="14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44"/>
      <c r="B272" s="40"/>
      <c r="C272" s="40"/>
      <c r="D272" s="40"/>
      <c r="E272" s="11"/>
      <c r="F272" s="11"/>
      <c r="G272" s="11"/>
      <c r="H272" s="14"/>
      <c r="I272" s="14"/>
      <c r="J272" s="14"/>
      <c r="K272" s="14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44"/>
      <c r="B273" s="40"/>
      <c r="C273" s="40"/>
      <c r="D273" s="40"/>
      <c r="E273" s="11"/>
      <c r="F273" s="11"/>
      <c r="G273" s="11"/>
      <c r="H273" s="14"/>
      <c r="I273" s="14"/>
      <c r="J273" s="14"/>
      <c r="K273" s="14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44"/>
      <c r="B274" s="40"/>
      <c r="C274" s="40"/>
      <c r="D274" s="40"/>
      <c r="E274" s="11"/>
      <c r="F274" s="11"/>
      <c r="G274" s="11"/>
      <c r="H274" s="14"/>
      <c r="I274" s="14"/>
      <c r="J274" s="14"/>
      <c r="K274" s="14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44"/>
      <c r="B275" s="40"/>
      <c r="C275" s="40"/>
      <c r="D275" s="40"/>
      <c r="E275" s="11"/>
      <c r="F275" s="11"/>
      <c r="G275" s="11"/>
      <c r="H275" s="14"/>
      <c r="I275" s="14"/>
      <c r="J275" s="14"/>
      <c r="K275" s="14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44"/>
      <c r="B276" s="40"/>
      <c r="C276" s="40"/>
      <c r="D276" s="40"/>
      <c r="E276" s="11"/>
      <c r="F276" s="11"/>
      <c r="G276" s="11"/>
      <c r="H276" s="14"/>
      <c r="I276" s="14"/>
      <c r="J276" s="14"/>
      <c r="K276" s="14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44"/>
      <c r="B277" s="40"/>
      <c r="C277" s="40"/>
      <c r="D277" s="40"/>
      <c r="E277" s="11"/>
      <c r="F277" s="11"/>
      <c r="G277" s="11"/>
      <c r="H277" s="14"/>
      <c r="I277" s="14"/>
      <c r="J277" s="14"/>
      <c r="K277" s="14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44"/>
      <c r="B278" s="40"/>
      <c r="C278" s="40"/>
      <c r="D278" s="40"/>
      <c r="E278" s="11"/>
      <c r="F278" s="11"/>
      <c r="G278" s="11"/>
      <c r="H278" s="14"/>
      <c r="I278" s="14"/>
      <c r="J278" s="14"/>
      <c r="K278" s="14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44"/>
      <c r="B279" s="40"/>
      <c r="C279" s="40"/>
      <c r="D279" s="40"/>
      <c r="E279" s="11"/>
      <c r="F279" s="11"/>
      <c r="G279" s="11"/>
      <c r="H279" s="14"/>
      <c r="I279" s="14"/>
      <c r="J279" s="14"/>
      <c r="K279" s="14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44"/>
      <c r="B280" s="40"/>
      <c r="C280" s="40"/>
      <c r="D280" s="40"/>
      <c r="E280" s="11"/>
      <c r="F280" s="11"/>
      <c r="G280" s="11"/>
      <c r="H280" s="14"/>
      <c r="I280" s="14"/>
      <c r="J280" s="14"/>
      <c r="K280" s="14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44"/>
      <c r="B281" s="40"/>
      <c r="C281" s="40"/>
      <c r="D281" s="40"/>
      <c r="E281" s="11"/>
      <c r="F281" s="11"/>
      <c r="G281" s="11"/>
      <c r="H281" s="14"/>
      <c r="I281" s="14"/>
      <c r="J281" s="14"/>
      <c r="K281" s="14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44"/>
      <c r="B282" s="40"/>
      <c r="C282" s="40"/>
      <c r="D282" s="40"/>
      <c r="E282" s="11"/>
      <c r="F282" s="11"/>
      <c r="G282" s="11"/>
      <c r="H282" s="14"/>
      <c r="I282" s="14"/>
      <c r="J282" s="14"/>
      <c r="K282" s="1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44"/>
      <c r="B283" s="40"/>
      <c r="C283" s="40"/>
      <c r="D283" s="40"/>
      <c r="E283" s="11"/>
      <c r="F283" s="11"/>
      <c r="G283" s="11"/>
      <c r="H283" s="14"/>
      <c r="I283" s="14"/>
      <c r="J283" s="14"/>
      <c r="K283" s="14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44"/>
      <c r="B284" s="40"/>
      <c r="C284" s="40"/>
      <c r="D284" s="40"/>
      <c r="E284" s="11"/>
      <c r="F284" s="11"/>
      <c r="G284" s="11"/>
      <c r="H284" s="14"/>
      <c r="I284" s="14"/>
      <c r="J284" s="14"/>
      <c r="K284" s="14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44"/>
      <c r="B285" s="40"/>
      <c r="C285" s="40"/>
      <c r="D285" s="40"/>
      <c r="E285" s="11"/>
      <c r="F285" s="11"/>
      <c r="G285" s="11"/>
      <c r="H285" s="14"/>
      <c r="I285" s="14"/>
      <c r="J285" s="14"/>
      <c r="K285" s="14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44"/>
      <c r="B286" s="40"/>
      <c r="C286" s="40"/>
      <c r="D286" s="40"/>
      <c r="E286" s="11"/>
      <c r="F286" s="11"/>
      <c r="G286" s="11"/>
      <c r="H286" s="14"/>
      <c r="I286" s="14"/>
      <c r="J286" s="14"/>
      <c r="K286" s="14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44"/>
      <c r="B287" s="40"/>
      <c r="C287" s="40"/>
      <c r="D287" s="40"/>
      <c r="E287" s="11"/>
      <c r="F287" s="11"/>
      <c r="G287" s="11"/>
      <c r="H287" s="14"/>
      <c r="I287" s="14"/>
      <c r="J287" s="14"/>
      <c r="K287" s="14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44"/>
      <c r="B288" s="40"/>
      <c r="C288" s="40"/>
      <c r="D288" s="40"/>
      <c r="E288" s="11"/>
      <c r="F288" s="11"/>
      <c r="G288" s="11"/>
      <c r="H288" s="14"/>
      <c r="I288" s="14"/>
      <c r="J288" s="14"/>
      <c r="K288" s="14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44"/>
      <c r="B289" s="40"/>
      <c r="C289" s="40"/>
      <c r="D289" s="40"/>
      <c r="E289" s="11"/>
      <c r="F289" s="11"/>
      <c r="G289" s="11"/>
      <c r="H289" s="14"/>
      <c r="I289" s="14"/>
      <c r="J289" s="14"/>
      <c r="K289" s="14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44"/>
      <c r="B290" s="40"/>
      <c r="C290" s="40"/>
      <c r="D290" s="40"/>
      <c r="E290" s="11"/>
      <c r="F290" s="11"/>
      <c r="G290" s="11"/>
      <c r="H290" s="14"/>
      <c r="I290" s="14"/>
      <c r="J290" s="14"/>
      <c r="K290" s="14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44"/>
      <c r="B291" s="40"/>
      <c r="C291" s="40"/>
      <c r="D291" s="40"/>
      <c r="E291" s="11"/>
      <c r="F291" s="11"/>
      <c r="G291" s="11"/>
      <c r="H291" s="14"/>
      <c r="I291" s="14"/>
      <c r="J291" s="14"/>
      <c r="K291" s="14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44"/>
      <c r="B292" s="40"/>
      <c r="C292" s="40"/>
      <c r="D292" s="40"/>
      <c r="E292" s="11"/>
      <c r="F292" s="11"/>
      <c r="G292" s="11"/>
      <c r="H292" s="14"/>
      <c r="I292" s="14"/>
      <c r="J292" s="14"/>
      <c r="K292" s="14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44"/>
      <c r="B293" s="40"/>
      <c r="C293" s="40"/>
      <c r="D293" s="40"/>
      <c r="E293" s="11"/>
      <c r="F293" s="11"/>
      <c r="G293" s="11"/>
      <c r="H293" s="14"/>
      <c r="I293" s="14"/>
      <c r="J293" s="14"/>
      <c r="K293" s="14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44"/>
      <c r="B294" s="40"/>
      <c r="C294" s="40"/>
      <c r="D294" s="40"/>
      <c r="E294" s="11"/>
      <c r="F294" s="11"/>
      <c r="G294" s="11"/>
      <c r="H294" s="14"/>
      <c r="I294" s="14"/>
      <c r="J294" s="14"/>
      <c r="K294" s="14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44"/>
      <c r="B295" s="40"/>
      <c r="C295" s="40"/>
      <c r="D295" s="40"/>
      <c r="E295" s="11"/>
      <c r="F295" s="11"/>
      <c r="G295" s="11"/>
      <c r="H295" s="14"/>
      <c r="I295" s="14"/>
      <c r="J295" s="14"/>
      <c r="K295" s="14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44"/>
      <c r="B296" s="40"/>
      <c r="C296" s="40"/>
      <c r="D296" s="40"/>
      <c r="E296" s="11"/>
      <c r="F296" s="11"/>
      <c r="G296" s="11"/>
      <c r="H296" s="14"/>
      <c r="I296" s="14"/>
      <c r="J296" s="14"/>
      <c r="K296" s="14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44"/>
      <c r="B297" s="40"/>
      <c r="C297" s="40"/>
      <c r="D297" s="40"/>
      <c r="E297" s="11"/>
      <c r="F297" s="11"/>
      <c r="G297" s="11"/>
      <c r="H297" s="14"/>
      <c r="I297" s="14"/>
      <c r="J297" s="14"/>
      <c r="K297" s="14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44"/>
      <c r="B298" s="40"/>
      <c r="C298" s="40"/>
      <c r="D298" s="40"/>
      <c r="E298" s="11"/>
      <c r="F298" s="11"/>
      <c r="G298" s="11"/>
      <c r="H298" s="14"/>
      <c r="I298" s="14"/>
      <c r="J298" s="14"/>
      <c r="K298" s="14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44"/>
      <c r="B299" s="40"/>
      <c r="C299" s="40"/>
      <c r="D299" s="40"/>
      <c r="E299" s="11"/>
      <c r="F299" s="11"/>
      <c r="G299" s="11"/>
      <c r="H299" s="14"/>
      <c r="I299" s="14"/>
      <c r="J299" s="14"/>
      <c r="K299" s="14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44"/>
      <c r="B300" s="40"/>
      <c r="C300" s="40"/>
      <c r="D300" s="40"/>
      <c r="E300" s="11"/>
      <c r="F300" s="11"/>
      <c r="G300" s="11"/>
      <c r="H300" s="14"/>
      <c r="I300" s="14"/>
      <c r="J300" s="14"/>
      <c r="K300" s="14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44"/>
      <c r="B301" s="40"/>
      <c r="C301" s="40"/>
      <c r="D301" s="40"/>
      <c r="E301" s="11"/>
      <c r="F301" s="11"/>
      <c r="G301" s="11"/>
      <c r="H301" s="14"/>
      <c r="I301" s="14"/>
      <c r="J301" s="14"/>
      <c r="K301" s="14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44"/>
      <c r="B302" s="40"/>
      <c r="C302" s="40"/>
      <c r="D302" s="40"/>
      <c r="E302" s="11"/>
      <c r="F302" s="11"/>
      <c r="G302" s="11"/>
      <c r="H302" s="14"/>
      <c r="I302" s="14"/>
      <c r="J302" s="14"/>
      <c r="K302" s="14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44"/>
      <c r="B303" s="40"/>
      <c r="C303" s="40"/>
      <c r="D303" s="40"/>
      <c r="E303" s="11"/>
      <c r="F303" s="11"/>
      <c r="G303" s="11"/>
      <c r="H303" s="14"/>
      <c r="I303" s="14"/>
      <c r="J303" s="14"/>
      <c r="K303" s="14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44"/>
      <c r="B304" s="40"/>
      <c r="C304" s="40"/>
      <c r="D304" s="40"/>
      <c r="E304" s="11"/>
      <c r="F304" s="11"/>
      <c r="G304" s="11"/>
      <c r="H304" s="14"/>
      <c r="I304" s="14"/>
      <c r="J304" s="14"/>
      <c r="K304" s="14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44"/>
      <c r="B305" s="40"/>
      <c r="C305" s="40"/>
      <c r="D305" s="40"/>
      <c r="E305" s="11"/>
      <c r="F305" s="11"/>
      <c r="G305" s="11"/>
      <c r="H305" s="14"/>
      <c r="I305" s="14"/>
      <c r="J305" s="14"/>
      <c r="K305" s="14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44"/>
      <c r="B306" s="40"/>
      <c r="C306" s="40"/>
      <c r="D306" s="40"/>
      <c r="E306" s="11"/>
      <c r="F306" s="11"/>
      <c r="G306" s="11"/>
      <c r="H306" s="14"/>
      <c r="I306" s="14"/>
      <c r="J306" s="14"/>
      <c r="K306" s="14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44"/>
      <c r="B307" s="40"/>
      <c r="C307" s="40"/>
      <c r="D307" s="40"/>
      <c r="E307" s="11"/>
      <c r="F307" s="11"/>
      <c r="G307" s="11"/>
      <c r="H307" s="14"/>
      <c r="I307" s="14"/>
      <c r="J307" s="14"/>
      <c r="K307" s="14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44"/>
      <c r="B308" s="40"/>
      <c r="C308" s="40"/>
      <c r="D308" s="40"/>
      <c r="E308" s="11"/>
      <c r="F308" s="11"/>
      <c r="G308" s="11"/>
      <c r="H308" s="14"/>
      <c r="I308" s="14"/>
      <c r="J308" s="14"/>
      <c r="K308" s="14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44"/>
      <c r="B309" s="40"/>
      <c r="C309" s="40"/>
      <c r="D309" s="40"/>
      <c r="E309" s="11"/>
      <c r="F309" s="11"/>
      <c r="G309" s="11"/>
      <c r="H309" s="14"/>
      <c r="I309" s="14"/>
      <c r="J309" s="14"/>
      <c r="K309" s="14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44"/>
      <c r="B310" s="40"/>
      <c r="C310" s="40"/>
      <c r="D310" s="40"/>
      <c r="E310" s="11"/>
      <c r="F310" s="11"/>
      <c r="G310" s="11"/>
      <c r="H310" s="14"/>
      <c r="I310" s="14"/>
      <c r="J310" s="14"/>
      <c r="K310" s="14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44"/>
      <c r="B311" s="40"/>
      <c r="C311" s="40"/>
      <c r="D311" s="40"/>
      <c r="E311" s="11"/>
      <c r="F311" s="11"/>
      <c r="G311" s="11"/>
      <c r="H311" s="14"/>
      <c r="I311" s="14"/>
      <c r="J311" s="14"/>
      <c r="K311" s="14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44"/>
      <c r="B312" s="40"/>
      <c r="C312" s="40"/>
      <c r="D312" s="40"/>
      <c r="E312" s="11"/>
      <c r="F312" s="11"/>
      <c r="G312" s="11"/>
      <c r="H312" s="14"/>
      <c r="I312" s="14"/>
      <c r="J312" s="14"/>
      <c r="K312" s="14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44"/>
      <c r="B313" s="40"/>
      <c r="C313" s="40"/>
      <c r="D313" s="40"/>
      <c r="E313" s="11"/>
      <c r="F313" s="11"/>
      <c r="G313" s="11"/>
      <c r="H313" s="14"/>
      <c r="I313" s="14"/>
      <c r="J313" s="14"/>
      <c r="K313" s="14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44"/>
      <c r="B314" s="40"/>
      <c r="C314" s="40"/>
      <c r="D314" s="40"/>
      <c r="E314" s="11"/>
      <c r="F314" s="11"/>
      <c r="G314" s="11"/>
      <c r="H314" s="14"/>
      <c r="I314" s="14"/>
      <c r="J314" s="14"/>
      <c r="K314" s="14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44"/>
      <c r="B315" s="40"/>
      <c r="C315" s="40"/>
      <c r="D315" s="40"/>
      <c r="E315" s="11"/>
      <c r="F315" s="11"/>
      <c r="G315" s="11"/>
      <c r="H315" s="14"/>
      <c r="I315" s="14"/>
      <c r="J315" s="14"/>
      <c r="K315" s="14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44"/>
      <c r="B316" s="40"/>
      <c r="C316" s="40"/>
      <c r="D316" s="40"/>
      <c r="E316" s="11"/>
      <c r="F316" s="11"/>
      <c r="G316" s="11"/>
      <c r="H316" s="14"/>
      <c r="I316" s="14"/>
      <c r="J316" s="14"/>
      <c r="K316" s="1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44"/>
      <c r="B317" s="40"/>
      <c r="C317" s="40"/>
      <c r="D317" s="40"/>
      <c r="E317" s="11"/>
      <c r="F317" s="11"/>
      <c r="G317" s="11"/>
      <c r="H317" s="14"/>
      <c r="I317" s="14"/>
      <c r="J317" s="14"/>
      <c r="K317" s="14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44"/>
      <c r="B318" s="40"/>
      <c r="C318" s="40"/>
      <c r="D318" s="40"/>
      <c r="E318" s="11"/>
      <c r="F318" s="11"/>
      <c r="G318" s="11"/>
      <c r="H318" s="14"/>
      <c r="I318" s="14"/>
      <c r="J318" s="14"/>
      <c r="K318" s="14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44"/>
      <c r="B319" s="40"/>
      <c r="C319" s="40"/>
      <c r="D319" s="40"/>
      <c r="E319" s="11"/>
      <c r="F319" s="11"/>
      <c r="G319" s="11"/>
      <c r="H319" s="14"/>
      <c r="I319" s="14"/>
      <c r="J319" s="14"/>
      <c r="K319" s="14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44"/>
      <c r="B320" s="40"/>
      <c r="C320" s="40"/>
      <c r="D320" s="40"/>
      <c r="E320" s="11"/>
      <c r="F320" s="11"/>
      <c r="G320" s="11"/>
      <c r="H320" s="14"/>
      <c r="I320" s="14"/>
      <c r="J320" s="14"/>
      <c r="K320" s="14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44"/>
      <c r="B321" s="40"/>
      <c r="C321" s="40"/>
      <c r="D321" s="40"/>
      <c r="E321" s="11"/>
      <c r="F321" s="11"/>
      <c r="G321" s="11"/>
      <c r="H321" s="14"/>
      <c r="I321" s="14"/>
      <c r="J321" s="14"/>
      <c r="K321" s="14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44"/>
      <c r="B322" s="40"/>
      <c r="C322" s="40"/>
      <c r="D322" s="40"/>
      <c r="E322" s="11"/>
      <c r="F322" s="11"/>
      <c r="G322" s="11"/>
      <c r="H322" s="14"/>
      <c r="I322" s="14"/>
      <c r="J322" s="14"/>
      <c r="K322" s="14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44"/>
      <c r="B323" s="40"/>
      <c r="C323" s="40"/>
      <c r="D323" s="40"/>
      <c r="E323" s="11"/>
      <c r="F323" s="11"/>
      <c r="G323" s="11"/>
      <c r="H323" s="14"/>
      <c r="I323" s="14"/>
      <c r="J323" s="14"/>
      <c r="K323" s="14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44"/>
      <c r="B324" s="40"/>
      <c r="C324" s="40"/>
      <c r="D324" s="40"/>
      <c r="E324" s="11"/>
      <c r="F324" s="11"/>
      <c r="G324" s="11"/>
      <c r="H324" s="14"/>
      <c r="I324" s="14"/>
      <c r="J324" s="14"/>
      <c r="K324" s="14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44"/>
      <c r="B325" s="40"/>
      <c r="C325" s="40"/>
      <c r="D325" s="40"/>
      <c r="E325" s="11"/>
      <c r="F325" s="11"/>
      <c r="G325" s="11"/>
      <c r="H325" s="14"/>
      <c r="I325" s="14"/>
      <c r="J325" s="14"/>
      <c r="K325" s="14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44"/>
      <c r="B326" s="40"/>
      <c r="C326" s="40"/>
      <c r="D326" s="40"/>
      <c r="E326" s="11"/>
      <c r="F326" s="11"/>
      <c r="G326" s="11"/>
      <c r="H326" s="14"/>
      <c r="I326" s="14"/>
      <c r="J326" s="14"/>
      <c r="K326" s="14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44"/>
      <c r="B327" s="40"/>
      <c r="C327" s="40"/>
      <c r="D327" s="40"/>
      <c r="E327" s="11"/>
      <c r="F327" s="11"/>
      <c r="G327" s="11"/>
      <c r="H327" s="14"/>
      <c r="I327" s="14"/>
      <c r="J327" s="14"/>
      <c r="K327" s="14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44"/>
      <c r="B328" s="40"/>
      <c r="C328" s="40"/>
      <c r="D328" s="40"/>
      <c r="E328" s="11"/>
      <c r="F328" s="11"/>
      <c r="G328" s="11"/>
      <c r="H328" s="14"/>
      <c r="I328" s="14"/>
      <c r="J328" s="14"/>
      <c r="K328" s="14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44"/>
      <c r="B329" s="40"/>
      <c r="C329" s="40"/>
      <c r="D329" s="40"/>
      <c r="E329" s="11"/>
      <c r="F329" s="11"/>
      <c r="G329" s="11"/>
      <c r="H329" s="14"/>
      <c r="I329" s="14"/>
      <c r="J329" s="14"/>
      <c r="K329" s="14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44"/>
      <c r="B330" s="40"/>
      <c r="C330" s="40"/>
      <c r="D330" s="40"/>
      <c r="E330" s="11"/>
      <c r="F330" s="11"/>
      <c r="G330" s="11"/>
      <c r="H330" s="14"/>
      <c r="I330" s="14"/>
      <c r="J330" s="14"/>
      <c r="K330" s="14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44"/>
      <c r="B331" s="40"/>
      <c r="C331" s="40"/>
      <c r="D331" s="40"/>
      <c r="E331" s="11"/>
      <c r="F331" s="11"/>
      <c r="G331" s="11"/>
      <c r="H331" s="14"/>
      <c r="I331" s="14"/>
      <c r="J331" s="14"/>
      <c r="K331" s="14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44"/>
      <c r="B332" s="40"/>
      <c r="C332" s="40"/>
      <c r="D332" s="40"/>
      <c r="E332" s="11"/>
      <c r="F332" s="11"/>
      <c r="G332" s="11"/>
      <c r="H332" s="14"/>
      <c r="I332" s="14"/>
      <c r="J332" s="14"/>
      <c r="K332" s="14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44"/>
      <c r="B333" s="40"/>
      <c r="C333" s="40"/>
      <c r="D333" s="40"/>
      <c r="E333" s="11"/>
      <c r="F333" s="11"/>
      <c r="G333" s="11"/>
      <c r="H333" s="14"/>
      <c r="I333" s="14"/>
      <c r="J333" s="14"/>
      <c r="K333" s="14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44"/>
      <c r="B334" s="40"/>
      <c r="C334" s="40"/>
      <c r="D334" s="40"/>
      <c r="E334" s="11"/>
      <c r="F334" s="11"/>
      <c r="G334" s="11"/>
      <c r="H334" s="14"/>
      <c r="I334" s="14"/>
      <c r="J334" s="14"/>
      <c r="K334" s="14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44"/>
      <c r="B335" s="40"/>
      <c r="C335" s="40"/>
      <c r="D335" s="40"/>
      <c r="E335" s="11"/>
      <c r="F335" s="11"/>
      <c r="G335" s="11"/>
      <c r="H335" s="14"/>
      <c r="I335" s="14"/>
      <c r="J335" s="14"/>
      <c r="K335" s="14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44"/>
      <c r="B336" s="40"/>
      <c r="C336" s="40"/>
      <c r="D336" s="40"/>
      <c r="E336" s="11"/>
      <c r="F336" s="11"/>
      <c r="G336" s="11"/>
      <c r="H336" s="14"/>
      <c r="I336" s="14"/>
      <c r="J336" s="14"/>
      <c r="K336" s="14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44"/>
      <c r="B337" s="40"/>
      <c r="C337" s="40"/>
      <c r="D337" s="40"/>
      <c r="E337" s="11"/>
      <c r="F337" s="11"/>
      <c r="G337" s="11"/>
      <c r="H337" s="14"/>
      <c r="I337" s="14"/>
      <c r="J337" s="14"/>
      <c r="K337" s="14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44"/>
      <c r="B338" s="40"/>
      <c r="C338" s="40"/>
      <c r="D338" s="40"/>
      <c r="E338" s="11"/>
      <c r="F338" s="11"/>
      <c r="G338" s="11"/>
      <c r="H338" s="14"/>
      <c r="I338" s="14"/>
      <c r="J338" s="14"/>
      <c r="K338" s="14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44"/>
      <c r="B339" s="40"/>
      <c r="C339" s="40"/>
      <c r="D339" s="40"/>
      <c r="E339" s="11"/>
      <c r="F339" s="11"/>
      <c r="G339" s="11"/>
      <c r="H339" s="14"/>
      <c r="I339" s="14"/>
      <c r="J339" s="14"/>
      <c r="K339" s="14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44"/>
      <c r="B340" s="40"/>
      <c r="C340" s="40"/>
      <c r="D340" s="40"/>
      <c r="E340" s="11"/>
      <c r="F340" s="11"/>
      <c r="G340" s="11"/>
      <c r="H340" s="14"/>
      <c r="I340" s="14"/>
      <c r="J340" s="14"/>
      <c r="K340" s="14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44"/>
      <c r="B341" s="40"/>
      <c r="C341" s="40"/>
      <c r="D341" s="40"/>
      <c r="E341" s="11"/>
      <c r="F341" s="11"/>
      <c r="G341" s="11"/>
      <c r="H341" s="14"/>
      <c r="I341" s="14"/>
      <c r="J341" s="14"/>
      <c r="K341" s="14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44"/>
      <c r="B342" s="40"/>
      <c r="C342" s="40"/>
      <c r="D342" s="40"/>
      <c r="E342" s="11"/>
      <c r="F342" s="11"/>
      <c r="G342" s="11"/>
      <c r="H342" s="14"/>
      <c r="I342" s="14"/>
      <c r="J342" s="14"/>
      <c r="K342" s="14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44"/>
      <c r="B343" s="40"/>
      <c r="C343" s="40"/>
      <c r="D343" s="40"/>
      <c r="E343" s="11"/>
      <c r="F343" s="11"/>
      <c r="G343" s="11"/>
      <c r="H343" s="14"/>
      <c r="I343" s="14"/>
      <c r="J343" s="14"/>
      <c r="K343" s="14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44"/>
      <c r="B344" s="40"/>
      <c r="C344" s="40"/>
      <c r="D344" s="40"/>
      <c r="E344" s="11"/>
      <c r="F344" s="11"/>
      <c r="G344" s="11"/>
      <c r="H344" s="14"/>
      <c r="I344" s="14"/>
      <c r="J344" s="14"/>
      <c r="K344" s="14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44"/>
      <c r="B345" s="40"/>
      <c r="C345" s="40"/>
      <c r="D345" s="40"/>
      <c r="E345" s="11"/>
      <c r="F345" s="11"/>
      <c r="G345" s="11"/>
      <c r="H345" s="14"/>
      <c r="I345" s="14"/>
      <c r="J345" s="14"/>
      <c r="K345" s="14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44"/>
      <c r="B346" s="40"/>
      <c r="C346" s="40"/>
      <c r="D346" s="40"/>
      <c r="E346" s="11"/>
      <c r="F346" s="11"/>
      <c r="G346" s="11"/>
      <c r="H346" s="14"/>
      <c r="I346" s="14"/>
      <c r="J346" s="14"/>
      <c r="K346" s="14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44"/>
      <c r="B347" s="40"/>
      <c r="C347" s="40"/>
      <c r="D347" s="40"/>
      <c r="E347" s="11"/>
      <c r="F347" s="11"/>
      <c r="G347" s="11"/>
      <c r="H347" s="14"/>
      <c r="I347" s="14"/>
      <c r="J347" s="14"/>
      <c r="K347" s="14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44"/>
      <c r="B348" s="40"/>
      <c r="C348" s="40"/>
      <c r="D348" s="40"/>
      <c r="E348" s="11"/>
      <c r="F348" s="11"/>
      <c r="G348" s="11"/>
      <c r="H348" s="14"/>
      <c r="I348" s="14"/>
      <c r="J348" s="14"/>
      <c r="K348" s="14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44"/>
      <c r="B349" s="40"/>
      <c r="C349" s="40"/>
      <c r="D349" s="40"/>
      <c r="E349" s="11"/>
      <c r="F349" s="11"/>
      <c r="G349" s="11"/>
      <c r="H349" s="14"/>
      <c r="I349" s="14"/>
      <c r="J349" s="14"/>
      <c r="K349" s="14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44"/>
      <c r="B350" s="40"/>
      <c r="C350" s="40"/>
      <c r="D350" s="40"/>
      <c r="E350" s="11"/>
      <c r="F350" s="11"/>
      <c r="G350" s="11"/>
      <c r="H350" s="14"/>
      <c r="I350" s="14"/>
      <c r="J350" s="14"/>
      <c r="K350" s="14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44"/>
      <c r="B351" s="40"/>
      <c r="C351" s="40"/>
      <c r="D351" s="40"/>
      <c r="E351" s="11"/>
      <c r="F351" s="11"/>
      <c r="G351" s="11"/>
      <c r="H351" s="14"/>
      <c r="I351" s="14"/>
      <c r="J351" s="14"/>
      <c r="K351" s="14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44"/>
      <c r="B352" s="40"/>
      <c r="C352" s="40"/>
      <c r="D352" s="40"/>
      <c r="E352" s="11"/>
      <c r="F352" s="11"/>
      <c r="G352" s="11"/>
      <c r="H352" s="14"/>
      <c r="I352" s="14"/>
      <c r="J352" s="14"/>
      <c r="K352" s="14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44"/>
      <c r="B353" s="40"/>
      <c r="C353" s="40"/>
      <c r="D353" s="40"/>
      <c r="E353" s="11"/>
      <c r="F353" s="11"/>
      <c r="G353" s="11"/>
      <c r="H353" s="14"/>
      <c r="I353" s="14"/>
      <c r="J353" s="14"/>
      <c r="K353" s="14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44"/>
      <c r="B354" s="40"/>
      <c r="C354" s="40"/>
      <c r="D354" s="40"/>
      <c r="E354" s="11"/>
      <c r="F354" s="11"/>
      <c r="G354" s="11"/>
      <c r="H354" s="14"/>
      <c r="I354" s="14"/>
      <c r="J354" s="14"/>
      <c r="K354" s="14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44"/>
      <c r="B355" s="40"/>
      <c r="C355" s="40"/>
      <c r="D355" s="40"/>
      <c r="E355" s="11"/>
      <c r="F355" s="11"/>
      <c r="G355" s="11"/>
      <c r="H355" s="14"/>
      <c r="I355" s="14"/>
      <c r="J355" s="14"/>
      <c r="K355" s="14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44"/>
      <c r="B356" s="40"/>
      <c r="C356" s="40"/>
      <c r="D356" s="40"/>
      <c r="E356" s="11"/>
      <c r="F356" s="11"/>
      <c r="G356" s="11"/>
      <c r="H356" s="14"/>
      <c r="I356" s="14"/>
      <c r="J356" s="14"/>
      <c r="K356" s="14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44"/>
      <c r="B357" s="40"/>
      <c r="C357" s="40"/>
      <c r="D357" s="40"/>
      <c r="E357" s="11"/>
      <c r="F357" s="11"/>
      <c r="G357" s="11"/>
      <c r="H357" s="14"/>
      <c r="I357" s="14"/>
      <c r="J357" s="14"/>
      <c r="K357" s="14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</sheetData>
  <conditionalFormatting sqref="A4:D357">
    <cfRule type="cellIs" dxfId="0" priority="1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29.43"/>
    <col customWidth="1" min="3" max="3" width="9.0"/>
    <col customWidth="1" min="4" max="4" width="31.14"/>
    <col customWidth="1" min="5" max="5" width="13.29"/>
    <col customWidth="1" min="6" max="6" width="9.71"/>
    <col customWidth="1" min="7" max="7" width="10.86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4" t="s">
        <v>20</v>
      </c>
      <c r="C1" s="6"/>
      <c r="D1" s="7"/>
      <c r="E1" s="8" t="s">
        <v>4</v>
      </c>
      <c r="F1" s="11">
        <f>SUM(C:C)</f>
        <v>25461.93</v>
      </c>
      <c r="G1" s="13" t="s">
        <v>6</v>
      </c>
      <c r="H1" s="17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91</v>
      </c>
      <c r="C2" s="6"/>
      <c r="D2" s="7"/>
      <c r="E2" s="21" t="s">
        <v>8</v>
      </c>
      <c r="F2" s="22">
        <v>85864.7</v>
      </c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28">
        <f>F1+F2</f>
        <v>111326.63</v>
      </c>
      <c r="G3" s="30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IF(ROWS(A$4:A4)&lt;=$B$2,INDEX(data!C$3:C$16128,SMALL(IF(data!$D$3:$D$16128='Редута'!$B$1,ROW(data!$A$3:$A$16128)-ROW($A$3)+1),ROWS(A$4:A4))),"")</f>
        <v>44557</v>
      </c>
      <c r="B4" s="19" t="str">
        <f t="array" ref="B4">IF(ROWS(B$4:B4)&lt;=$B$2,INDEX(data!A$3:A$16128,SMALL(IF(data!$D$3:$D$16128='Редута'!$B$1,ROW(data!$A$3:$A$16128)-ROW($A$3)+1),ROWS(B$4:B4))),"")</f>
        <v>MYPOS Бакалия</v>
      </c>
      <c r="C4" s="19">
        <f t="array" ref="C4">IF(ROWS(C$4:C4)&lt;=$B$2,INDEX(data!B$3:B$16128,SMALL(IF(data!$D$3:$D$16128='Редута'!$B$1,ROW(data!$A$3:$A$16128)-ROW($A$3)+1),ROWS(C$4:C4))),"")</f>
        <v>-0.01</v>
      </c>
      <c r="D4" s="7" t="str">
        <f t="array" ref="D4">IF(ROWS(D$4:D4)&lt;=$B$2,INDEX(data!E$3:E$16128,SMALL(IF(data!$D$3:$D$16128='Редута'!$B$1,ROW(data!$A$3:$A$16128)-ROW($A$3)+1),ROWS(D$4:D4))),"")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IF(ROWS(A$4:A5)&lt;=$B$2,INDEX(data!C$3:C$16128,SMALL(IF(data!$D$3:$D$16128='Редута'!$B$1,ROW(data!$A$3:$A$16128)-ROW($A$3)+1),ROWS(A$4:A5))),"")</f>
        <v>46025</v>
      </c>
      <c r="B5" s="19" t="str">
        <f t="array" ref="B5">IF(ROWS(B$4:B5)&lt;=$B$2,INDEX(data!A$3:A$16128,SMALL(IF(data!$D$3:$D$16128='Редута'!$B$1,ROW(data!$A$3:$A$16128)-ROW($A$3)+1),ROWS(B$4:B5))),"")</f>
        <v>ЗАЕМ</v>
      </c>
      <c r="C5" s="19">
        <f t="array" ref="C5">IF(ROWS(C$4:C5)&lt;=$B$2,INDEX(data!B$3:B$16128,SMALL(IF(data!$D$3:$D$16128='Редута'!$B$1,ROW(data!$A$3:$A$16128)-ROW($A$3)+1),ROWS(C$4:C5))),"")</f>
        <v>8316.86</v>
      </c>
      <c r="D5" s="7" t="str">
        <f t="array" ref="D5">IF(ROWS(D$4:D5)&lt;=$B$2,INDEX(data!E$3:E$16128,SMALL(IF(data!$D$3:$D$16128='Редута'!$B$1,ROW(data!$A$3:$A$16128)-ROW($A$3)+1),ROWS(D$4:D5))),"")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IF(ROWS(A$4:A6)&lt;=$B$2,INDEX(data!C$3:C$16128,SMALL(IF(data!$D$3:$D$16128='Редута'!$B$1,ROW(data!$A$3:$A$16128)-ROW($A$3)+1),ROWS(A$4:A6))),"")</f>
        <v>46027</v>
      </c>
      <c r="B6" s="19" t="str">
        <f t="array" ref="B6">IF(ROWS(B$4:B6)&lt;=$B$2,INDEX(data!A$3:A$16128,SMALL(IF(data!$D$3:$D$16128='Редута'!$B$1,ROW(data!$A$3:$A$16128)-ROW($A$3)+1),ROWS(B$4:B6))),"")</f>
        <v>КАСОВА КНИГА</v>
      </c>
      <c r="C6" s="19">
        <f t="array" ref="C6">IF(ROWS(C$4:C6)&lt;=$B$2,INDEX(data!B$3:B$16128,SMALL(IF(data!$D$3:$D$16128='Редута'!$B$1,ROW(data!$A$3:$A$16128)-ROW($A$3)+1),ROWS(C$4:C6))),"")</f>
        <v>-1022.584</v>
      </c>
      <c r="D6" s="7" t="str">
        <f t="array" ref="D6">IF(ROWS(D$4:D6)&lt;=$B$2,INDEX(data!E$3:E$16128,SMALL(IF(data!$D$3:$D$16128='Редута'!$B$1,ROW(data!$A$3:$A$16128)-ROW($A$3)+1),ROWS(D$4:D6))),"")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IF(ROWS(A$4:A7)&lt;=$B$2,INDEX(data!C$3:C$16128,SMALL(IF(data!$D$3:$D$16128='Редута'!$B$1,ROW(data!$A$3:$A$16128)-ROW($A$3)+1),ROWS(A$4:A7))),"")</f>
        <v>46027</v>
      </c>
      <c r="B7" s="19" t="str">
        <f t="array" ref="B7">IF(ROWS(B$4:B7)&lt;=$B$2,INDEX(data!A$3:A$16128,SMALL(IF(data!$D$3:$D$16128='Редута'!$B$1,ROW(data!$A$3:$A$16128)-ROW($A$3)+1),ROWS(B$4:B7))),"")</f>
        <v>MYPOS Бакалия</v>
      </c>
      <c r="C7" s="19">
        <f t="array" ref="C7">IF(ROWS(C$4:C7)&lt;=$B$2,INDEX(data!B$3:B$16128,SMALL(IF(data!$D$3:$D$16128='Редута'!$B$1,ROW(data!$A$3:$A$16128)-ROW($A$3)+1),ROWS(C$4:C7))),"")</f>
        <v>-1825.8</v>
      </c>
      <c r="D7" s="7" t="str">
        <f t="array" ref="D7">IF(ROWS(D$4:D7)&lt;=$B$2,INDEX(data!E$3:E$16128,SMALL(IF(data!$D$3:$D$16128='Редута'!$B$1,ROW(data!$A$3:$A$16128)-ROW($A$3)+1),ROWS(D$4:D7))),"")</f>
        <v/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IF(ROWS(A$4:A8)&lt;=$B$2,INDEX(data!C$3:C$16128,SMALL(IF(data!$D$3:$D$16128='Редута'!$B$1,ROW(data!$A$3:$A$16128)-ROW($A$3)+1),ROWS(A$4:A8))),"")</f>
        <v>46027</v>
      </c>
      <c r="B8" s="19" t="str">
        <f t="array" ref="B8">IF(ROWS(B$4:B8)&lt;=$B$2,INDEX(data!A$3:A$16128,SMALL(IF(data!$D$3:$D$16128='Редута'!$B$1,ROW(data!$A$3:$A$16128)-ROW($A$3)+1),ROWS(B$4:B8))),"")</f>
        <v>КАСОВА КНИГА</v>
      </c>
      <c r="C8" s="19">
        <f t="array" ref="C8">IF(ROWS(C$4:C8)&lt;=$B$2,INDEX(data!B$3:B$16128,SMALL(IF(data!$D$3:$D$16128='Редута'!$B$1,ROW(data!$A$3:$A$16128)-ROW($A$3)+1),ROWS(C$4:C8))),"")</f>
        <v>-511.29</v>
      </c>
      <c r="D8" s="7" t="str">
        <f t="array" ref="D8">IF(ROWS(D$4:D8)&lt;=$B$2,INDEX(data!E$3:E$16128,SMALL(IF(data!$D$3:$D$16128='Редута'!$B$1,ROW(data!$A$3:$A$16128)-ROW($A$3)+1),ROWS(D$4:D8))),"")</f>
        <v/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IF(ROWS(A$4:A9)&lt;=$B$2,INDEX(data!C$3:C$16128,SMALL(IF(data!$D$3:$D$16128='Редута'!$B$1,ROW(data!$A$3:$A$16128)-ROW($A$3)+1),ROWS(A$4:A9))),"")</f>
        <v>46027</v>
      </c>
      <c r="B9" s="19" t="str">
        <f t="array" ref="B9">IF(ROWS(B$4:B9)&lt;=$B$2,INDEX(data!A$3:A$16128,SMALL(IF(data!$D$3:$D$16128='Редута'!$B$1,ROW(data!$A$3:$A$16128)-ROW($A$3)+1),ROWS(B$4:B9))),"")</f>
        <v>MYPOS Бакалия</v>
      </c>
      <c r="C9" s="19">
        <f t="array" ref="C9">IF(ROWS(C$4:C9)&lt;=$B$2,INDEX(data!B$3:B$16128,SMALL(IF(data!$D$3:$D$16128='Редута'!$B$1,ROW(data!$A$3:$A$16128)-ROW($A$3)+1),ROWS(C$4:C9))),"")</f>
        <v>-2260.39</v>
      </c>
      <c r="D9" s="7" t="str">
        <f t="array" ref="D9">IF(ROWS(D$4:D9)&lt;=$B$2,INDEX(data!E$3:E$16128,SMALL(IF(data!$D$3:$D$16128='Редута'!$B$1,ROW(data!$A$3:$A$16128)-ROW($A$3)+1),ROWS(D$4:D9))),"")</f>
        <v>29-31,12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IF(ROWS(A$4:A10)&lt;=$B$2,INDEX(data!C$3:C$16128,SMALL(IF(data!$D$3:$D$16128='Редута'!$B$1,ROW(data!$A$3:$A$16128)-ROW($A$3)+1),ROWS(A$4:A10))),"")</f>
        <v>46027</v>
      </c>
      <c r="B10" s="19" t="str">
        <f t="array" ref="B10">IF(ROWS(B$4:B10)&lt;=$B$2,INDEX(data!A$3:A$16128,SMALL(IF(data!$D$3:$D$16128='Редута'!$B$1,ROW(data!$A$3:$A$16128)-ROW($A$3)+1),ROWS(B$4:B10))),"")</f>
        <v>КАСОВА КНИГА</v>
      </c>
      <c r="C10" s="19">
        <f t="array" ref="C10">IF(ROWS(C$4:C10)&lt;=$B$2,INDEX(data!B$3:B$16128,SMALL(IF(data!$D$3:$D$16128='Редута'!$B$1,ROW(data!$A$3:$A$16128)-ROW($A$3)+1),ROWS(C$4:C10))),"")</f>
        <v>3110</v>
      </c>
      <c r="D10" s="7" t="str">
        <f t="array" ref="D10">IF(ROWS(D$4:D10)&lt;=$B$2,INDEX(data!E$3:E$16128,SMALL(IF(data!$D$3:$D$16128='Редута'!$B$1,ROW(data!$A$3:$A$16128)-ROW($A$3)+1),ROWS(D$4:D10))),"")</f>
        <v>евро</v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IF(ROWS(A$4:A11)&lt;=$B$2,INDEX(data!C$3:C$16128,SMALL(IF(data!$D$3:$D$16128='Редута'!$B$1,ROW(data!$A$3:$A$16128)-ROW($A$3)+1),ROWS(A$4:A11))),"")</f>
        <v>46028</v>
      </c>
      <c r="B11" s="19" t="str">
        <f t="array" ref="B11">IF(ROWS(B$4:B11)&lt;=$B$2,INDEX(data!A$3:A$16128,SMALL(IF(data!$D$3:$D$16128='Редута'!$B$1,ROW(data!$A$3:$A$16128)-ROW($A$3)+1),ROWS(B$4:B11))),"")</f>
        <v>каса ФИКТИВНА</v>
      </c>
      <c r="C11" s="19">
        <f t="array" ref="C11">IF(ROWS(C$4:C11)&lt;=$B$2,INDEX(data!B$3:B$16128,SMALL(IF(data!$D$3:$D$16128='Редута'!$B$1,ROW(data!$A$3:$A$16128)-ROW($A$3)+1),ROWS(C$4:C11))),"")</f>
        <v>-290.9</v>
      </c>
      <c r="D11" s="7" t="str">
        <f t="array" ref="D11">IF(ROWS(D$4:D11)&lt;=$B$2,INDEX(data!E$3:E$16128,SMALL(IF(data!$D$3:$D$16128='Редута'!$B$1,ROW(data!$A$3:$A$16128)-ROW($A$3)+1),ROWS(D$4:D11))),"")</f>
        <v>Марчето от премиите</v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IF(ROWS(A$4:A12)&lt;=$B$2,INDEX(data!C$3:C$16128,SMALL(IF(data!$D$3:$D$16128='Редута'!$B$1,ROW(data!$A$3:$A$16128)-ROW($A$3)+1),ROWS(A$4:A12))),"")</f>
        <v>46030</v>
      </c>
      <c r="B12" s="19" t="str">
        <f t="array" ref="B12">IF(ROWS(B$4:B12)&lt;=$B$2,INDEX(data!A$3:A$16128,SMALL(IF(data!$D$3:$D$16128='Редута'!$B$1,ROW(data!$A$3:$A$16128)-ROW($A$3)+1),ROWS(B$4:B12))),"")</f>
        <v>Каса ВАУЧЕРИ</v>
      </c>
      <c r="C12" s="19">
        <f t="array" ref="C12">IF(ROWS(C$4:C12)&lt;=$B$2,INDEX(data!B$3:B$16128,SMALL(IF(data!$D$3:$D$16128='Редута'!$B$1,ROW(data!$A$3:$A$16128)-ROW($A$3)+1),ROWS(C$4:C12))),"")</f>
        <v>-10.23</v>
      </c>
      <c r="D12" s="7" t="str">
        <f t="array" ref="D12">IF(ROWS(D$4:D12)&lt;=$B$2,INDEX(data!E$3:E$16128,SMALL(IF(data!$D$3:$D$16128='Редута'!$B$1,ROW(data!$A$3:$A$16128)-ROW($A$3)+1),ROWS(D$4:D12))),"")</f>
        <v>за 22.12</v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IF(ROWS(A$4:A13)&lt;=$B$2,INDEX(data!C$3:C$16128,SMALL(IF(data!$D$3:$D$16128='Редута'!$B$1,ROW(data!$A$3:$A$16128)-ROW($A$3)+1),ROWS(A$4:A13))),"")</f>
        <v>46034</v>
      </c>
      <c r="B13" s="19" t="str">
        <f t="array" ref="B13">IF(ROWS(B$4:B13)&lt;=$B$2,INDEX(data!A$3:A$16128,SMALL(IF(data!$D$3:$D$16128='Редута'!$B$1,ROW(data!$A$3:$A$16128)-ROW($A$3)+1),ROWS(B$4:B13))),"")</f>
        <v>КАСОВА КНИГА</v>
      </c>
      <c r="C13" s="19">
        <f t="array" ref="C13">IF(ROWS(C$4:C13)&lt;=$B$2,INDEX(data!B$3:B$16128,SMALL(IF(data!$D$3:$D$16128='Редута'!$B$1,ROW(data!$A$3:$A$16128)-ROW($A$3)+1),ROWS(C$4:C13))),"")</f>
        <v>-2000</v>
      </c>
      <c r="D13" s="7" t="str">
        <f t="array" ref="D13">IF(ROWS(D$4:D13)&lt;=$B$2,INDEX(data!E$3:E$16128,SMALL(IF(data!$D$3:$D$16128='Редута'!$B$1,ROW(data!$A$3:$A$16128)-ROW($A$3)+1),ROWS(D$4:D13))),"")</f>
        <v/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IF(ROWS(A$4:A14)&lt;=$B$2,INDEX(data!C$3:C$16128,SMALL(IF(data!$D$3:$D$16128='Редута'!$B$1,ROW(data!$A$3:$A$16128)-ROW($A$3)+1),ROWS(A$4:A14))),"")</f>
        <v>46035</v>
      </c>
      <c r="B14" s="19" t="str">
        <f t="array" ref="B14">IF(ROWS(B$4:B14)&lt;=$B$2,INDEX(data!A$3:A$16128,SMALL(IF(data!$D$3:$D$16128='Редута'!$B$1,ROW(data!$A$3:$A$16128)-ROW($A$3)+1),ROWS(B$4:B14))),"")</f>
        <v>MYPOS Бакалия</v>
      </c>
      <c r="C14" s="19">
        <f t="array" ref="C14">IF(ROWS(C$4:C14)&lt;=$B$2,INDEX(data!B$3:B$16128,SMALL(IF(data!$D$3:$D$16128='Редута'!$B$1,ROW(data!$A$3:$A$16128)-ROW($A$3)+1),ROWS(C$4:C14))),"")</f>
        <v>-4788.98</v>
      </c>
      <c r="D14" s="7" t="str">
        <f t="array" ref="D14">IF(ROWS(D$4:D14)&lt;=$B$2,INDEX(data!E$3:E$16128,SMALL(IF(data!$D$3:$D$16128='Редута'!$B$1,ROW(data!$A$3:$A$16128)-ROW($A$3)+1),ROWS(D$4:D14))),"")</f>
        <v/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IF(ROWS(A$4:A15)&lt;=$B$2,INDEX(data!C$3:C$16128,SMALL(IF(data!$D$3:$D$16128='Редута'!$B$1,ROW(data!$A$3:$A$16128)-ROW($A$3)+1),ROWS(A$4:A15))),"")</f>
        <v>46036</v>
      </c>
      <c r="B15" s="19" t="str">
        <f t="array" ref="B15">IF(ROWS(B$4:B15)&lt;=$B$2,INDEX(data!A$3:A$16128,SMALL(IF(data!$D$3:$D$16128='Редута'!$B$1,ROW(data!$A$3:$A$16128)-ROW($A$3)+1),ROWS(B$4:B15))),"")</f>
        <v>ПОС ДСК Бакалия</v>
      </c>
      <c r="C15" s="19">
        <f t="array" ref="C15">IF(ROWS(C$4:C15)&lt;=$B$2,INDEX(data!B$3:B$16128,SMALL(IF(data!$D$3:$D$16128='Редута'!$B$1,ROW(data!$A$3:$A$16128)-ROW($A$3)+1),ROWS(C$4:C15))),"")</f>
        <v>-1501.11</v>
      </c>
      <c r="D15" s="7" t="str">
        <f t="array" ref="D15">IF(ROWS(D$4:D15)&lt;=$B$2,INDEX(data!E$3:E$16128,SMALL(IF(data!$D$3:$D$16128='Редута'!$B$1,ROW(data!$A$3:$A$16128)-ROW($A$3)+1),ROWS(D$4:D15))),"")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IF(ROWS(A$4:A16)&lt;=$B$2,INDEX(data!C$3:C$16128,SMALL(IF(data!$D$3:$D$16128='Редута'!$B$1,ROW(data!$A$3:$A$16128)-ROW($A$3)+1),ROWS(A$4:A16))),"")</f>
        <v>46041</v>
      </c>
      <c r="B16" s="19" t="str">
        <f t="array" ref="B16">IF(ROWS(B$4:B16)&lt;=$B$2,INDEX(data!A$3:A$16128,SMALL(IF(data!$D$3:$D$16128='Редута'!$B$1,ROW(data!$A$3:$A$16128)-ROW($A$3)+1),ROWS(B$4:B16))),"")</f>
        <v>MYPOS Бакалия</v>
      </c>
      <c r="C16" s="19">
        <f t="array" ref="C16">IF(ROWS(C$4:C16)&lt;=$B$2,INDEX(data!B$3:B$16128,SMALL(IF(data!$D$3:$D$16128='Редута'!$B$1,ROW(data!$A$3:$A$16128)-ROW($A$3)+1),ROWS(C$4:C16))),"")</f>
        <v>-4714.62</v>
      </c>
      <c r="D16" s="7" t="str">
        <f t="array" ref="D16">IF(ROWS(D$4:D16)&lt;=$B$2,INDEX(data!E$3:E$16128,SMALL(IF(data!$D$3:$D$16128='Редута'!$B$1,ROW(data!$A$3:$A$16128)-ROW($A$3)+1),ROWS(D$4:D16))),"")</f>
        <v/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IF(ROWS(A$4:A17)&lt;=$B$2,INDEX(data!C$3:C$16128,SMALL(IF(data!$D$3:$D$16128='Редута'!$B$1,ROW(data!$A$3:$A$16128)-ROW($A$3)+1),ROWS(A$4:A17))),"")</f>
        <v>46043</v>
      </c>
      <c r="B17" s="19" t="str">
        <f t="array" ref="B17">IF(ROWS(B$4:B17)&lt;=$B$2,INDEX(data!A$3:A$16128,SMALL(IF(data!$D$3:$D$16128='Редута'!$B$1,ROW(data!$A$3:$A$16128)-ROW($A$3)+1),ROWS(B$4:B17))),"")</f>
        <v>Каса ВАУЧЕРИ</v>
      </c>
      <c r="C17" s="19">
        <f t="array" ref="C17">IF(ROWS(C$4:C17)&lt;=$B$2,INDEX(data!B$3:B$16128,SMALL(IF(data!$D$3:$D$16128='Редута'!$B$1,ROW(data!$A$3:$A$16128)-ROW($A$3)+1),ROWS(C$4:C17))),"")</f>
        <v>409.03</v>
      </c>
      <c r="D17" s="7" t="str">
        <f t="array" ref="D17">IF(ROWS(D$4:D17)&lt;=$B$2,INDEX(data!E$3:E$16128,SMALL(IF(data!$D$3:$D$16128='Редута'!$B$1,ROW(data!$A$3:$A$16128)-ROW($A$3)+1),ROWS(D$4:D17))),"")</f>
        <v>ваучери персонал</v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IF(ROWS(A$4:A18)&lt;=$B$2,INDEX(data!C$3:C$16128,SMALL(IF(data!$D$3:$D$16128='Редута'!$B$1,ROW(data!$A$3:$A$16128)-ROW($A$3)+1),ROWS(A$4:A18))),"")</f>
        <v>46044</v>
      </c>
      <c r="B18" s="19" t="str">
        <f t="array" ref="B18">IF(ROWS(B$4:B18)&lt;=$B$2,INDEX(data!A$3:A$16128,SMALL(IF(data!$D$3:$D$16128='Редута'!$B$1,ROW(data!$A$3:$A$16128)-ROW($A$3)+1),ROWS(B$4:B18))),"")</f>
        <v>ПОС ДСК Бакалия</v>
      </c>
      <c r="C18" s="19">
        <f t="array" ref="C18">IF(ROWS(C$4:C18)&lt;=$B$2,INDEX(data!B$3:B$16128,SMALL(IF(data!$D$3:$D$16128='Редута'!$B$1,ROW(data!$A$3:$A$16128)-ROW($A$3)+1),ROWS(C$4:C18))),"")</f>
        <v>-186.13</v>
      </c>
      <c r="D18" s="7" t="str">
        <f t="array" ref="D18">IF(ROWS(D$4:D18)&lt;=$B$2,INDEX(data!E$3:E$16128,SMALL(IF(data!$D$3:$D$16128='Редута'!$B$1,ROW(data!$A$3:$A$16128)-ROW($A$3)+1),ROWS(D$4:D18))),"")</f>
        <v/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IF(ROWS(A$4:A19)&lt;=$B$2,INDEX(data!C$3:C$16128,SMALL(IF(data!$D$3:$D$16128='Редута'!$B$1,ROW(data!$A$3:$A$16128)-ROW($A$3)+1),ROWS(A$4:A19))),"")</f>
        <v>46048</v>
      </c>
      <c r="B19" s="19" t="str">
        <f t="array" ref="B19">IF(ROWS(B$4:B19)&lt;=$B$2,INDEX(data!A$3:A$16128,SMALL(IF(data!$D$3:$D$16128='Редута'!$B$1,ROW(data!$A$3:$A$16128)-ROW($A$3)+1),ROWS(B$4:B19))),"")</f>
        <v>MYPOS Бакалия</v>
      </c>
      <c r="C19" s="19">
        <f t="array" ref="C19">IF(ROWS(C$4:C19)&lt;=$B$2,INDEX(data!B$3:B$16128,SMALL(IF(data!$D$3:$D$16128='Редута'!$B$1,ROW(data!$A$3:$A$16128)-ROW($A$3)+1),ROWS(C$4:C19))),"")</f>
        <v>-4554.61</v>
      </c>
      <c r="D19" s="7" t="str">
        <f t="array" ref="D19">IF(ROWS(D$4:D19)&lt;=$B$2,INDEX(data!E$3:E$16128,SMALL(IF(data!$D$3:$D$16128='Редута'!$B$1,ROW(data!$A$3:$A$16128)-ROW($A$3)+1),ROWS(D$4:D19))),"")</f>
        <v/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IF(ROWS(A$4:A20)&lt;=$B$2,INDEX(data!C$3:C$16128,SMALL(IF(data!$D$3:$D$16128='Редута'!$B$1,ROW(data!$A$3:$A$16128)-ROW($A$3)+1),ROWS(A$4:A20))),"")</f>
        <v>46055</v>
      </c>
      <c r="B20" s="19" t="str">
        <f t="array" ref="B20">IF(ROWS(B$4:B20)&lt;=$B$2,INDEX(data!A$3:A$16128,SMALL(IF(data!$D$3:$D$16128='Редута'!$B$1,ROW(data!$A$3:$A$16128)-ROW($A$3)+1),ROWS(B$4:B20))),"")</f>
        <v>MYPOS Бакалия</v>
      </c>
      <c r="C20" s="19">
        <f t="array" ref="C20">IF(ROWS(C$4:C20)&lt;=$B$2,INDEX(data!B$3:B$16128,SMALL(IF(data!$D$3:$D$16128='Редута'!$B$1,ROW(data!$A$3:$A$16128)-ROW($A$3)+1),ROWS(C$4:C20))),"")</f>
        <v>-3560.65</v>
      </c>
      <c r="D20" s="7" t="str">
        <f t="array" ref="D20">IF(ROWS(D$4:D20)&lt;=$B$2,INDEX(data!E$3:E$16128,SMALL(IF(data!$D$3:$D$16128='Редута'!$B$1,ROW(data!$A$3:$A$16128)-ROW($A$3)+1),ROWS(D$4:D20))),"")</f>
        <v/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IF(ROWS(A$4:A21)&lt;=$B$2,INDEX(data!C$3:C$16128,SMALL(IF(data!$D$3:$D$16128='Редута'!$B$1,ROW(data!$A$3:$A$16128)-ROW($A$3)+1),ROWS(A$4:A21))),"")</f>
        <v>46057</v>
      </c>
      <c r="B21" s="19" t="str">
        <f t="array" ref="B21">IF(ROWS(B$4:B21)&lt;=$B$2,INDEX(data!A$3:A$16128,SMALL(IF(data!$D$3:$D$16128='Редута'!$B$1,ROW(data!$A$3:$A$16128)-ROW($A$3)+1),ROWS(B$4:B21))),"")</f>
        <v>КАСОВА КНИГА</v>
      </c>
      <c r="C21" s="19">
        <f t="array" ref="C21">IF(ROWS(C$4:C21)&lt;=$B$2,INDEX(data!B$3:B$16128,SMALL(IF(data!$D$3:$D$16128='Редута'!$B$1,ROW(data!$A$3:$A$16128)-ROW($A$3)+1),ROWS(C$4:C21))),"")</f>
        <v>-375.891</v>
      </c>
      <c r="D21" s="7" t="str">
        <f t="array" ref="D21">IF(ROWS(D$4:D21)&lt;=$B$2,INDEX(data!E$3:E$16128,SMALL(IF(data!$D$3:$D$16128='Редута'!$B$1,ROW(data!$A$3:$A$16128)-ROW($A$3)+1),ROWS(D$4:D21))),"")</f>
        <v>735,17лв</v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IF(ROWS(A$4:A22)&lt;=$B$2,INDEX(data!C$3:C$16128,SMALL(IF(data!$D$3:$D$16128='Редута'!$B$1,ROW(data!$A$3:$A$16128)-ROW($A$3)+1),ROWS(A$4:A22))),"")</f>
        <v>46057</v>
      </c>
      <c r="B22" s="19" t="str">
        <f t="array" ref="B22">IF(ROWS(B$4:B22)&lt;=$B$2,INDEX(data!A$3:A$16128,SMALL(IF(data!$D$3:$D$16128='Редута'!$B$1,ROW(data!$A$3:$A$16128)-ROW($A$3)+1),ROWS(B$4:B22))),"")</f>
        <v>Каса ВАУЧЕРИ</v>
      </c>
      <c r="C22" s="19">
        <f t="array" ref="C22">IF(ROWS(C$4:C22)&lt;=$B$2,INDEX(data!B$3:B$16128,SMALL(IF(data!$D$3:$D$16128='Редута'!$B$1,ROW(data!$A$3:$A$16128)-ROW($A$3)+1),ROWS(C$4:C22))),"")</f>
        <v>-79.25</v>
      </c>
      <c r="D22" s="7" t="str">
        <f t="array" ref="D22">IF(ROWS(D$4:D22)&lt;=$B$2,INDEX(data!E$3:E$16128,SMALL(IF(data!$D$3:$D$16128='Редута'!$B$1,ROW(data!$A$3:$A$16128)-ROW($A$3)+1),ROWS(D$4:D22))),"")</f>
        <v/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IF(ROWS(A$4:A23)&lt;=$B$2,INDEX(data!C$3:C$16128,SMALL(IF(data!$D$3:$D$16128='Редута'!$B$1,ROW(data!$A$3:$A$16128)-ROW($A$3)+1),ROWS(A$4:A23))),"")</f>
        <v>46059</v>
      </c>
      <c r="B23" s="19" t="str">
        <f t="array" ref="B23">IF(ROWS(B$4:B23)&lt;=$B$2,INDEX(data!A$3:A$16128,SMALL(IF(data!$D$3:$D$16128='Редута'!$B$1,ROW(data!$A$3:$A$16128)-ROW($A$3)+1),ROWS(B$4:B23))),"")</f>
        <v>ПОС ДСК Бакалия</v>
      </c>
      <c r="C23" s="19">
        <f t="array" ref="C23">IF(ROWS(C$4:C23)&lt;=$B$2,INDEX(data!B$3:B$16128,SMALL(IF(data!$D$3:$D$16128='Редута'!$B$1,ROW(data!$A$3:$A$16128)-ROW($A$3)+1),ROWS(C$4:C23))),"")</f>
        <v>-1459.32</v>
      </c>
      <c r="D23" s="7" t="str">
        <f t="array" ref="D23">IF(ROWS(D$4:D23)&lt;=$B$2,INDEX(data!E$3:E$16128,SMALL(IF(data!$D$3:$D$16128='Редута'!$B$1,ROW(data!$A$3:$A$16128)-ROW($A$3)+1),ROWS(D$4:D23))),"")</f>
        <v/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IF(ROWS(A$4:A24)&lt;=$B$2,INDEX(data!C$3:C$16128,SMALL(IF(data!$D$3:$D$16128='Редута'!$B$1,ROW(data!$A$3:$A$16128)-ROW($A$3)+1),ROWS(A$4:A24))),"")</f>
        <v>46062</v>
      </c>
      <c r="B24" s="19" t="str">
        <f t="array" ref="B24">IF(ROWS(B$4:B24)&lt;=$B$2,INDEX(data!A$3:A$16128,SMALL(IF(data!$D$3:$D$16128='Редута'!$B$1,ROW(data!$A$3:$A$16128)-ROW($A$3)+1),ROWS(B$4:B24))),"")</f>
        <v>MYPOS Бакалия</v>
      </c>
      <c r="C24" s="19">
        <f t="array" ref="C24">IF(ROWS(C$4:C24)&lt;=$B$2,INDEX(data!B$3:B$16128,SMALL(IF(data!$D$3:$D$16128='Редута'!$B$1,ROW(data!$A$3:$A$16128)-ROW($A$3)+1),ROWS(C$4:C24))),"")</f>
        <v>-6074.7</v>
      </c>
      <c r="D24" s="7" t="str">
        <f t="array" ref="D24">IF(ROWS(D$4:D24)&lt;=$B$2,INDEX(data!E$3:E$16128,SMALL(IF(data!$D$3:$D$16128='Редута'!$B$1,ROW(data!$A$3:$A$16128)-ROW($A$3)+1),ROWS(D$4:D24))),"")</f>
        <v/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IF(ROWS(A$4:A25)&lt;=$B$2,INDEX(data!C$3:C$16128,SMALL(IF(data!$D$3:$D$16128='Редута'!$B$1,ROW(data!$A$3:$A$16128)-ROW($A$3)+1),ROWS(A$4:A25))),"")</f>
        <v>46062</v>
      </c>
      <c r="B25" s="19" t="str">
        <f t="array" ref="B25">IF(ROWS(B$4:B25)&lt;=$B$2,INDEX(data!A$3:A$16128,SMALL(IF(data!$D$3:$D$16128='Редута'!$B$1,ROW(data!$A$3:$A$16128)-ROW($A$3)+1),ROWS(B$4:B25))),"")</f>
        <v>ЗАЕМ</v>
      </c>
      <c r="C25" s="19">
        <f t="array" ref="C25">IF(ROWS(C$4:C25)&lt;=$B$2,INDEX(data!B$3:B$16128,SMALL(IF(data!$D$3:$D$16128='Редута'!$B$1,ROW(data!$A$3:$A$16128)-ROW($A$3)+1),ROWS(C$4:C25))),"")</f>
        <v>29213.85</v>
      </c>
      <c r="D25" s="7" t="str">
        <f t="array" ref="D25">IF(ROWS(D$4:D25)&lt;=$B$2,INDEX(data!E$3:E$16128,SMALL(IF(data!$D$3:$D$16128='Редута'!$B$1,ROW(data!$A$3:$A$16128)-ROW($A$3)+1),ROWS(D$4:D25))),"")</f>
        <v>С-до склад + вътр п-не</v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IF(ROWS(A$4:A26)&lt;=$B$2,INDEX(data!C$3:C$16128,SMALL(IF(data!$D$3:$D$16128='Редута'!$B$1,ROW(data!$A$3:$A$16128)-ROW($A$3)+1),ROWS(A$4:A26))),"")</f>
        <v>46065</v>
      </c>
      <c r="B26" s="19" t="str">
        <f t="array" ref="B26">IF(ROWS(B$4:B26)&lt;=$B$2,INDEX(data!A$3:A$16128,SMALL(IF(data!$D$3:$D$16128='Редута'!$B$1,ROW(data!$A$3:$A$16128)-ROW($A$3)+1),ROWS(B$4:B26))),"")</f>
        <v>ПОС ДСК Бакалия</v>
      </c>
      <c r="C26" s="19">
        <f t="array" ref="C26">IF(ROWS(C$4:C26)&lt;=$B$2,INDEX(data!B$3:B$16128,SMALL(IF(data!$D$3:$D$16128='Редута'!$B$1,ROW(data!$A$3:$A$16128)-ROW($A$3)+1),ROWS(C$4:C26))),"")</f>
        <v>-45.81</v>
      </c>
      <c r="D26" s="7" t="str">
        <f t="array" ref="D26">IF(ROWS(D$4:D26)&lt;=$B$2,INDEX(data!E$3:E$16128,SMALL(IF(data!$D$3:$D$16128='Редута'!$B$1,ROW(data!$A$3:$A$16128)-ROW($A$3)+1),ROWS(D$4:D26))),"")</f>
        <v/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IF(ROWS(A$4:A27)&lt;=$B$2,INDEX(data!C$3:C$16128,SMALL(IF(data!$D$3:$D$16128='Редута'!$B$1,ROW(data!$A$3:$A$16128)-ROW($A$3)+1),ROWS(A$4:A27))),"")</f>
        <v>46069</v>
      </c>
      <c r="B27" s="19" t="str">
        <f t="array" ref="B27">IF(ROWS(B$4:B27)&lt;=$B$2,INDEX(data!A$3:A$16128,SMALL(IF(data!$D$3:$D$16128='Редута'!$B$1,ROW(data!$A$3:$A$16128)-ROW($A$3)+1),ROWS(B$4:B27))),"")</f>
        <v>MYPOS Бакалия</v>
      </c>
      <c r="C27" s="19">
        <f t="array" ref="C27">IF(ROWS(C$4:C27)&lt;=$B$2,INDEX(data!B$3:B$16128,SMALL(IF(data!$D$3:$D$16128='Редута'!$B$1,ROW(data!$A$3:$A$16128)-ROW($A$3)+1),ROWS(C$4:C27))),"")</f>
        <v>-4938.62</v>
      </c>
      <c r="D27" s="7" t="str">
        <f t="array" ref="D27">IF(ROWS(D$4:D27)&lt;=$B$2,INDEX(data!E$3:E$16128,SMALL(IF(data!$D$3:$D$16128='Редута'!$B$1,ROW(data!$A$3:$A$16128)-ROW($A$3)+1),ROWS(D$4:D27))),"")</f>
        <v/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IF(ROWS(A$4:A28)&lt;=$B$2,INDEX(data!C$3:C$16128,SMALL(IF(data!$D$3:$D$16128='Редута'!$B$1,ROW(data!$A$3:$A$16128)-ROW($A$3)+1),ROWS(A$4:A28))),"")</f>
        <v>46071</v>
      </c>
      <c r="B28" s="19" t="str">
        <f t="array" ref="B28">IF(ROWS(B$4:B28)&lt;=$B$2,INDEX(data!A$3:A$16128,SMALL(IF(data!$D$3:$D$16128='Редута'!$B$1,ROW(data!$A$3:$A$16128)-ROW($A$3)+1),ROWS(B$4:B28))),"")</f>
        <v>КАСОВА КНИГА</v>
      </c>
      <c r="C28" s="19">
        <f t="array" ref="C28">IF(ROWS(C$4:C28)&lt;=$B$2,INDEX(data!B$3:B$16128,SMALL(IF(data!$D$3:$D$16128='Редута'!$B$1,ROW(data!$A$3:$A$16128)-ROW($A$3)+1),ROWS(C$4:C28))),"")</f>
        <v>1000</v>
      </c>
      <c r="D28" s="7" t="str">
        <f t="array" ref="D28">IF(ROWS(D$4:D28)&lt;=$B$2,INDEX(data!E$3:E$16128,SMALL(IF(data!$D$3:$D$16128='Редута'!$B$1,ROW(data!$A$3:$A$16128)-ROW($A$3)+1),ROWS(D$4:D28))),"")</f>
        <v>заем</v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IF(ROWS(A$4:A29)&lt;=$B$2,INDEX(data!C$3:C$16128,SMALL(IF(data!$D$3:$D$16128='Редута'!$B$1,ROW(data!$A$3:$A$16128)-ROW($A$3)+1),ROWS(A$4:A29))),"")</f>
        <v>46073</v>
      </c>
      <c r="B29" s="19" t="str">
        <f t="array" ref="B29">IF(ROWS(B$4:B29)&lt;=$B$2,INDEX(data!A$3:A$16128,SMALL(IF(data!$D$3:$D$16128='Редута'!$B$1,ROW(data!$A$3:$A$16128)-ROW($A$3)+1),ROWS(B$4:B29))),"")</f>
        <v>Каса ВАУЧЕРИ</v>
      </c>
      <c r="C29" s="19">
        <f t="array" ref="C29">IF(ROWS(C$4:C29)&lt;=$B$2,INDEX(data!B$3:B$16128,SMALL(IF(data!$D$3:$D$16128='Редута'!$B$1,ROW(data!$A$3:$A$16128)-ROW($A$3)+1),ROWS(C$4:C29))),"")</f>
        <v>400</v>
      </c>
      <c r="D29" s="7" t="str">
        <f t="array" ref="D29">IF(ROWS(D$4:D29)&lt;=$B$2,INDEX(data!E$3:E$16128,SMALL(IF(data!$D$3:$D$16128='Редута'!$B$1,ROW(data!$A$3:$A$16128)-ROW($A$3)+1),ROWS(D$4:D29))),"")</f>
        <v>ваучери персонал</v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IF(ROWS(A$4:A30)&lt;=$B$2,INDEX(data!C$3:C$16128,SMALL(IF(data!$D$3:$D$16128='Редута'!$B$1,ROW(data!$A$3:$A$16128)-ROW($A$3)+1),ROWS(A$4:A30))),"")</f>
        <v>46076</v>
      </c>
      <c r="B30" s="19" t="str">
        <f t="array" ref="B30">IF(ROWS(B$4:B30)&lt;=$B$2,INDEX(data!A$3:A$16128,SMALL(IF(data!$D$3:$D$16128='Редута'!$B$1,ROW(data!$A$3:$A$16128)-ROW($A$3)+1),ROWS(B$4:B30))),"")</f>
        <v>MYPOS Бакалия</v>
      </c>
      <c r="C30" s="19">
        <f t="array" ref="C30">IF(ROWS(C$4:C30)&lt;=$B$2,INDEX(data!B$3:B$16128,SMALL(IF(data!$D$3:$D$16128='Редута'!$B$1,ROW(data!$A$3:$A$16128)-ROW($A$3)+1),ROWS(C$4:C30))),"")</f>
        <v>-5391.63</v>
      </c>
      <c r="D30" s="7" t="str">
        <f t="array" ref="D30">IF(ROWS(D$4:D30)&lt;=$B$2,INDEX(data!E$3:E$16128,SMALL(IF(data!$D$3:$D$16128='Редута'!$B$1,ROW(data!$A$3:$A$16128)-ROW($A$3)+1),ROWS(D$4:D30))),"")</f>
        <v/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IF(ROWS(A$4:A31)&lt;=$B$2,INDEX(data!C$3:C$16128,SMALL(IF(data!$D$3:$D$16128='Редута'!$B$1,ROW(data!$A$3:$A$16128)-ROW($A$3)+1),ROWS(A$4:A31))),"")</f>
        <v>46083</v>
      </c>
      <c r="B31" s="19" t="str">
        <f t="array" ref="B31">IF(ROWS(B$4:B31)&lt;=$B$2,INDEX(data!A$3:A$16128,SMALL(IF(data!$D$3:$D$16128='Редута'!$B$1,ROW(data!$A$3:$A$16128)-ROW($A$3)+1),ROWS(B$4:B31))),"")</f>
        <v>MYPOS Бакалия</v>
      </c>
      <c r="C31" s="19">
        <f t="array" ref="C31">IF(ROWS(C$4:C31)&lt;=$B$2,INDEX(data!B$3:B$16128,SMALL(IF(data!$D$3:$D$16128='Редута'!$B$1,ROW(data!$A$3:$A$16128)-ROW($A$3)+1),ROWS(C$4:C31))),"")</f>
        <v>-5190.37</v>
      </c>
      <c r="D31" s="7" t="str">
        <f t="array" ref="D31">IF(ROWS(D$4:D31)&lt;=$B$2,INDEX(data!E$3:E$16128,SMALL(IF(data!$D$3:$D$16128='Редута'!$B$1,ROW(data!$A$3:$A$16128)-ROW($A$3)+1),ROWS(D$4:D31))),"")</f>
        <v/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IF(ROWS(A$4:A32)&lt;=$B$2,INDEX(data!C$3:C$16128,SMALL(IF(data!$D$3:$D$16128='Редута'!$B$1,ROW(data!$A$3:$A$16128)-ROW($A$3)+1),ROWS(A$4:A32))),"")</f>
        <v>46086</v>
      </c>
      <c r="B32" s="19" t="str">
        <f t="array" ref="B32">IF(ROWS(B$4:B32)&lt;=$B$2,INDEX(data!A$3:A$16128,SMALL(IF(data!$D$3:$D$16128='Редута'!$B$1,ROW(data!$A$3:$A$16128)-ROW($A$3)+1),ROWS(B$4:B32))),"")</f>
        <v>ЗАЕМ</v>
      </c>
      <c r="C32" s="19">
        <f t="array" ref="C32">IF(ROWS(C$4:C32)&lt;=$B$2,INDEX(data!B$3:B$16128,SMALL(IF(data!$D$3:$D$16128='Редута'!$B$1,ROW(data!$A$3:$A$16128)-ROW($A$3)+1),ROWS(C$4:C32))),"")</f>
        <v>21878.46</v>
      </c>
      <c r="D32" s="7" t="str">
        <f t="array" ref="D32">IF(ROWS(D$4:D32)&lt;=$B$2,INDEX(data!E$3:E$16128,SMALL(IF(data!$D$3:$D$16128='Редута'!$B$1,ROW(data!$A$3:$A$16128)-ROW($A$3)+1),ROWS(D$4:D32))),"")</f>
        <v>Салдо склад + вътр. п-не</v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IF(ROWS(A$4:A33)&lt;=$B$2,INDEX(data!C$3:C$16128,SMALL(IF(data!$D$3:$D$16128='Редута'!$B$1,ROW(data!$A$3:$A$16128)-ROW($A$3)+1),ROWS(A$4:A33))),"")</f>
        <v>46087</v>
      </c>
      <c r="B33" s="19" t="str">
        <f t="array" ref="B33">IF(ROWS(B$4:B33)&lt;=$B$2,INDEX(data!A$3:A$16128,SMALL(IF(data!$D$3:$D$16128='Редута'!$B$1,ROW(data!$A$3:$A$16128)-ROW($A$3)+1),ROWS(B$4:B33))),"")</f>
        <v>Каса ВАУЧЕРИ</v>
      </c>
      <c r="C33" s="19">
        <f t="array" ref="C33">IF(ROWS(C$4:C33)&lt;=$B$2,INDEX(data!B$3:B$16128,SMALL(IF(data!$D$3:$D$16128='Редута'!$B$1,ROW(data!$A$3:$A$16128)-ROW($A$3)+1),ROWS(C$4:C33))),"")</f>
        <v>-8.1</v>
      </c>
      <c r="D33" s="7" t="str">
        <f t="array" ref="D33">IF(ROWS(D$4:D33)&lt;=$B$2,INDEX(data!E$3:E$16128,SMALL(IF(data!$D$3:$D$16128='Редута'!$B$1,ROW(data!$A$3:$A$16128)-ROW($A$3)+1),ROWS(D$4:D33))),"")</f>
        <v>за 09-15.02</v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IF(ROWS(A$4:A34)&lt;=$B$2,INDEX(data!C$3:C$16128,SMALL(IF(data!$D$3:$D$16128='Редута'!$B$1,ROW(data!$A$3:$A$16128)-ROW($A$3)+1),ROWS(A$4:A34))),"")</f>
        <v>46090</v>
      </c>
      <c r="B34" s="19" t="str">
        <f t="array" ref="B34">IF(ROWS(B$4:B34)&lt;=$B$2,INDEX(data!A$3:A$16128,SMALL(IF(data!$D$3:$D$16128='Редута'!$B$1,ROW(data!$A$3:$A$16128)-ROW($A$3)+1),ROWS(B$4:B34))),"")</f>
        <v>MYPOS Бакалия</v>
      </c>
      <c r="C34" s="19">
        <f t="array" ref="C34">IF(ROWS(C$4:C34)&lt;=$B$2,INDEX(data!B$3:B$16128,SMALL(IF(data!$D$3:$D$16128='Редута'!$B$1,ROW(data!$A$3:$A$16128)-ROW($A$3)+1),ROWS(C$4:C34))),"")</f>
        <v>-3110.87</v>
      </c>
      <c r="D34" s="7" t="str">
        <f t="array" ref="D34">IF(ROWS(D$4:D34)&lt;=$B$2,INDEX(data!E$3:E$16128,SMALL(IF(data!$D$3:$D$16128='Редута'!$B$1,ROW(data!$A$3:$A$16128)-ROW($A$3)+1),ROWS(D$4:D34))),"")</f>
        <v/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IF(ROWS(A$4:A35)&lt;=$B$2,INDEX(data!C$3:C$16128,SMALL(IF(data!$D$3:$D$16128='Редута'!$B$1,ROW(data!$A$3:$A$16128)-ROW($A$3)+1),ROWS(A$4:A35))),"")</f>
        <v>46090</v>
      </c>
      <c r="B35" s="19" t="str">
        <f t="array" ref="B35">IF(ROWS(B$4:B35)&lt;=$B$2,INDEX(data!A$3:A$16128,SMALL(IF(data!$D$3:$D$16128='Редута'!$B$1,ROW(data!$A$3:$A$16128)-ROW($A$3)+1),ROWS(B$4:B35))),"")</f>
        <v>КАСОВА КНИГА</v>
      </c>
      <c r="C35" s="19">
        <f t="array" ref="C35">IF(ROWS(C$4:C35)&lt;=$B$2,INDEX(data!B$3:B$16128,SMALL(IF(data!$D$3:$D$16128='Редута'!$B$1,ROW(data!$A$3:$A$16128)-ROW($A$3)+1),ROWS(C$4:C35))),"")</f>
        <v>1500</v>
      </c>
      <c r="D35" s="7" t="str">
        <f t="array" ref="D35">IF(ROWS(D$4:D35)&lt;=$B$2,INDEX(data!E$3:E$16128,SMALL(IF(data!$D$3:$D$16128='Редута'!$B$1,ROW(data!$A$3:$A$16128)-ROW($A$3)+1),ROWS(D$4:D35))),"")</f>
        <v>заем</v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IF(ROWS(A$4:A36)&lt;=$B$2,INDEX(data!C$3:C$16128,SMALL(IF(data!$D$3:$D$16128='Редута'!$B$1,ROW(data!$A$3:$A$16128)-ROW($A$3)+1),ROWS(A$4:A36))),"")</f>
        <v>46090</v>
      </c>
      <c r="B36" s="19" t="str">
        <f t="array" ref="B36">IF(ROWS(B$4:B36)&lt;=$B$2,INDEX(data!A$3:A$16128,SMALL(IF(data!$D$3:$D$16128='Редута'!$B$1,ROW(data!$A$3:$A$16128)-ROW($A$3)+1),ROWS(B$4:B36))),"")</f>
        <v>ПроКредит бакал</v>
      </c>
      <c r="C36" s="19">
        <f t="array" ref="C36">IF(ROWS(C$4:C36)&lt;=$B$2,INDEX(data!B$3:B$16128,SMALL(IF(data!$D$3:$D$16128='Редута'!$B$1,ROW(data!$A$3:$A$16128)-ROW($A$3)+1),ROWS(C$4:C36))),"")</f>
        <v>-2053.43</v>
      </c>
      <c r="D36" s="7" t="str">
        <f t="array" ref="D36">IF(ROWS(D$4:D36)&lt;=$B$2,INDEX(data!E$3:E$16128,SMALL(IF(data!$D$3:$D$16128='Редута'!$B$1,ROW(data!$A$3:$A$16128)-ROW($A$3)+1),ROWS(D$4:D36))),"")</f>
        <v/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IF(ROWS(A$4:A37)&lt;=$B$2,INDEX(data!C$3:C$16128,SMALL(IF(data!$D$3:$D$16128='Редута'!$B$1,ROW(data!$A$3:$A$16128)-ROW($A$3)+1),ROWS(A$4:A37))),"")</f>
        <v>46097</v>
      </c>
      <c r="B37" s="19" t="str">
        <f t="array" ref="B37">IF(ROWS(B$4:B37)&lt;=$B$2,INDEX(data!A$3:A$16128,SMALL(IF(data!$D$3:$D$16128='Редута'!$B$1,ROW(data!$A$3:$A$16128)-ROW($A$3)+1),ROWS(B$4:B37))),"")</f>
        <v>MYPOS Бакалия</v>
      </c>
      <c r="C37" s="19">
        <f t="array" ref="C37">IF(ROWS(C$4:C37)&lt;=$B$2,INDEX(data!B$3:B$16128,SMALL(IF(data!$D$3:$D$16128='Редута'!$B$1,ROW(data!$A$3:$A$16128)-ROW($A$3)+1),ROWS(C$4:C37))),"")</f>
        <v>-5676.3</v>
      </c>
      <c r="D37" s="7" t="str">
        <f t="array" ref="D37">IF(ROWS(D$4:D37)&lt;=$B$2,INDEX(data!E$3:E$16128,SMALL(IF(data!$D$3:$D$16128='Редута'!$B$1,ROW(data!$A$3:$A$16128)-ROW($A$3)+1),ROWS(D$4:D37))),"")</f>
        <v/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IF(ROWS(A$4:A38)&lt;=$B$2,INDEX(data!C$3:C$16128,SMALL(IF(data!$D$3:$D$16128='Редута'!$B$1,ROW(data!$A$3:$A$16128)-ROW($A$3)+1),ROWS(A$4:A38))),"")</f>
        <v>46101</v>
      </c>
      <c r="B38" s="19" t="str">
        <f t="array" ref="B38">IF(ROWS(B$4:B38)&lt;=$B$2,INDEX(data!A$3:A$16128,SMALL(IF(data!$D$3:$D$16128='Редута'!$B$1,ROW(data!$A$3:$A$16128)-ROW($A$3)+1),ROWS(B$4:B38))),"")</f>
        <v>Каса ВАУЧЕРИ</v>
      </c>
      <c r="C38" s="19">
        <f t="array" ref="C38">IF(ROWS(C$4:C38)&lt;=$B$2,INDEX(data!B$3:B$16128,SMALL(IF(data!$D$3:$D$16128='Редута'!$B$1,ROW(data!$A$3:$A$16128)-ROW($A$3)+1),ROWS(C$4:C38))),"")</f>
        <v>-20</v>
      </c>
      <c r="D38" s="7" t="str">
        <f t="array" ref="D38">IF(ROWS(D$4:D38)&lt;=$B$2,INDEX(data!E$3:E$16128,SMALL(IF(data!$D$3:$D$16128='Редута'!$B$1,ROW(data!$A$3:$A$16128)-ROW($A$3)+1),ROWS(D$4:D38))),"")</f>
        <v>от 09-15.02</v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IF(ROWS(A$4:A39)&lt;=$B$2,INDEX(data!C$3:C$16128,SMALL(IF(data!$D$3:$D$16128='Редута'!$B$1,ROW(data!$A$3:$A$16128)-ROW($A$3)+1),ROWS(A$4:A39))),"")</f>
        <v>46104</v>
      </c>
      <c r="B39" s="19" t="str">
        <f t="array" ref="B39">IF(ROWS(B$4:B39)&lt;=$B$2,INDEX(data!A$3:A$16128,SMALL(IF(data!$D$3:$D$16128='Редута'!$B$1,ROW(data!$A$3:$A$16128)-ROW($A$3)+1),ROWS(B$4:B39))),"")</f>
        <v>MYPOS Бакалия</v>
      </c>
      <c r="C39" s="19">
        <f t="array" ref="C39">IF(ROWS(C$4:C39)&lt;=$B$2,INDEX(data!B$3:B$16128,SMALL(IF(data!$D$3:$D$16128='Редута'!$B$1,ROW(data!$A$3:$A$16128)-ROW($A$3)+1),ROWS(C$4:C39))),"")</f>
        <v>-5078.031</v>
      </c>
      <c r="D39" s="7" t="str">
        <f t="array" ref="D39">IF(ROWS(D$4:D39)&lt;=$B$2,INDEX(data!E$3:E$16128,SMALL(IF(data!$D$3:$D$16128='Редута'!$B$1,ROW(data!$A$3:$A$16128)-ROW($A$3)+1),ROWS(D$4:D39))),"")</f>
        <v/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IF(ROWS(A$4:A40)&lt;=$B$2,INDEX(data!C$3:C$16128,SMALL(IF(data!$D$3:$D$16128='Редута'!$B$1,ROW(data!$A$3:$A$16128)-ROW($A$3)+1),ROWS(A$4:A40))),"")</f>
        <v>46104</v>
      </c>
      <c r="B40" s="19" t="str">
        <f t="array" ref="B40">IF(ROWS(B$4:B40)&lt;=$B$2,INDEX(data!A$3:A$16128,SMALL(IF(data!$D$3:$D$16128='Редута'!$B$1,ROW(data!$A$3:$A$16128)-ROW($A$3)+1),ROWS(B$4:B40))),"")</f>
        <v>КАСОВА КНИГА</v>
      </c>
      <c r="C40" s="19">
        <f t="array" ref="C40">IF(ROWS(C$4:C40)&lt;=$B$2,INDEX(data!B$3:B$16128,SMALL(IF(data!$D$3:$D$16128='Редута'!$B$1,ROW(data!$A$3:$A$16128)-ROW($A$3)+1),ROWS(C$4:C40))),"")</f>
        <v>2000</v>
      </c>
      <c r="D40" s="7" t="str">
        <f t="array" ref="D40">IF(ROWS(D$4:D40)&lt;=$B$2,INDEX(data!E$3:E$16128,SMALL(IF(data!$D$3:$D$16128='Редута'!$B$1,ROW(data!$A$3:$A$16128)-ROW($A$3)+1),ROWS(D$4:D40))),"")</f>
        <v>заем</v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IF(ROWS(A$4:A41)&lt;=$B$2,INDEX(data!C$3:C$16128,SMALL(IF(data!$D$3:$D$16128='Редута'!$B$1,ROW(data!$A$3:$A$16128)-ROW($A$3)+1),ROWS(A$4:A41))),"")</f>
        <v>46104</v>
      </c>
      <c r="B41" s="19" t="str">
        <f t="array" ref="B41">IF(ROWS(B$4:B41)&lt;=$B$2,INDEX(data!A$3:A$16128,SMALL(IF(data!$D$3:$D$16128='Редута'!$B$1,ROW(data!$A$3:$A$16128)-ROW($A$3)+1),ROWS(B$4:B41))),"")</f>
        <v>Каса ВАУЧЕРИ</v>
      </c>
      <c r="C41" s="19">
        <f t="array" ref="C41">IF(ROWS(C$4:C41)&lt;=$B$2,INDEX(data!B$3:B$16128,SMALL(IF(data!$D$3:$D$16128='Редута'!$B$1,ROW(data!$A$3:$A$16128)-ROW($A$3)+1),ROWS(C$4:C41))),"")</f>
        <v>400</v>
      </c>
      <c r="D41" s="7" t="str">
        <f t="array" ref="D41">IF(ROWS(D$4:D41)&lt;=$B$2,INDEX(data!E$3:E$16128,SMALL(IF(data!$D$3:$D$16128='Редута'!$B$1,ROW(data!$A$3:$A$16128)-ROW($A$3)+1),ROWS(D$4:D41))),"")</f>
        <v>ваучери персонал</v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IF(ROWS(A$4:A42)&lt;=$B$2,INDEX(data!C$3:C$16128,SMALL(IF(data!$D$3:$D$16128='Редута'!$B$1,ROW(data!$A$3:$A$16128)-ROW($A$3)+1),ROWS(A$4:A42))),"")</f>
        <v>46111</v>
      </c>
      <c r="B42" s="19" t="str">
        <f t="array" ref="B42">IF(ROWS(B$4:B42)&lt;=$B$2,INDEX(data!A$3:A$16128,SMALL(IF(data!$D$3:$D$16128='Редута'!$B$1,ROW(data!$A$3:$A$16128)-ROW($A$3)+1),ROWS(B$4:B42))),"")</f>
        <v>MYPOS Бакалия</v>
      </c>
      <c r="C42" s="19">
        <f t="array" ref="C42">IF(ROWS(C$4:C42)&lt;=$B$2,INDEX(data!B$3:B$16128,SMALL(IF(data!$D$3:$D$16128='Редута'!$B$1,ROW(data!$A$3:$A$16128)-ROW($A$3)+1),ROWS(C$4:C42))),"")</f>
        <v>-5328.25</v>
      </c>
      <c r="D42" s="7" t="str">
        <f t="array" ref="D42">IF(ROWS(D$4:D42)&lt;=$B$2,INDEX(data!E$3:E$16128,SMALL(IF(data!$D$3:$D$16128='Редута'!$B$1,ROW(data!$A$3:$A$16128)-ROW($A$3)+1),ROWS(D$4:D42))),"")</f>
        <v/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IF(ROWS(A$4:A43)&lt;=$B$2,INDEX(data!C$3:C$16128,SMALL(IF(data!$D$3:$D$16128='Редута'!$B$1,ROW(data!$A$3:$A$16128)-ROW($A$3)+1),ROWS(A$4:A43))),"")</f>
        <v>46111</v>
      </c>
      <c r="B43" s="19" t="str">
        <f t="array" ref="B43">IF(ROWS(B$4:B43)&lt;=$B$2,INDEX(data!A$3:A$16128,SMALL(IF(data!$D$3:$D$16128='Редута'!$B$1,ROW(data!$A$3:$A$16128)-ROW($A$3)+1),ROWS(B$4:B43))),"")</f>
        <v>КАСОВА КНИГА</v>
      </c>
      <c r="C43" s="19">
        <f t="array" ref="C43">IF(ROWS(C$4:C43)&lt;=$B$2,INDEX(data!B$3:B$16128,SMALL(IF(data!$D$3:$D$16128='Редута'!$B$1,ROW(data!$A$3:$A$16128)-ROW($A$3)+1),ROWS(C$4:C43))),"")</f>
        <v>1000</v>
      </c>
      <c r="D43" s="7" t="str">
        <f t="array" ref="D43">IF(ROWS(D$4:D43)&lt;=$B$2,INDEX(data!E$3:E$16128,SMALL(IF(data!$D$3:$D$16128='Редута'!$B$1,ROW(data!$A$3:$A$16128)-ROW($A$3)+1),ROWS(D$4:D43))),"")</f>
        <v>заем</v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IF(ROWS(A$4:A44)&lt;=$B$2,INDEX(data!C$3:C$16128,SMALL(IF(data!$D$3:$D$16128='Редута'!$B$1,ROW(data!$A$3:$A$16128)-ROW($A$3)+1),ROWS(A$4:A44))),"")</f>
        <v>46112</v>
      </c>
      <c r="B44" s="19" t="str">
        <f t="array" ref="B44">IF(ROWS(B$4:B44)&lt;=$B$2,INDEX(data!A$3:A$16128,SMALL(IF(data!$D$3:$D$16128='Редута'!$B$1,ROW(data!$A$3:$A$16128)-ROW($A$3)+1),ROWS(B$4:B44))),"")</f>
        <v>ЗАЕМ</v>
      </c>
      <c r="C44" s="19">
        <f t="array" ref="C44">IF(ROWS(C$4:C44)&lt;=$B$2,INDEX(data!B$3:B$16128,SMALL(IF(data!$D$3:$D$16128='Редута'!$B$1,ROW(data!$A$3:$A$16128)-ROW($A$3)+1),ROWS(C$4:C44))),"")</f>
        <v>21283.91</v>
      </c>
      <c r="D44" s="7" t="str">
        <f t="array" ref="D44">IF(ROWS(D$4:D44)&lt;=$B$2,INDEX(data!E$3:E$16128,SMALL(IF(data!$D$3:$D$16128='Редута'!$B$1,ROW(data!$A$3:$A$16128)-ROW($A$3)+1),ROWS(D$4:D44))),"")</f>
        <v>Салдо склад + вътр</v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IF(ROWS(A$4:A45)&lt;=$B$2,INDEX(data!C$3:C$16128,SMALL(IF(data!$D$3:$D$16128='Редута'!$B$1,ROW(data!$A$3:$A$16128)-ROW($A$3)+1),ROWS(A$4:A45))),"")</f>
        <v>46115</v>
      </c>
      <c r="B45" s="19" t="str">
        <f t="array" ref="B45">IF(ROWS(B$4:B45)&lt;=$B$2,INDEX(data!A$3:A$16128,SMALL(IF(data!$D$3:$D$16128='Редута'!$B$1,ROW(data!$A$3:$A$16128)-ROW($A$3)+1),ROWS(B$4:B45))),"")</f>
        <v>Каса ВАУЧЕРИ</v>
      </c>
      <c r="C45" s="19">
        <f t="array" ref="C45">IF(ROWS(C$4:C45)&lt;=$B$2,INDEX(data!B$3:B$16128,SMALL(IF(data!$D$3:$D$16128='Редута'!$B$1,ROW(data!$A$3:$A$16128)-ROW($A$3)+1),ROWS(C$4:C45))),"")</f>
        <v>-20.23</v>
      </c>
      <c r="D45" s="7" t="str">
        <f t="array" ref="D45">IF(ROWS(D$4:D45)&lt;=$B$2,INDEX(data!E$3:E$16128,SMALL(IF(data!$D$3:$D$16128='Редута'!$B$1,ROW(data!$A$3:$A$16128)-ROW($A$3)+1),ROWS(D$4:D45))),"")</f>
        <v>16-22.03</v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IF(ROWS(A$4:A46)&lt;=$B$2,INDEX(data!C$3:C$16128,SMALL(IF(data!$D$3:$D$16128='Редута'!$B$1,ROW(data!$A$3:$A$16128)-ROW($A$3)+1),ROWS(A$4:A46))),"")</f>
        <v>46115</v>
      </c>
      <c r="B46" s="19" t="str">
        <f t="array" ref="B46">IF(ROWS(B$4:B46)&lt;=$B$2,INDEX(data!A$3:A$16128,SMALL(IF(data!$D$3:$D$16128='Редута'!$B$1,ROW(data!$A$3:$A$16128)-ROW($A$3)+1),ROWS(B$4:B46))),"")</f>
        <v>каса ФИКТИВНА</v>
      </c>
      <c r="C46" s="19">
        <f t="array" ref="C46">IF(ROWS(C$4:C46)&lt;=$B$2,INDEX(data!B$3:B$16128,SMALL(IF(data!$D$3:$D$16128='Редута'!$B$1,ROW(data!$A$3:$A$16128)-ROW($A$3)+1),ROWS(C$4:C46))),"")</f>
        <v>-240</v>
      </c>
      <c r="D46" s="7" t="str">
        <f t="array" ref="D46">IF(ROWS(D$4:D46)&lt;=$B$2,INDEX(data!E$3:E$16128,SMALL(IF(data!$D$3:$D$16128='Редута'!$B$1,ROW(data!$A$3:$A$16128)-ROW($A$3)+1),ROWS(D$4:D46))),"")</f>
        <v>Мимето от премиите</v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IF(ROWS(A$4:A47)&lt;=$B$2,INDEX(data!C$3:C$16128,SMALL(IF(data!$D$3:$D$16128='Редута'!$B$1,ROW(data!$A$3:$A$16128)-ROW($A$3)+1),ROWS(A$4:A47))),"")</f>
        <v>46118</v>
      </c>
      <c r="B47" s="19" t="str">
        <f t="array" ref="B47">IF(ROWS(B$4:B47)&lt;=$B$2,INDEX(data!A$3:A$16128,SMALL(IF(data!$D$3:$D$16128='Редута'!$B$1,ROW(data!$A$3:$A$16128)-ROW($A$3)+1),ROWS(B$4:B47))),"")</f>
        <v>MYPOS Бакалия</v>
      </c>
      <c r="C47" s="19">
        <f t="array" ref="C47">IF(ROWS(C$4:C47)&lt;=$B$2,INDEX(data!B$3:B$16128,SMALL(IF(data!$D$3:$D$16128='Редута'!$B$1,ROW(data!$A$3:$A$16128)-ROW($A$3)+1),ROWS(C$4:C47))),"")</f>
        <v>-4366.38</v>
      </c>
      <c r="D47" s="7" t="str">
        <f t="array" ref="D47">IF(ROWS(D$4:D47)&lt;=$B$2,INDEX(data!E$3:E$16128,SMALL(IF(data!$D$3:$D$16128='Редута'!$B$1,ROW(data!$A$3:$A$16128)-ROW($A$3)+1),ROWS(D$4:D47))),"")</f>
        <v/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IF(ROWS(A$4:A48)&lt;=$B$2,INDEX(data!C$3:C$16128,SMALL(IF(data!$D$3:$D$16128='Редута'!$B$1,ROW(data!$A$3:$A$16128)-ROW($A$3)+1),ROWS(A$4:A48))),"")</f>
        <v>46119</v>
      </c>
      <c r="B48" s="19" t="str">
        <f t="array" ref="B48">IF(ROWS(B$4:B48)&lt;=$B$2,INDEX(data!A$3:A$16128,SMALL(IF(data!$D$3:$D$16128='Редута'!$B$1,ROW(data!$A$3:$A$16128)-ROW($A$3)+1),ROWS(B$4:B48))),"")</f>
        <v>КАСОВА КНИГА</v>
      </c>
      <c r="C48" s="19">
        <f t="array" ref="C48">IF(ROWS(C$4:C48)&lt;=$B$2,INDEX(data!B$3:B$16128,SMALL(IF(data!$D$3:$D$16128='Редута'!$B$1,ROW(data!$A$3:$A$16128)-ROW($A$3)+1),ROWS(C$4:C48))),"")</f>
        <v>1900</v>
      </c>
      <c r="D48" s="7" t="str">
        <f t="array" ref="D48">IF(ROWS(D$4:D48)&lt;=$B$2,INDEX(data!E$3:E$16128,SMALL(IF(data!$D$3:$D$16128='Редута'!$B$1,ROW(data!$A$3:$A$16128)-ROW($A$3)+1),ROWS(D$4:D48))),"")</f>
        <v>заем</v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IF(ROWS(A$4:A49)&lt;=$B$2,INDEX(data!C$3:C$16128,SMALL(IF(data!$D$3:$D$16128='Редута'!$B$1,ROW(data!$A$3:$A$16128)-ROW($A$3)+1),ROWS(A$4:A49))),"")</f>
        <v>46126</v>
      </c>
      <c r="B49" s="19" t="str">
        <f t="array" ref="B49">IF(ROWS(B$4:B49)&lt;=$B$2,INDEX(data!A$3:A$16128,SMALL(IF(data!$D$3:$D$16128='Редута'!$B$1,ROW(data!$A$3:$A$16128)-ROW($A$3)+1),ROWS(B$4:B49))),"")</f>
        <v>MYPOS Бакалия</v>
      </c>
      <c r="C49" s="19">
        <f t="array" ref="C49">IF(ROWS(C$4:C49)&lt;=$B$2,INDEX(data!B$3:B$16128,SMALL(IF(data!$D$3:$D$16128='Редута'!$B$1,ROW(data!$A$3:$A$16128)-ROW($A$3)+1),ROWS(C$4:C49))),"")</f>
        <v>-4603.33</v>
      </c>
      <c r="D49" s="7" t="str">
        <f t="array" ref="D49">IF(ROWS(D$4:D49)&lt;=$B$2,INDEX(data!E$3:E$16128,SMALL(IF(data!$D$3:$D$16128='Редута'!$B$1,ROW(data!$A$3:$A$16128)-ROW($A$3)+1),ROWS(D$4:D49))),"")</f>
        <v/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IF(ROWS(A$4:A50)&lt;=$B$2,INDEX(data!C$3:C$16128,SMALL(IF(data!$D$3:$D$16128='Редута'!$B$1,ROW(data!$A$3:$A$16128)-ROW($A$3)+1),ROWS(A$4:A50))),"")</f>
        <v>46132</v>
      </c>
      <c r="B50" s="19" t="str">
        <f t="array" ref="B50">IF(ROWS(B$4:B50)&lt;=$B$2,INDEX(data!A$3:A$16128,SMALL(IF(data!$D$3:$D$16128='Редута'!$B$1,ROW(data!$A$3:$A$16128)-ROW($A$3)+1),ROWS(B$4:B50))),"")</f>
        <v>MYPOS Бакалия</v>
      </c>
      <c r="C50" s="19">
        <f t="array" ref="C50">IF(ROWS(C$4:C50)&lt;=$B$2,INDEX(data!B$3:B$16128,SMALL(IF(data!$D$3:$D$16128='Редута'!$B$1,ROW(data!$A$3:$A$16128)-ROW($A$3)+1),ROWS(C$4:C50))),"")</f>
        <v>-4416.27</v>
      </c>
      <c r="D50" s="7" t="str">
        <f t="array" ref="D50">IF(ROWS(D$4:D50)&lt;=$B$2,INDEX(data!E$3:E$16128,SMALL(IF(data!$D$3:$D$16128='Редута'!$B$1,ROW(data!$A$3:$A$16128)-ROW($A$3)+1),ROWS(D$4:D50))),"")</f>
        <v/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IF(ROWS(A$4:A51)&lt;=$B$2,INDEX(data!C$3:C$16128,SMALL(IF(data!$D$3:$D$16128='Редута'!$B$1,ROW(data!$A$3:$A$16128)-ROW($A$3)+1),ROWS(A$4:A51))),"")</f>
        <v>46134</v>
      </c>
      <c r="B51" s="19" t="str">
        <f t="array" ref="B51">IF(ROWS(B$4:B51)&lt;=$B$2,INDEX(data!A$3:A$16128,SMALL(IF(data!$D$3:$D$16128='Редута'!$B$1,ROW(data!$A$3:$A$16128)-ROW($A$3)+1),ROWS(B$4:B51))),"")</f>
        <v>Каса ВАУЧЕРИ</v>
      </c>
      <c r="C51" s="19">
        <f t="array" ref="C51">IF(ROWS(C$4:C51)&lt;=$B$2,INDEX(data!B$3:B$16128,SMALL(IF(data!$D$3:$D$16128='Редута'!$B$1,ROW(data!$A$3:$A$16128)-ROW($A$3)+1),ROWS(C$4:C51))),"")</f>
        <v>500</v>
      </c>
      <c r="D51" s="7" t="str">
        <f t="array" ref="D51">IF(ROWS(D$4:D51)&lt;=$B$2,INDEX(data!E$3:E$16128,SMALL(IF(data!$D$3:$D$16128='Редута'!$B$1,ROW(data!$A$3:$A$16128)-ROW($A$3)+1),ROWS(D$4:D51))),"")</f>
        <v>ваучери персонал</v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IF(ROWS(A$4:A52)&lt;=$B$2,INDEX(data!C$3:C$16128,SMALL(IF(data!$D$3:$D$16128='Редута'!$B$1,ROW(data!$A$3:$A$16128)-ROW($A$3)+1),ROWS(A$4:A52))),"")</f>
        <v>46139</v>
      </c>
      <c r="B52" s="19" t="str">
        <f t="array" ref="B52">IF(ROWS(B$4:B52)&lt;=$B$2,INDEX(data!A$3:A$16128,SMALL(IF(data!$D$3:$D$16128='Редута'!$B$1,ROW(data!$A$3:$A$16128)-ROW($A$3)+1),ROWS(B$4:B52))),"")</f>
        <v>MYPOS Бакалия</v>
      </c>
      <c r="C52" s="19">
        <f t="array" ref="C52">IF(ROWS(C$4:C52)&lt;=$B$2,INDEX(data!B$3:B$16128,SMALL(IF(data!$D$3:$D$16128='Редута'!$B$1,ROW(data!$A$3:$A$16128)-ROW($A$3)+1),ROWS(C$4:C52))),"")</f>
        <v>-4561.72</v>
      </c>
      <c r="D52" s="7" t="str">
        <f t="array" ref="D52">IF(ROWS(D$4:D52)&lt;=$B$2,INDEX(data!E$3:E$16128,SMALL(IF(data!$D$3:$D$16128='Редута'!$B$1,ROW(data!$A$3:$A$16128)-ROW($A$3)+1),ROWS(D$4:D52))),"")</f>
        <v/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IF(ROWS(A$4:A53)&lt;=$B$2,INDEX(data!C$3:C$16128,SMALL(IF(data!$D$3:$D$16128='Редута'!$B$1,ROW(data!$A$3:$A$16128)-ROW($A$3)+1),ROWS(A$4:A53))),"")</f>
        <v>46146</v>
      </c>
      <c r="B53" s="19" t="str">
        <f t="array" ref="B53">IF(ROWS(B$4:B53)&lt;=$B$2,INDEX(data!A$3:A$16128,SMALL(IF(data!$D$3:$D$16128='Редута'!$B$1,ROW(data!$A$3:$A$16128)-ROW($A$3)+1),ROWS(B$4:B53))),"")</f>
        <v>MYPOS Бакалия</v>
      </c>
      <c r="C53" s="19">
        <f t="array" ref="C53">IF(ROWS(C$4:C53)&lt;=$B$2,INDEX(data!B$3:B$16128,SMALL(IF(data!$D$3:$D$16128='Редута'!$B$1,ROW(data!$A$3:$A$16128)-ROW($A$3)+1),ROWS(C$4:C53))),"")</f>
        <v>-5320.91</v>
      </c>
      <c r="D53" s="7" t="str">
        <f t="array" ref="D53">IF(ROWS(D$4:D53)&lt;=$B$2,INDEX(data!E$3:E$16128,SMALL(IF(data!$D$3:$D$16128='Редута'!$B$1,ROW(data!$A$3:$A$16128)-ROW($A$3)+1),ROWS(D$4:D53))),"")</f>
        <v/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IF(ROWS(A$4:A54)&lt;=$B$2,INDEX(data!C$3:C$16128,SMALL(IF(data!$D$3:$D$16128='Редута'!$B$1,ROW(data!$A$3:$A$16128)-ROW($A$3)+1),ROWS(A$4:A54))),"")</f>
        <v>46148</v>
      </c>
      <c r="B54" s="19" t="str">
        <f t="array" ref="B54">IF(ROWS(B$4:B54)&lt;=$B$2,INDEX(data!A$3:A$16128,SMALL(IF(data!$D$3:$D$16128='Редута'!$B$1,ROW(data!$A$3:$A$16128)-ROW($A$3)+1),ROWS(B$4:B54))),"")</f>
        <v>ЗАЕМ</v>
      </c>
      <c r="C54" s="19">
        <f t="array" ref="C54">IF(ROWS(C$4:C54)&lt;=$B$2,INDEX(data!B$3:B$16128,SMALL(IF(data!$D$3:$D$16128='Редута'!$B$1,ROW(data!$A$3:$A$16128)-ROW($A$3)+1),ROWS(C$4:C54))),"")</f>
        <v>30045.19</v>
      </c>
      <c r="D54" s="7" t="str">
        <f t="array" ref="D54">IF(ROWS(D$4:D54)&lt;=$B$2,INDEX(data!E$3:E$16128,SMALL(IF(data!$D$3:$D$16128='Редута'!$B$1,ROW(data!$A$3:$A$16128)-ROW($A$3)+1),ROWS(D$4:D54))),"")</f>
        <v>Салдо склад + вътр. п-не</v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IF(ROWS(A$4:A55)&lt;=$B$2,INDEX(data!C$3:C$16128,SMALL(IF(data!$D$3:$D$16128='Редута'!$B$1,ROW(data!$A$3:$A$16128)-ROW($A$3)+1),ROWS(A$4:A55))),"")</f>
        <v>46150</v>
      </c>
      <c r="B55" s="19" t="str">
        <f t="array" ref="B55">IF(ROWS(B$4:B55)&lt;=$B$2,INDEX(data!A$3:A$16128,SMALL(IF(data!$D$3:$D$16128='Редута'!$B$1,ROW(data!$A$3:$A$16128)-ROW($A$3)+1),ROWS(B$4:B55))),"")</f>
        <v>КАСОВА КНИГА</v>
      </c>
      <c r="C55" s="19">
        <f t="array" ref="C55">IF(ROWS(C$4:C55)&lt;=$B$2,INDEX(data!B$3:B$16128,SMALL(IF(data!$D$3:$D$16128='Редута'!$B$1,ROW(data!$A$3:$A$16128)-ROW($A$3)+1),ROWS(C$4:C55))),"")</f>
        <v>1000</v>
      </c>
      <c r="D55" s="7" t="str">
        <f t="array" ref="D55">IF(ROWS(D$4:D55)&lt;=$B$2,INDEX(data!E$3:E$16128,SMALL(IF(data!$D$3:$D$16128='Редута'!$B$1,ROW(data!$A$3:$A$16128)-ROW($A$3)+1),ROWS(D$4:D55))),"")</f>
        <v>заем</v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IF(ROWS(A$4:A56)&lt;=$B$2,INDEX(data!C$3:C$16128,SMALL(IF(data!$D$3:$D$16128='Редута'!$B$1,ROW(data!$A$3:$A$16128)-ROW($A$3)+1),ROWS(A$4:A56))),"")</f>
        <v>46153</v>
      </c>
      <c r="B56" s="19" t="str">
        <f t="array" ref="B56">IF(ROWS(B$4:B56)&lt;=$B$2,INDEX(data!A$3:A$16128,SMALL(IF(data!$D$3:$D$16128='Редута'!$B$1,ROW(data!$A$3:$A$16128)-ROW($A$3)+1),ROWS(B$4:B56))),"")</f>
        <v>MYPOS Бакалия</v>
      </c>
      <c r="C56" s="19">
        <f t="array" ref="C56">IF(ROWS(C$4:C56)&lt;=$B$2,INDEX(data!B$3:B$16128,SMALL(IF(data!$D$3:$D$16128='Редута'!$B$1,ROW(data!$A$3:$A$16128)-ROW($A$3)+1),ROWS(C$4:C56))),"")</f>
        <v>-5255.05</v>
      </c>
      <c r="D56" s="7" t="str">
        <f t="array" ref="D56">IF(ROWS(D$4:D56)&lt;=$B$2,INDEX(data!E$3:E$16128,SMALL(IF(data!$D$3:$D$16128='Редута'!$B$1,ROW(data!$A$3:$A$16128)-ROW($A$3)+1),ROWS(D$4:D56))),"")</f>
        <v/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IF(ROWS(A$4:A57)&lt;=$B$2,INDEX(data!C$3:C$16128,SMALL(IF(data!$D$3:$D$16128='Редута'!$B$1,ROW(data!$A$3:$A$16128)-ROW($A$3)+1),ROWS(A$4:A57))),"")</f>
        <v>46157</v>
      </c>
      <c r="B57" s="19" t="str">
        <f t="array" ref="B57">IF(ROWS(B$4:B57)&lt;=$B$2,INDEX(data!A$3:A$16128,SMALL(IF(data!$D$3:$D$16128='Редута'!$B$1,ROW(data!$A$3:$A$16128)-ROW($A$3)+1),ROWS(B$4:B57))),"")</f>
        <v>Каса ВАУЧЕРИ</v>
      </c>
      <c r="C57" s="19">
        <f t="array" ref="C57">IF(ROWS(C$4:C57)&lt;=$B$2,INDEX(data!B$3:B$16128,SMALL(IF(data!$D$3:$D$16128='Редута'!$B$1,ROW(data!$A$3:$A$16128)-ROW($A$3)+1),ROWS(C$4:C57))),"")</f>
        <v>-27</v>
      </c>
      <c r="D57" s="7" t="str">
        <f t="array" ref="D57">IF(ROWS(D$4:D57)&lt;=$B$2,INDEX(data!E$3:E$16128,SMALL(IF(data!$D$3:$D$16128='Редута'!$B$1,ROW(data!$A$3:$A$16128)-ROW($A$3)+1),ROWS(D$4:D57))),"")</f>
        <v/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IF(ROWS(A$4:A58)&lt;=$B$2,INDEX(data!C$3:C$16128,SMALL(IF(data!$D$3:$D$16128='Редута'!$B$1,ROW(data!$A$3:$A$16128)-ROW($A$3)+1),ROWS(A$4:A58))),"")</f>
        <v>46160</v>
      </c>
      <c r="B58" s="19" t="str">
        <f t="array" ref="B58">IF(ROWS(B$4:B58)&lt;=$B$2,INDEX(data!A$3:A$16128,SMALL(IF(data!$D$3:$D$16128='Редута'!$B$1,ROW(data!$A$3:$A$16128)-ROW($A$3)+1),ROWS(B$4:B58))),"")</f>
        <v>MYPOS Бакалия</v>
      </c>
      <c r="C58" s="19">
        <f t="array" ref="C58">IF(ROWS(C$4:C58)&lt;=$B$2,INDEX(data!B$3:B$16128,SMALL(IF(data!$D$3:$D$16128='Редута'!$B$1,ROW(data!$A$3:$A$16128)-ROW($A$3)+1),ROWS(C$4:C58))),"")</f>
        <v>-4909.07</v>
      </c>
      <c r="D58" s="7" t="str">
        <f t="array" ref="D58">IF(ROWS(D$4:D58)&lt;=$B$2,INDEX(data!E$3:E$16128,SMALL(IF(data!$D$3:$D$16128='Редута'!$B$1,ROW(data!$A$3:$A$16128)-ROW($A$3)+1),ROWS(D$4:D58))),"")</f>
        <v/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IF(ROWS(A$4:A59)&lt;=$B$2,INDEX(data!C$3:C$16128,SMALL(IF(data!$D$3:$D$16128='Редута'!$B$1,ROW(data!$A$3:$A$16128)-ROW($A$3)+1),ROWS(A$4:A59))),"")</f>
        <v>46162</v>
      </c>
      <c r="B59" s="19" t="str">
        <f t="array" ref="B59">IF(ROWS(B$4:B59)&lt;=$B$2,INDEX(data!A$3:A$16128,SMALL(IF(data!$D$3:$D$16128='Редута'!$B$1,ROW(data!$A$3:$A$16128)-ROW($A$3)+1),ROWS(B$4:B59))),"")</f>
        <v>Каса ВАУЧЕРИ</v>
      </c>
      <c r="C59" s="19">
        <f t="array" ref="C59">IF(ROWS(C$4:C59)&lt;=$B$2,INDEX(data!B$3:B$16128,SMALL(IF(data!$D$3:$D$16128='Редута'!$B$1,ROW(data!$A$3:$A$16128)-ROW($A$3)+1),ROWS(C$4:C59))),"")</f>
        <v>500</v>
      </c>
      <c r="D59" s="7" t="str">
        <f t="array" ref="D59">IF(ROWS(D$4:D59)&lt;=$B$2,INDEX(data!E$3:E$16128,SMALL(IF(data!$D$3:$D$16128='Редута'!$B$1,ROW(data!$A$3:$A$16128)-ROW($A$3)+1),ROWS(D$4:D59))),"")</f>
        <v>ваучери персонал</v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IF(ROWS(A$4:A60)&lt;=$B$2,INDEX(data!C$3:C$16128,SMALL(IF(data!$D$3:$D$16128='Редута'!$B$1,ROW(data!$A$3:$A$16128)-ROW($A$3)+1),ROWS(A$4:A60))),"")</f>
        <v>46167</v>
      </c>
      <c r="B60" s="19" t="str">
        <f t="array" ref="B60">IF(ROWS(B$4:B60)&lt;=$B$2,INDEX(data!A$3:A$16128,SMALL(IF(data!$D$3:$D$16128='Редута'!$B$1,ROW(data!$A$3:$A$16128)-ROW($A$3)+1),ROWS(B$4:B60))),"")</f>
        <v>MYPOS Бакалия</v>
      </c>
      <c r="C60" s="19">
        <f t="array" ref="C60">IF(ROWS(C$4:C60)&lt;=$B$2,INDEX(data!B$3:B$16128,SMALL(IF(data!$D$3:$D$16128='Редута'!$B$1,ROW(data!$A$3:$A$16128)-ROW($A$3)+1),ROWS(C$4:C60))),"")</f>
        <v>-4369.674</v>
      </c>
      <c r="D60" s="7" t="str">
        <f t="array" ref="D60">IF(ROWS(D$4:D60)&lt;=$B$2,INDEX(data!E$3:E$16128,SMALL(IF(data!$D$3:$D$16128='Редута'!$B$1,ROW(data!$A$3:$A$16128)-ROW($A$3)+1),ROWS(D$4:D60))),"")</f>
        <v/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IF(ROWS(A$4:A61)&lt;=$B$2,INDEX(data!C$3:C$16128,SMALL(IF(data!$D$3:$D$16128='Редута'!$B$1,ROW(data!$A$3:$A$16128)-ROW($A$3)+1),ROWS(A$4:A61))),"")</f>
        <v>46174</v>
      </c>
      <c r="B61" s="19" t="str">
        <f t="array" ref="B61">IF(ROWS(B$4:B61)&lt;=$B$2,INDEX(data!A$3:A$16128,SMALL(IF(data!$D$3:$D$16128='Редута'!$B$1,ROW(data!$A$3:$A$16128)-ROW($A$3)+1),ROWS(B$4:B61))),"")</f>
        <v>MYPOS Бакалия</v>
      </c>
      <c r="C61" s="19">
        <f t="array" ref="C61">IF(ROWS(C$4:C61)&lt;=$B$2,INDEX(data!B$3:B$16128,SMALL(IF(data!$D$3:$D$16128='Редута'!$B$1,ROW(data!$A$3:$A$16128)-ROW($A$3)+1),ROWS(C$4:C61))),"")</f>
        <v>-4759.25</v>
      </c>
      <c r="D61" s="7" t="str">
        <f t="array" ref="D61">IF(ROWS(D$4:D61)&lt;=$B$2,INDEX(data!E$3:E$16128,SMALL(IF(data!$D$3:$D$16128='Редута'!$B$1,ROW(data!$A$3:$A$16128)-ROW($A$3)+1),ROWS(D$4:D61))),"")</f>
        <v/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IF(ROWS(A$4:A62)&lt;=$B$2,INDEX(data!C$3:C$16128,SMALL(IF(data!$D$3:$D$16128='Редута'!$B$1,ROW(data!$A$3:$A$16128)-ROW($A$3)+1),ROWS(A$4:A62))),"")</f>
        <v>46182</v>
      </c>
      <c r="B62" s="19" t="str">
        <f t="array" ref="B62">IF(ROWS(B$4:B62)&lt;=$B$2,INDEX(data!A$3:A$16128,SMALL(IF(data!$D$3:$D$16128='Редута'!$B$1,ROW(data!$A$3:$A$16128)-ROW($A$3)+1),ROWS(B$4:B62))),"")</f>
        <v>MYPOS Бакалия</v>
      </c>
      <c r="C62" s="19">
        <f t="array" ref="C62">IF(ROWS(C$4:C62)&lt;=$B$2,INDEX(data!B$3:B$16128,SMALL(IF(data!$D$3:$D$16128='Редута'!$B$1,ROW(data!$A$3:$A$16128)-ROW($A$3)+1),ROWS(C$4:C62))),"")</f>
        <v>-4622.83</v>
      </c>
      <c r="D62" s="7" t="str">
        <f t="array" ref="D62">IF(ROWS(D$4:D62)&lt;=$B$2,INDEX(data!E$3:E$16128,SMALL(IF(data!$D$3:$D$16128='Редута'!$B$1,ROW(data!$A$3:$A$16128)-ROW($A$3)+1),ROWS(D$4:D62))),"")</f>
        <v/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IF(ROWS(A$4:A63)&lt;=$B$2,INDEX(data!C$3:C$16128,SMALL(IF(data!$D$3:$D$16128='Редута'!$B$1,ROW(data!$A$3:$A$16128)-ROW($A$3)+1),ROWS(A$4:A63))),"")</f>
        <v>46188</v>
      </c>
      <c r="B63" s="19" t="str">
        <f t="array" ref="B63">IF(ROWS(B$4:B63)&lt;=$B$2,INDEX(data!A$3:A$16128,SMALL(IF(data!$D$3:$D$16128='Редута'!$B$1,ROW(data!$A$3:$A$16128)-ROW($A$3)+1),ROWS(B$4:B63))),"")</f>
        <v>MYPOS Бакалия</v>
      </c>
      <c r="C63" s="19">
        <f t="array" ref="C63">IF(ROWS(C$4:C63)&lt;=$B$2,INDEX(data!B$3:B$16128,SMALL(IF(data!$D$3:$D$16128='Редута'!$B$1,ROW(data!$A$3:$A$16128)-ROW($A$3)+1),ROWS(C$4:C63))),"")</f>
        <v>-5185.28</v>
      </c>
      <c r="D63" s="7" t="str">
        <f t="array" ref="D63">IF(ROWS(D$4:D63)&lt;=$B$2,INDEX(data!E$3:E$16128,SMALL(IF(data!$D$3:$D$16128='Редута'!$B$1,ROW(data!$A$3:$A$16128)-ROW($A$3)+1),ROWS(D$4:D63))),"")</f>
        <v/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IF(ROWS(A$4:A64)&lt;=$B$2,INDEX(data!C$3:C$16128,SMALL(IF(data!$D$3:$D$16128='Редута'!$B$1,ROW(data!$A$3:$A$16128)-ROW($A$3)+1),ROWS(A$4:A64))),"")</f>
        <v>46188</v>
      </c>
      <c r="B64" s="19" t="str">
        <f t="array" ref="B64">IF(ROWS(B$4:B64)&lt;=$B$2,INDEX(data!A$3:A$16128,SMALL(IF(data!$D$3:$D$16128='Редута'!$B$1,ROW(data!$A$3:$A$16128)-ROW($A$3)+1),ROWS(B$4:B64))),"")</f>
        <v>ЗАЕМ</v>
      </c>
      <c r="C64" s="19">
        <f t="array" ref="C64">IF(ROWS(C$4:C64)&lt;=$B$2,INDEX(data!B$3:B$16128,SMALL(IF(data!$D$3:$D$16128='Редута'!$B$1,ROW(data!$A$3:$A$16128)-ROW($A$3)+1),ROWS(C$4:C64))),"")</f>
        <v>33879.85</v>
      </c>
      <c r="D64" s="7" t="str">
        <f t="array" ref="D64">IF(ROWS(D$4:D64)&lt;=$B$2,INDEX(data!E$3:E$16128,SMALL(IF(data!$D$3:$D$16128='Редута'!$B$1,ROW(data!$A$3:$A$16128)-ROW($A$3)+1),ROWS(D$4:D64))),"")</f>
        <v>Салдо склад + вътр. п-не</v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IF(ROWS(A$4:A65)&lt;=$B$2,INDEX(data!C$3:C$16128,SMALL(IF(data!$D$3:$D$16128='Редута'!$B$1,ROW(data!$A$3:$A$16128)-ROW($A$3)+1),ROWS(A$4:A65))),"")</f>
        <v>46190</v>
      </c>
      <c r="B65" s="19" t="str">
        <f t="array" ref="B65">IF(ROWS(B$4:B65)&lt;=$B$2,INDEX(data!A$3:A$16128,SMALL(IF(data!$D$3:$D$16128='Редута'!$B$1,ROW(data!$A$3:$A$16128)-ROW($A$3)+1),ROWS(B$4:B65))),"")</f>
        <v>Каса ВАУЧЕРИ</v>
      </c>
      <c r="C65" s="19">
        <f t="array" ref="C65">IF(ROWS(C$4:C65)&lt;=$B$2,INDEX(data!B$3:B$16128,SMALL(IF(data!$D$3:$D$16128='Редута'!$B$1,ROW(data!$A$3:$A$16128)-ROW($A$3)+1),ROWS(C$4:C65))),"")</f>
        <v>-52</v>
      </c>
      <c r="D65" s="7" t="str">
        <f t="array" ref="D65">IF(ROWS(D$4:D65)&lt;=$B$2,INDEX(data!E$3:E$16128,SMALL(IF(data!$D$3:$D$16128='Редута'!$B$1,ROW(data!$A$3:$A$16128)-ROW($A$3)+1),ROWS(D$4:D65))),"")</f>
        <v>за 01-07.06</v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IF(ROWS(A$4:A66)&lt;=$B$2,INDEX(data!C$3:C$16128,SMALL(IF(data!$D$3:$D$16128='Редута'!$B$1,ROW(data!$A$3:$A$16128)-ROW($A$3)+1),ROWS(A$4:A66))),"")</f>
        <v>46192</v>
      </c>
      <c r="B66" s="19" t="str">
        <f t="array" ref="B66">IF(ROWS(B$4:B66)&lt;=$B$2,INDEX(data!A$3:A$16128,SMALL(IF(data!$D$3:$D$16128='Редута'!$B$1,ROW(data!$A$3:$A$16128)-ROW($A$3)+1),ROWS(B$4:B66))),"")</f>
        <v>Каса ВАУЧЕРИ</v>
      </c>
      <c r="C66" s="19">
        <f t="array" ref="C66">IF(ROWS(C$4:C66)&lt;=$B$2,INDEX(data!B$3:B$16128,SMALL(IF(data!$D$3:$D$16128='Редута'!$B$1,ROW(data!$A$3:$A$16128)-ROW($A$3)+1),ROWS(C$4:C66))),"")</f>
        <v>500</v>
      </c>
      <c r="D66" s="7" t="str">
        <f t="array" ref="D66">IF(ROWS(D$4:D66)&lt;=$B$2,INDEX(data!E$3:E$16128,SMALL(IF(data!$D$3:$D$16128='Редута'!$B$1,ROW(data!$A$3:$A$16128)-ROW($A$3)+1),ROWS(D$4:D66))),"")</f>
        <v>ваучери персонал</v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IF(ROWS(A$4:A67)&lt;=$B$2,INDEX(data!C$3:C$16128,SMALL(IF(data!$D$3:$D$16128='Редута'!$B$1,ROW(data!$A$3:$A$16128)-ROW($A$3)+1),ROWS(A$4:A67))),"")</f>
        <v>46195</v>
      </c>
      <c r="B67" s="19" t="str">
        <f t="array" ref="B67">IF(ROWS(B$4:B67)&lt;=$B$2,INDEX(data!A$3:A$16128,SMALL(IF(data!$D$3:$D$16128='Редута'!$B$1,ROW(data!$A$3:$A$16128)-ROW($A$3)+1),ROWS(B$4:B67))),"")</f>
        <v>MYPOS Бакалия</v>
      </c>
      <c r="C67" s="19">
        <f t="array" ref="C67">IF(ROWS(C$4:C67)&lt;=$B$2,INDEX(data!B$3:B$16128,SMALL(IF(data!$D$3:$D$16128='Редута'!$B$1,ROW(data!$A$3:$A$16128)-ROW($A$3)+1),ROWS(C$4:C67))),"")</f>
        <v>-5207.72</v>
      </c>
      <c r="D67" s="7" t="str">
        <f t="array" ref="D67">IF(ROWS(D$4:D67)&lt;=$B$2,INDEX(data!E$3:E$16128,SMALL(IF(data!$D$3:$D$16128='Редута'!$B$1,ROW(data!$A$3:$A$16128)-ROW($A$3)+1),ROWS(D$4:D67))),"")</f>
        <v/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IF(ROWS(A$4:A68)&lt;=$B$2,INDEX(data!C$3:C$16128,SMALL(IF(data!$D$3:$D$16128='Редута'!$B$1,ROW(data!$A$3:$A$16128)-ROW($A$3)+1),ROWS(A$4:A68))),"")</f>
        <v>46197</v>
      </c>
      <c r="B68" s="19" t="str">
        <f t="array" ref="B68">IF(ROWS(B$4:B68)&lt;=$B$2,INDEX(data!A$3:A$16128,SMALL(IF(data!$D$3:$D$16128='Редута'!$B$1,ROW(data!$A$3:$A$16128)-ROW($A$3)+1),ROWS(B$4:B68))),"")</f>
        <v>Каса ВАУЧЕРИ</v>
      </c>
      <c r="C68" s="19">
        <f t="array" ref="C68">IF(ROWS(C$4:C68)&lt;=$B$2,INDEX(data!B$3:B$16128,SMALL(IF(data!$D$3:$D$16128='Редута'!$B$1,ROW(data!$A$3:$A$16128)-ROW($A$3)+1),ROWS(C$4:C68))),"")</f>
        <v>-20</v>
      </c>
      <c r="D68" s="7" t="str">
        <f t="array" ref="D68">IF(ROWS(D$4:D68)&lt;=$B$2,INDEX(data!E$3:E$16128,SMALL(IF(data!$D$3:$D$16128='Редута'!$B$1,ROW(data!$A$3:$A$16128)-ROW($A$3)+1),ROWS(D$4:D68))),"")</f>
        <v/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IF(ROWS(A$4:A69)&lt;=$B$2,INDEX(data!C$3:C$16128,SMALL(IF(data!$D$3:$D$16128='Редута'!$B$1,ROW(data!$A$3:$A$16128)-ROW($A$3)+1),ROWS(A$4:A69))),"")</f>
        <v>46199</v>
      </c>
      <c r="B69" s="19" t="str">
        <f t="array" ref="B69">IF(ROWS(B$4:B69)&lt;=$B$2,INDEX(data!A$3:A$16128,SMALL(IF(data!$D$3:$D$16128='Редута'!$B$1,ROW(data!$A$3:$A$16128)-ROW($A$3)+1),ROWS(B$4:B69))),"")</f>
        <v>КАСОВА КНИГА</v>
      </c>
      <c r="C69" s="19">
        <f t="array" ref="C69">IF(ROWS(C$4:C69)&lt;=$B$2,INDEX(data!B$3:B$16128,SMALL(IF(data!$D$3:$D$16128='Редута'!$B$1,ROW(data!$A$3:$A$16128)-ROW($A$3)+1),ROWS(C$4:C69))),"")</f>
        <v>700</v>
      </c>
      <c r="D69" s="7" t="str">
        <f t="array" ref="D69">IF(ROWS(D$4:D69)&lt;=$B$2,INDEX(data!E$3:E$16128,SMALL(IF(data!$D$3:$D$16128='Редута'!$B$1,ROW(data!$A$3:$A$16128)-ROW($A$3)+1),ROWS(D$4:D69))),"")</f>
        <v>заем</v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IF(ROWS(A$4:A70)&lt;=$B$2,INDEX(data!C$3:C$16128,SMALL(IF(data!$D$3:$D$16128='Редута'!$B$1,ROW(data!$A$3:$A$16128)-ROW($A$3)+1),ROWS(A$4:A70))),"")</f>
        <v>46202</v>
      </c>
      <c r="B70" s="19" t="str">
        <f t="array" ref="B70">IF(ROWS(B$4:B70)&lt;=$B$2,INDEX(data!A$3:A$16128,SMALL(IF(data!$D$3:$D$16128='Редута'!$B$1,ROW(data!$A$3:$A$16128)-ROW($A$3)+1),ROWS(B$4:B70))),"")</f>
        <v>MYPOS Бакалия</v>
      </c>
      <c r="C70" s="19">
        <f t="array" ref="C70">IF(ROWS(C$4:C70)&lt;=$B$2,INDEX(data!B$3:B$16128,SMALL(IF(data!$D$3:$D$16128='Редута'!$B$1,ROW(data!$A$3:$A$16128)-ROW($A$3)+1),ROWS(C$4:C70))),"")</f>
        <v>-4975.88</v>
      </c>
      <c r="D70" s="7" t="str">
        <f t="array" ref="D70">IF(ROWS(D$4:D70)&lt;=$B$2,INDEX(data!E$3:E$16128,SMALL(IF(data!$D$3:$D$16128='Редута'!$B$1,ROW(data!$A$3:$A$16128)-ROW($A$3)+1),ROWS(D$4:D70))),"")</f>
        <v/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IF(ROWS(A$4:A71)&lt;=$B$2,INDEX(data!C$3:C$16128,SMALL(IF(data!$D$3:$D$16128='Редута'!$B$1,ROW(data!$A$3:$A$16128)-ROW($A$3)+1),ROWS(A$4:A71))),"")</f>
        <v>46205</v>
      </c>
      <c r="B71" s="19" t="str">
        <f t="array" ref="B71">IF(ROWS(B$4:B71)&lt;=$B$2,INDEX(data!A$3:A$16128,SMALL(IF(data!$D$3:$D$16128='Редута'!$B$1,ROW(data!$A$3:$A$16128)-ROW($A$3)+1),ROWS(B$4:B71))),"")</f>
        <v>каса ФИКТИВНА</v>
      </c>
      <c r="C71" s="19">
        <f t="array" ref="C71">IF(ROWS(C$4:C71)&lt;=$B$2,INDEX(data!B$3:B$16128,SMALL(IF(data!$D$3:$D$16128='Редута'!$B$1,ROW(data!$A$3:$A$16128)-ROW($A$3)+1),ROWS(C$4:C71))),"")</f>
        <v>-200</v>
      </c>
      <c r="D71" s="7" t="str">
        <f t="array" ref="D71">IF(ROWS(D$4:D71)&lt;=$B$2,INDEX(data!E$3:E$16128,SMALL(IF(data!$D$3:$D$16128='Редута'!$B$1,ROW(data!$A$3:$A$16128)-ROW($A$3)+1),ROWS(D$4:D71))),"")</f>
        <v>Марчето от премиите</v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IF(ROWS(A$4:A72)&lt;=$B$2,INDEX(data!C$3:C$16128,SMALL(IF(data!$D$3:$D$16128='Редута'!$B$1,ROW(data!$A$3:$A$16128)-ROW($A$3)+1),ROWS(A$4:A72))),"")</f>
        <v>46209</v>
      </c>
      <c r="B72" s="19" t="str">
        <f t="array" ref="B72">IF(ROWS(B$4:B72)&lt;=$B$2,INDEX(data!A$3:A$16128,SMALL(IF(data!$D$3:$D$16128='Редута'!$B$1,ROW(data!$A$3:$A$16128)-ROW($A$3)+1),ROWS(B$4:B72))),"")</f>
        <v>MYPOS Бакалия</v>
      </c>
      <c r="C72" s="19">
        <f t="array" ref="C72">IF(ROWS(C$4:C72)&lt;=$B$2,INDEX(data!B$3:B$16128,SMALL(IF(data!$D$3:$D$16128='Редута'!$B$1,ROW(data!$A$3:$A$16128)-ROW($A$3)+1),ROWS(C$4:C72))),"")</f>
        <v>-4962.34</v>
      </c>
      <c r="D72" s="7" t="str">
        <f t="array" ref="D72">IF(ROWS(D$4:D72)&lt;=$B$2,INDEX(data!E$3:E$16128,SMALL(IF(data!$D$3:$D$16128='Редута'!$B$1,ROW(data!$A$3:$A$16128)-ROW($A$3)+1),ROWS(D$4:D72))),"")</f>
        <v/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IF(ROWS(A$4:A73)&lt;=$B$2,INDEX(data!C$3:C$16128,SMALL(IF(data!$D$3:$D$16128='Редута'!$B$1,ROW(data!$A$3:$A$16128)-ROW($A$3)+1),ROWS(A$4:A73))),"")</f>
        <v>46209</v>
      </c>
      <c r="B73" s="19" t="str">
        <f t="array" ref="B73">IF(ROWS(B$4:B73)&lt;=$B$2,INDEX(data!A$3:A$16128,SMALL(IF(data!$D$3:$D$16128='Редута'!$B$1,ROW(data!$A$3:$A$16128)-ROW($A$3)+1),ROWS(B$4:B73))),"")</f>
        <v>Каса ВАУЧЕРИ</v>
      </c>
      <c r="C73" s="19">
        <f t="array" ref="C73">IF(ROWS(C$4:C73)&lt;=$B$2,INDEX(data!B$3:B$16128,SMALL(IF(data!$D$3:$D$16128='Редута'!$B$1,ROW(data!$A$3:$A$16128)-ROW($A$3)+1),ROWS(C$4:C73))),"")</f>
        <v>-10</v>
      </c>
      <c r="D73" s="7" t="str">
        <f t="array" ref="D73">IF(ROWS(D$4:D73)&lt;=$B$2,INDEX(data!E$3:E$16128,SMALL(IF(data!$D$3:$D$16128='Редута'!$B$1,ROW(data!$A$3:$A$16128)-ROW($A$3)+1),ROWS(D$4:D73))),"")</f>
        <v>към 22.06</v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IF(ROWS(A$4:A74)&lt;=$B$2,INDEX(data!C$3:C$16128,SMALL(IF(data!$D$3:$D$16128='Редута'!$B$1,ROW(data!$A$3:$A$16128)-ROW($A$3)+1),ROWS(A$4:A74))),"")</f>
        <v>46216</v>
      </c>
      <c r="B74" s="19" t="str">
        <f t="array" ref="B74">IF(ROWS(B$4:B74)&lt;=$B$2,INDEX(data!A$3:A$16128,SMALL(IF(data!$D$3:$D$16128='Редута'!$B$1,ROW(data!$A$3:$A$16128)-ROW($A$3)+1),ROWS(B$4:B74))),"")</f>
        <v>КАСОВА КНИГА</v>
      </c>
      <c r="C74" s="19">
        <f t="array" ref="C74">IF(ROWS(C$4:C74)&lt;=$B$2,INDEX(data!B$3:B$16128,SMALL(IF(data!$D$3:$D$16128='Редута'!$B$1,ROW(data!$A$3:$A$16128)-ROW($A$3)+1),ROWS(C$4:C74))),"")</f>
        <v>500</v>
      </c>
      <c r="D74" s="7" t="str">
        <f t="array" ref="D74">IF(ROWS(D$4:D74)&lt;=$B$2,INDEX(data!E$3:E$16128,SMALL(IF(data!$D$3:$D$16128='Редута'!$B$1,ROW(data!$A$3:$A$16128)-ROW($A$3)+1),ROWS(D$4:D74))),"")</f>
        <v>заем</v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IF(ROWS(A$4:A75)&lt;=$B$2,INDEX(data!C$3:C$16128,SMALL(IF(data!$D$3:$D$16128='Редута'!$B$1,ROW(data!$A$3:$A$16128)-ROW($A$3)+1),ROWS(A$4:A75))),"")</f>
        <v>46223</v>
      </c>
      <c r="B75" s="19" t="str">
        <f t="array" ref="B75">IF(ROWS(B$4:B75)&lt;=$B$2,INDEX(data!A$3:A$16128,SMALL(IF(data!$D$3:$D$16128='Редута'!$B$1,ROW(data!$A$3:$A$16128)-ROW($A$3)+1),ROWS(B$4:B75))),"")</f>
        <v>Каса ВАУЧЕРИ</v>
      </c>
      <c r="C75" s="19">
        <f t="array" ref="C75">IF(ROWS(C$4:C75)&lt;=$B$2,INDEX(data!B$3:B$16128,SMALL(IF(data!$D$3:$D$16128='Редута'!$B$1,ROW(data!$A$3:$A$16128)-ROW($A$3)+1),ROWS(C$4:C75))),"")</f>
        <v>600</v>
      </c>
      <c r="D75" s="7" t="str">
        <f t="array" ref="D75">IF(ROWS(D$4:D75)&lt;=$B$2,INDEX(data!E$3:E$16128,SMALL(IF(data!$D$3:$D$16128='Редута'!$B$1,ROW(data!$A$3:$A$16128)-ROW($A$3)+1),ROWS(D$4:D75))),"")</f>
        <v>ваучери персонал</v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IF(ROWS(A$4:A76)&lt;=$B$2,INDEX(data!C$3:C$16128,SMALL(IF(data!$D$3:$D$16128='Редута'!$B$1,ROW(data!$A$3:$A$16128)-ROW($A$3)+1),ROWS(A$4:A76))),"")</f>
        <v>46223</v>
      </c>
      <c r="B76" s="19" t="str">
        <f t="array" ref="B76">IF(ROWS(B$4:B76)&lt;=$B$2,INDEX(data!A$3:A$16128,SMALL(IF(data!$D$3:$D$16128='Редута'!$B$1,ROW(data!$A$3:$A$16128)-ROW($A$3)+1),ROWS(B$4:B76))),"")</f>
        <v>каса ФИКТИВНА</v>
      </c>
      <c r="C76" s="19">
        <f t="array" ref="C76">IF(ROWS(C$4:C76)&lt;=$B$2,INDEX(data!B$3:B$16128,SMALL(IF(data!$D$3:$D$16128='Редута'!$B$1,ROW(data!$A$3:$A$16128)-ROW($A$3)+1),ROWS(C$4:C76))),"")</f>
        <v>-47.62</v>
      </c>
      <c r="D76" s="7" t="str">
        <f t="array" ref="D76">IF(ROWS(D$4:D76)&lt;=$B$2,INDEX(data!E$3:E$16128,SMALL(IF(data!$D$3:$D$16128='Редута'!$B$1,ROW(data!$A$3:$A$16128)-ROW($A$3)+1),ROWS(D$4:D76))),"")</f>
        <v>Стефчо от заплатата</v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IF(ROWS(A$4:A77)&lt;=$B$2,INDEX(data!C$3:C$16128,SMALL(IF(data!$D$3:$D$16128='Редута'!$B$1,ROW(data!$A$3:$A$16128)-ROW($A$3)+1),ROWS(A$4:A77))),"")</f>
        <v>46223</v>
      </c>
      <c r="B77" s="19" t="str">
        <f t="array" ref="B77">IF(ROWS(B$4:B77)&lt;=$B$2,INDEX(data!A$3:A$16128,SMALL(IF(data!$D$3:$D$16128='Редута'!$B$1,ROW(data!$A$3:$A$16128)-ROW($A$3)+1),ROWS(B$4:B77))),"")</f>
        <v>MYPOS Бакалия</v>
      </c>
      <c r="C77" s="19">
        <f t="array" ref="C77">IF(ROWS(C$4:C77)&lt;=$B$2,INDEX(data!B$3:B$16128,SMALL(IF(data!$D$3:$D$16128='Редута'!$B$1,ROW(data!$A$3:$A$16128)-ROW($A$3)+1),ROWS(C$4:C77))),"")</f>
        <v>-9984.53</v>
      </c>
      <c r="D77" s="7" t="str">
        <f t="array" ref="D77">IF(ROWS(D$4:D77)&lt;=$B$2,INDEX(data!E$3:E$16128,SMALL(IF(data!$D$3:$D$16128='Редута'!$B$1,ROW(data!$A$3:$A$16128)-ROW($A$3)+1),ROWS(D$4:D77))),"")</f>
        <v/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IF(ROWS(A$4:A78)&lt;=$B$2,INDEX(data!C$3:C$16128,SMALL(IF(data!$D$3:$D$16128='Редута'!$B$1,ROW(data!$A$3:$A$16128)-ROW($A$3)+1),ROWS(A$4:A78))),"")</f>
        <v>46224</v>
      </c>
      <c r="B78" s="19" t="str">
        <f t="array" ref="B78">IF(ROWS(B$4:B78)&lt;=$B$2,INDEX(data!A$3:A$16128,SMALL(IF(data!$D$3:$D$16128='Редута'!$B$1,ROW(data!$A$3:$A$16128)-ROW($A$3)+1),ROWS(B$4:B78))),"")</f>
        <v>ЗАЕМ</v>
      </c>
      <c r="C78" s="19">
        <f t="array" ref="C78">IF(ROWS(C$4:C78)&lt;=$B$2,INDEX(data!B$3:B$16128,SMALL(IF(data!$D$3:$D$16128='Редута'!$B$1,ROW(data!$A$3:$A$16128)-ROW($A$3)+1),ROWS(C$4:C78))),"")</f>
        <v>33943.75</v>
      </c>
      <c r="D78" s="7" t="str">
        <f t="array" ref="D78">IF(ROWS(D$4:D78)&lt;=$B$2,INDEX(data!E$3:E$16128,SMALL(IF(data!$D$3:$D$16128='Редута'!$B$1,ROW(data!$A$3:$A$16128)-ROW($A$3)+1),ROWS(D$4:D78))),"")</f>
        <v>Салдо склад + вътр. п-не</v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IF(ROWS(A$4:A79)&lt;=$B$2,INDEX(data!C$3:C$16128,SMALL(IF(data!$D$3:$D$16128='Редута'!$B$1,ROW(data!$A$3:$A$16128)-ROW($A$3)+1),ROWS(A$4:A79))),"")</f>
        <v>46225</v>
      </c>
      <c r="B79" s="19" t="str">
        <f t="array" ref="B79">IF(ROWS(B$4:B79)&lt;=$B$2,INDEX(data!A$3:A$16128,SMALL(IF(data!$D$3:$D$16128='Редута'!$B$1,ROW(data!$A$3:$A$16128)-ROW($A$3)+1),ROWS(B$4:B79))),"")</f>
        <v>каса ФИКТИВНА</v>
      </c>
      <c r="C79" s="19">
        <f t="array" ref="C79">IF(ROWS(C$4:C79)&lt;=$B$2,INDEX(data!B$3:B$16128,SMALL(IF(data!$D$3:$D$16128='Редута'!$B$1,ROW(data!$A$3:$A$16128)-ROW($A$3)+1),ROWS(C$4:C79))),"")</f>
        <v>-250</v>
      </c>
      <c r="D79" s="7" t="str">
        <f t="array" ref="D79">IF(ROWS(D$4:D79)&lt;=$B$2,INDEX(data!E$3:E$16128,SMALL(IF(data!$D$3:$D$16128='Редута'!$B$1,ROW(data!$A$3:$A$16128)-ROW($A$3)+1),ROWS(D$4:D79))),"")</f>
        <v>Стефчо</v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IF(ROWS(A$4:A80)&lt;=$B$2,INDEX(data!C$3:C$16128,SMALL(IF(data!$D$3:$D$16128='Редута'!$B$1,ROW(data!$A$3:$A$16128)-ROW($A$3)+1),ROWS(A$4:A80))),"")</f>
        <v>46231</v>
      </c>
      <c r="B80" s="19" t="str">
        <f t="array" ref="B80">IF(ROWS(B$4:B80)&lt;=$B$2,INDEX(data!A$3:A$16128,SMALL(IF(data!$D$3:$D$16128='Редута'!$B$1,ROW(data!$A$3:$A$16128)-ROW($A$3)+1),ROWS(B$4:B80))),"")</f>
        <v>MYPOS Бакалия</v>
      </c>
      <c r="C80" s="19">
        <f t="array" ref="C80">IF(ROWS(C$4:C80)&lt;=$B$2,INDEX(data!B$3:B$16128,SMALL(IF(data!$D$3:$D$16128='Редута'!$B$1,ROW(data!$A$3:$A$16128)-ROW($A$3)+1),ROWS(C$4:C80))),"")</f>
        <v>-4278.92</v>
      </c>
      <c r="D80" s="7" t="str">
        <f t="array" ref="D80">IF(ROWS(D$4:D80)&lt;=$B$2,INDEX(data!E$3:E$16128,SMALL(IF(data!$D$3:$D$16128='Редута'!$B$1,ROW(data!$A$3:$A$16128)-ROW($A$3)+1),ROWS(D$4:D80))),"")</f>
        <v/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IF(ROWS(A$4:A81)&lt;=$B$2,INDEX(data!C$3:C$16128,SMALL(IF(data!$D$3:$D$16128='Редута'!$B$1,ROW(data!$A$3:$A$16128)-ROW($A$3)+1),ROWS(A$4:A81))),"")</f>
        <v>46237</v>
      </c>
      <c r="B81" s="19" t="str">
        <f t="array" ref="B81">IF(ROWS(B$4:B81)&lt;=$B$2,INDEX(data!A$3:A$16128,SMALL(IF(data!$D$3:$D$16128='Редута'!$B$1,ROW(data!$A$3:$A$16128)-ROW($A$3)+1),ROWS(B$4:B81))),"")</f>
        <v>MYPOS Бакалия</v>
      </c>
      <c r="C81" s="19">
        <f t="array" ref="C81">IF(ROWS(C$4:C81)&lt;=$B$2,INDEX(data!B$3:B$16128,SMALL(IF(data!$D$3:$D$16128='Редута'!$B$1,ROW(data!$A$3:$A$16128)-ROW($A$3)+1),ROWS(C$4:C81))),"")</f>
        <v>-5089.19</v>
      </c>
      <c r="D81" s="7" t="str">
        <f t="array" ref="D81">IF(ROWS(D$4:D81)&lt;=$B$2,INDEX(data!E$3:E$16128,SMALL(IF(data!$D$3:$D$16128='Редута'!$B$1,ROW(data!$A$3:$A$16128)-ROW($A$3)+1),ROWS(D$4:D81))),"")</f>
        <v/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IF(ROWS(A$4:A82)&lt;=$B$2,INDEX(data!C$3:C$16128,SMALL(IF(data!$D$3:$D$16128='Редута'!$B$1,ROW(data!$A$3:$A$16128)-ROW($A$3)+1),ROWS(A$4:A82))),"")</f>
        <v>46239</v>
      </c>
      <c r="B82" s="19" t="str">
        <f t="array" ref="B82">IF(ROWS(B$4:B82)&lt;=$B$2,INDEX(data!A$3:A$16128,SMALL(IF(data!$D$3:$D$16128='Редута'!$B$1,ROW(data!$A$3:$A$16128)-ROW($A$3)+1),ROWS(B$4:B82))),"")</f>
        <v>КАСОВА КНИГА</v>
      </c>
      <c r="C82" s="19">
        <f t="array" ref="C82">IF(ROWS(C$4:C82)&lt;=$B$2,INDEX(data!B$3:B$16128,SMALL(IF(data!$D$3:$D$16128='Редута'!$B$1,ROW(data!$A$3:$A$16128)-ROW($A$3)+1),ROWS(C$4:C82))),"")</f>
        <v>1000</v>
      </c>
      <c r="D82" s="7" t="str">
        <f t="array" ref="D82">IF(ROWS(D$4:D82)&lt;=$B$2,INDEX(data!E$3:E$16128,SMALL(IF(data!$D$3:$D$16128='Редута'!$B$1,ROW(data!$A$3:$A$16128)-ROW($A$3)+1),ROWS(D$4:D82))),"")</f>
        <v>заем</v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IF(ROWS(A$4:A83)&lt;=$B$2,INDEX(data!C$3:C$16128,SMALL(IF(data!$D$3:$D$16128='Редута'!$B$1,ROW(data!$A$3:$A$16128)-ROW($A$3)+1),ROWS(A$4:A83))),"")</f>
        <v>46240</v>
      </c>
      <c r="B83" s="19" t="str">
        <f t="array" ref="B83">IF(ROWS(B$4:B83)&lt;=$B$2,INDEX(data!A$3:A$16128,SMALL(IF(data!$D$3:$D$16128='Редута'!$B$1,ROW(data!$A$3:$A$16128)-ROW($A$3)+1),ROWS(B$4:B83))),"")</f>
        <v>каса ФИКТИВНА</v>
      </c>
      <c r="C83" s="19">
        <f t="array" ref="C83">IF(ROWS(C$4:C83)&lt;=$B$2,INDEX(data!B$3:B$16128,SMALL(IF(data!$D$3:$D$16128='Редута'!$B$1,ROW(data!$A$3:$A$16128)-ROW($A$3)+1),ROWS(C$4:C83))),"")</f>
        <v>-300</v>
      </c>
      <c r="D83" s="7" t="str">
        <f t="array" ref="D83">IF(ROWS(D$4:D83)&lt;=$B$2,INDEX(data!E$3:E$16128,SMALL(IF(data!$D$3:$D$16128='Редута'!$B$1,ROW(data!$A$3:$A$16128)-ROW($A$3)+1),ROWS(D$4:D83))),"")</f>
        <v>Мимето от заплатата</v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IF(ROWS(A$4:A84)&lt;=$B$2,INDEX(data!C$3:C$16128,SMALL(IF(data!$D$3:$D$16128='Редута'!$B$1,ROW(data!$A$3:$A$16128)-ROW($A$3)+1),ROWS(A$4:A84))),"")</f>
        <v>46241</v>
      </c>
      <c r="B84" s="19" t="str">
        <f t="array" ref="B84">IF(ROWS(B$4:B84)&lt;=$B$2,INDEX(data!A$3:A$16128,SMALL(IF(data!$D$3:$D$16128='Редута'!$B$1,ROW(data!$A$3:$A$16128)-ROW($A$3)+1),ROWS(B$4:B84))),"")</f>
        <v>каса ФИКТИВНА</v>
      </c>
      <c r="C84" s="19">
        <f t="array" ref="C84">IF(ROWS(C$4:C84)&lt;=$B$2,INDEX(data!B$3:B$16128,SMALL(IF(data!$D$3:$D$16128='Редута'!$B$1,ROW(data!$A$3:$A$16128)-ROW($A$3)+1),ROWS(C$4:C84))),"")</f>
        <v>-11.68</v>
      </c>
      <c r="D84" s="7" t="str">
        <f t="array" ref="D84">IF(ROWS(D$4:D84)&lt;=$B$2,INDEX(data!E$3:E$16128,SMALL(IF(data!$D$3:$D$16128='Редута'!$B$1,ROW(data!$A$3:$A$16128)-ROW($A$3)+1),ROWS(D$4:D84))),"")</f>
        <v>пазар Ния</v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IF(ROWS(A$4:A85)&lt;=$B$2,INDEX(data!C$3:C$16128,SMALL(IF(data!$D$3:$D$16128='Редута'!$B$1,ROW(data!$A$3:$A$16128)-ROW($A$3)+1),ROWS(A$4:A85))),"")</f>
        <v>46244</v>
      </c>
      <c r="B85" s="19" t="str">
        <f t="array" ref="B85">IF(ROWS(B$4:B85)&lt;=$B$2,INDEX(data!A$3:A$16128,SMALL(IF(data!$D$3:$D$16128='Редута'!$B$1,ROW(data!$A$3:$A$16128)-ROW($A$3)+1),ROWS(B$4:B85))),"")</f>
        <v>MYPOS Бакалия</v>
      </c>
      <c r="C85" s="19">
        <f t="array" ref="C85">IF(ROWS(C$4:C85)&lt;=$B$2,INDEX(data!B$3:B$16128,SMALL(IF(data!$D$3:$D$16128='Редута'!$B$1,ROW(data!$A$3:$A$16128)-ROW($A$3)+1),ROWS(C$4:C85))),"")</f>
        <v>-3918.84</v>
      </c>
      <c r="D85" s="7" t="str">
        <f t="array" ref="D85">IF(ROWS(D$4:D85)&lt;=$B$2,INDEX(data!E$3:E$16128,SMALL(IF(data!$D$3:$D$16128='Редута'!$B$1,ROW(data!$A$3:$A$16128)-ROW($A$3)+1),ROWS(D$4:D85))),"")</f>
        <v/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IF(ROWS(A$4:A86)&lt;=$B$2,INDEX(data!C$3:C$16128,SMALL(IF(data!$D$3:$D$16128='Редута'!$B$1,ROW(data!$A$3:$A$16128)-ROW($A$3)+1),ROWS(A$4:A86))),"")</f>
        <v>46244</v>
      </c>
      <c r="B86" s="19" t="str">
        <f t="array" ref="B86">IF(ROWS(B$4:B86)&lt;=$B$2,INDEX(data!A$3:A$16128,SMALL(IF(data!$D$3:$D$16128='Редута'!$B$1,ROW(data!$A$3:$A$16128)-ROW($A$3)+1),ROWS(B$4:B86))),"")</f>
        <v>каса ФИКТИВНА</v>
      </c>
      <c r="C86" s="19">
        <f t="array" ref="C86">IF(ROWS(C$4:C86)&lt;=$B$2,INDEX(data!B$3:B$16128,SMALL(IF(data!$D$3:$D$16128='Редута'!$B$1,ROW(data!$A$3:$A$16128)-ROW($A$3)+1),ROWS(C$4:C86))),"")</f>
        <v>-133</v>
      </c>
      <c r="D86" s="7" t="str">
        <f t="array" ref="D86">IF(ROWS(D$4:D86)&lt;=$B$2,INDEX(data!E$3:E$16128,SMALL(IF(data!$D$3:$D$16128='Редута'!$B$1,ROW(data!$A$3:$A$16128)-ROW($A$3)+1),ROWS(D$4:D86))),"")</f>
        <v>карти за гр.транспорт непалци</v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IF(ROWS(A$4:A87)&lt;=$B$2,INDEX(data!C$3:C$16128,SMALL(IF(data!$D$3:$D$16128='Редута'!$B$1,ROW(data!$A$3:$A$16128)-ROW($A$3)+1),ROWS(A$4:A87))),"")</f>
        <v>46246</v>
      </c>
      <c r="B87" s="19" t="str">
        <f t="array" ref="B87">IF(ROWS(B$4:B87)&lt;=$B$2,INDEX(data!A$3:A$16128,SMALL(IF(data!$D$3:$D$16128='Редута'!$B$1,ROW(data!$A$3:$A$16128)-ROW($A$3)+1),ROWS(B$4:B87))),"")</f>
        <v>КАСОВА КНИГА</v>
      </c>
      <c r="C87" s="19">
        <f t="array" ref="C87">IF(ROWS(C$4:C87)&lt;=$B$2,INDEX(data!B$3:B$16128,SMALL(IF(data!$D$3:$D$16128='Редута'!$B$1,ROW(data!$A$3:$A$16128)-ROW($A$3)+1),ROWS(C$4:C87))),"")</f>
        <v>500</v>
      </c>
      <c r="D87" s="7" t="str">
        <f t="array" ref="D87">IF(ROWS(D$4:D87)&lt;=$B$2,INDEX(data!E$3:E$16128,SMALL(IF(data!$D$3:$D$16128='Редута'!$B$1,ROW(data!$A$3:$A$16128)-ROW($A$3)+1),ROWS(D$4:D87))),"")</f>
        <v>заем</v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IF(ROWS(A$4:A88)&lt;=$B$2,INDEX(data!C$3:C$16128,SMALL(IF(data!$D$3:$D$16128='Редута'!$B$1,ROW(data!$A$3:$A$16128)-ROW($A$3)+1),ROWS(A$4:A88))),"")</f>
        <v>46251</v>
      </c>
      <c r="B88" s="19" t="str">
        <f t="array" ref="B88">IF(ROWS(B$4:B88)&lt;=$B$2,INDEX(data!A$3:A$16128,SMALL(IF(data!$D$3:$D$16128='Редута'!$B$1,ROW(data!$A$3:$A$16128)-ROW($A$3)+1),ROWS(B$4:B88))),"")</f>
        <v>MYPOS Бакалия</v>
      </c>
      <c r="C88" s="19">
        <f t="array" ref="C88">IF(ROWS(C$4:C88)&lt;=$B$2,INDEX(data!B$3:B$16128,SMALL(IF(data!$D$3:$D$16128='Редута'!$B$1,ROW(data!$A$3:$A$16128)-ROW($A$3)+1),ROWS(C$4:C88))),"")</f>
        <v>-4218.17</v>
      </c>
      <c r="D88" s="7" t="str">
        <f t="array" ref="D88">IF(ROWS(D$4:D88)&lt;=$B$2,INDEX(data!E$3:E$16128,SMALL(IF(data!$D$3:$D$16128='Редута'!$B$1,ROW(data!$A$3:$A$16128)-ROW($A$3)+1),ROWS(D$4:D88))),"")</f>
        <v/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IF(ROWS(A$4:A89)&lt;=$B$2,INDEX(data!C$3:C$16128,SMALL(IF(data!$D$3:$D$16128='Редута'!$B$1,ROW(data!$A$3:$A$16128)-ROW($A$3)+1),ROWS(A$4:A89))),"")</f>
        <v>46252</v>
      </c>
      <c r="B89" s="19" t="str">
        <f t="array" ref="B89">IF(ROWS(B$4:B89)&lt;=$B$2,INDEX(data!A$3:A$16128,SMALL(IF(data!$D$3:$D$16128='Редута'!$B$1,ROW(data!$A$3:$A$16128)-ROW($A$3)+1),ROWS(B$4:B89))),"")</f>
        <v>КАСОВА КНИГА</v>
      </c>
      <c r="C89" s="19">
        <f t="array" ref="C89">IF(ROWS(C$4:C89)&lt;=$B$2,INDEX(data!B$3:B$16128,SMALL(IF(data!$D$3:$D$16128='Редута'!$B$1,ROW(data!$A$3:$A$16128)-ROW($A$3)+1),ROWS(C$4:C89))),"")</f>
        <v>1000</v>
      </c>
      <c r="D89" s="7" t="str">
        <f t="array" ref="D89">IF(ROWS(D$4:D89)&lt;=$B$2,INDEX(data!E$3:E$16128,SMALL(IF(data!$D$3:$D$16128='Редута'!$B$1,ROW(data!$A$3:$A$16128)-ROW($A$3)+1),ROWS(D$4:D89))),"")</f>
        <v>заем</v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IF(ROWS(A$4:A90)&lt;=$B$2,INDEX(data!C$3:C$16128,SMALL(IF(data!$D$3:$D$16128='Редута'!$B$1,ROW(data!$A$3:$A$16128)-ROW($A$3)+1),ROWS(A$4:A90))),"")</f>
        <v>46254</v>
      </c>
      <c r="B90" s="19" t="str">
        <f t="array" ref="B90">IF(ROWS(B$4:B90)&lt;=$B$2,INDEX(data!A$3:A$16128,SMALL(IF(data!$D$3:$D$16128='Редута'!$B$1,ROW(data!$A$3:$A$16128)-ROW($A$3)+1),ROWS(B$4:B90))),"")</f>
        <v>Каса ВАУЧЕРИ</v>
      </c>
      <c r="C90" s="19">
        <f t="array" ref="C90">IF(ROWS(C$4:C90)&lt;=$B$2,INDEX(data!B$3:B$16128,SMALL(IF(data!$D$3:$D$16128='Редута'!$B$1,ROW(data!$A$3:$A$16128)-ROW($A$3)+1),ROWS(C$4:C90))),"")</f>
        <v>-80</v>
      </c>
      <c r="D90" s="7" t="str">
        <f t="array" ref="D90">IF(ROWS(D$4:D90)&lt;=$B$2,INDEX(data!E$3:E$16128,SMALL(IF(data!$D$3:$D$16128='Редута'!$B$1,ROW(data!$A$3:$A$16128)-ROW($A$3)+1),ROWS(D$4:D90))),"")</f>
        <v/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IF(ROWS(A$4:A91)&lt;=$B$2,INDEX(data!C$3:C$16128,SMALL(IF(data!$D$3:$D$16128='Редута'!$B$1,ROW(data!$A$3:$A$16128)-ROW($A$3)+1),ROWS(A$4:A91))),"")</f>
        <v>46255</v>
      </c>
      <c r="B91" s="19" t="str">
        <f t="array" ref="B91">IF(ROWS(B$4:B91)&lt;=$B$2,INDEX(data!A$3:A$16128,SMALL(IF(data!$D$3:$D$16128='Редута'!$B$1,ROW(data!$A$3:$A$16128)-ROW($A$3)+1),ROWS(B$4:B91))),"")</f>
        <v>КАСОВА КНИГА</v>
      </c>
      <c r="C91" s="19">
        <f t="array" ref="C91">IF(ROWS(C$4:C91)&lt;=$B$2,INDEX(data!B$3:B$16128,SMALL(IF(data!$D$3:$D$16128='Редута'!$B$1,ROW(data!$A$3:$A$16128)-ROW($A$3)+1),ROWS(C$4:C91))),"")</f>
        <v>500</v>
      </c>
      <c r="D91" s="7" t="str">
        <f t="array" ref="D91">IF(ROWS(D$4:D91)&lt;=$B$2,INDEX(data!E$3:E$16128,SMALL(IF(data!$D$3:$D$16128='Редута'!$B$1,ROW(data!$A$3:$A$16128)-ROW($A$3)+1),ROWS(D$4:D91))),"")</f>
        <v>заем</v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IF(ROWS(A$4:A92)&lt;=$B$2,INDEX(data!C$3:C$16128,SMALL(IF(data!$D$3:$D$16128='Редута'!$B$1,ROW(data!$A$3:$A$16128)-ROW($A$3)+1),ROWS(A$4:A92))),"")</f>
        <v>46255</v>
      </c>
      <c r="B92" s="19" t="str">
        <f t="array" ref="B92">IF(ROWS(B$4:B92)&lt;=$B$2,INDEX(data!A$3:A$16128,SMALL(IF(data!$D$3:$D$16128='Редута'!$B$1,ROW(data!$A$3:$A$16128)-ROW($A$3)+1),ROWS(B$4:B92))),"")</f>
        <v>Каса ВАУЧЕРИ</v>
      </c>
      <c r="C92" s="19">
        <f t="array" ref="C92">IF(ROWS(C$4:C92)&lt;=$B$2,INDEX(data!B$3:B$16128,SMALL(IF(data!$D$3:$D$16128='Редута'!$B$1,ROW(data!$A$3:$A$16128)-ROW($A$3)+1),ROWS(C$4:C92))),"")</f>
        <v>600</v>
      </c>
      <c r="D92" s="7" t="str">
        <f t="array" ref="D92">IF(ROWS(D$4:D92)&lt;=$B$2,INDEX(data!E$3:E$16128,SMALL(IF(data!$D$3:$D$16128='Редута'!$B$1,ROW(data!$A$3:$A$16128)-ROW($A$3)+1),ROWS(D$4:D92))),"")</f>
        <v>ваучери персонал</v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IF(ROWS(A$4:A93)&lt;=$B$2,INDEX(data!C$3:C$16128,SMALL(IF(data!$D$3:$D$16128='Редута'!$B$1,ROW(data!$A$3:$A$16128)-ROW($A$3)+1),ROWS(A$4:A93))),"")</f>
        <v>46258</v>
      </c>
      <c r="B93" s="19" t="str">
        <f t="array" ref="B93">IF(ROWS(B$4:B93)&lt;=$B$2,INDEX(data!A$3:A$16128,SMALL(IF(data!$D$3:$D$16128='Редута'!$B$1,ROW(data!$A$3:$A$16128)-ROW($A$3)+1),ROWS(B$4:B93))),"")</f>
        <v>MYPOS Бакалия</v>
      </c>
      <c r="C93" s="19">
        <f t="array" ref="C93">IF(ROWS(C$4:C93)&lt;=$B$2,INDEX(data!B$3:B$16128,SMALL(IF(data!$D$3:$D$16128='Редута'!$B$1,ROW(data!$A$3:$A$16128)-ROW($A$3)+1),ROWS(C$4:C93))),"")</f>
        <v>-4764.21</v>
      </c>
      <c r="D93" s="7" t="str">
        <f t="array" ref="D93">IF(ROWS(D$4:D93)&lt;=$B$2,INDEX(data!E$3:E$16128,SMALL(IF(data!$D$3:$D$16128='Редута'!$B$1,ROW(data!$A$3:$A$16128)-ROW($A$3)+1),ROWS(D$4:D93))),"")</f>
        <v/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IF(ROWS(A$4:A94)&lt;=$B$2,INDEX(data!C$3:C$16128,SMALL(IF(data!$D$3:$D$16128='Редута'!$B$1,ROW(data!$A$3:$A$16128)-ROW($A$3)+1),ROWS(A$4:A94))),"")</f>
        <v>46258</v>
      </c>
      <c r="B94" s="19" t="str">
        <f t="array" ref="B94">IF(ROWS(B$4:B94)&lt;=$B$2,INDEX(data!A$3:A$16128,SMALL(IF(data!$D$3:$D$16128='Редута'!$B$1,ROW(data!$A$3:$A$16128)-ROW($A$3)+1),ROWS(B$4:B94))),"")</f>
        <v>КАСОВА КНИГА</v>
      </c>
      <c r="C94" s="19">
        <f t="array" ref="C94">IF(ROWS(C$4:C94)&lt;=$B$2,INDEX(data!B$3:B$16128,SMALL(IF(data!$D$3:$D$16128='Редута'!$B$1,ROW(data!$A$3:$A$16128)-ROW($A$3)+1),ROWS(C$4:C94))),"")</f>
        <v>500</v>
      </c>
      <c r="D94" s="7" t="str">
        <f t="array" ref="D94">IF(ROWS(D$4:D94)&lt;=$B$2,INDEX(data!E$3:E$16128,SMALL(IF(data!$D$3:$D$16128='Редута'!$B$1,ROW(data!$A$3:$A$16128)-ROW($A$3)+1),ROWS(D$4:D94))),"")</f>
        <v>заем</v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 t="str">
        <f t="array" ref="A95">IF(ROWS(A$4:A95)&lt;=$B$2,INDEX(data!C$3:C$16128,SMALL(IF(data!$D$3:$D$16128='Редута'!$B$1,ROW(data!$A$3:$A$16128)-ROW($A$3)+1),ROWS(A$4:A95))),"")</f>
        <v/>
      </c>
      <c r="B95" s="19" t="str">
        <f t="array" ref="B95">IF(ROWS(B$4:B95)&lt;=$B$2,INDEX(data!A$3:A$16128,SMALL(IF(data!$D$3:$D$16128='Редута'!$B$1,ROW(data!$A$3:$A$16128)-ROW($A$3)+1),ROWS(B$4:B95))),"")</f>
        <v/>
      </c>
      <c r="C95" s="19" t="str">
        <f t="array" ref="C95">IF(ROWS(C$4:C95)&lt;=$B$2,INDEX(data!B$3:B$16128,SMALL(IF(data!$D$3:$D$16128='Редута'!$B$1,ROW(data!$A$3:$A$16128)-ROW($A$3)+1),ROWS(C$4:C95))),"")</f>
        <v/>
      </c>
      <c r="D95" s="7" t="str">
        <f t="array" ref="D95">IF(ROWS(D$4:D95)&lt;=$B$2,INDEX(data!E$3:E$16128,SMALL(IF(data!$D$3:$D$16128='Редута'!$B$1,ROW(data!$A$3:$A$16128)-ROW($A$3)+1),ROWS(D$4:D95))),"")</f>
        <v/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 t="str">
        <f t="array" ref="A96">IF(ROWS(A$4:A96)&lt;=$B$2,INDEX(data!C$3:C$16128,SMALL(IF(data!$D$3:$D$16128='Редута'!$B$1,ROW(data!$A$3:$A$16128)-ROW($A$3)+1),ROWS(A$4:A96))),"")</f>
        <v/>
      </c>
      <c r="B96" s="19" t="str">
        <f t="array" ref="B96">IF(ROWS(B$4:B96)&lt;=$B$2,INDEX(data!A$3:A$16128,SMALL(IF(data!$D$3:$D$16128='Редута'!$B$1,ROW(data!$A$3:$A$16128)-ROW($A$3)+1),ROWS(B$4:B96))),"")</f>
        <v/>
      </c>
      <c r="C96" s="19" t="str">
        <f t="array" ref="C96">IF(ROWS(C$4:C96)&lt;=$B$2,INDEX(data!B$3:B$16128,SMALL(IF(data!$D$3:$D$16128='Редута'!$B$1,ROW(data!$A$3:$A$16128)-ROW($A$3)+1),ROWS(C$4:C96))),"")</f>
        <v/>
      </c>
      <c r="D96" s="7" t="str">
        <f t="array" ref="D96">IF(ROWS(D$4:D96)&lt;=$B$2,INDEX(data!E$3:E$16128,SMALL(IF(data!$D$3:$D$16128='Редута'!$B$1,ROW(data!$A$3:$A$16128)-ROW($A$3)+1),ROWS(D$4:D96))),"")</f>
        <v/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 t="str">
        <f t="array" ref="A97">IF(ROWS(A$4:A97)&lt;=$B$2,INDEX(data!C$3:C$16128,SMALL(IF(data!$D$3:$D$16128='Редута'!$B$1,ROW(data!$A$3:$A$16128)-ROW($A$3)+1),ROWS(A$4:A97))),"")</f>
        <v/>
      </c>
      <c r="B97" s="19" t="str">
        <f t="array" ref="B97">IF(ROWS(B$4:B97)&lt;=$B$2,INDEX(data!A$3:A$16128,SMALL(IF(data!$D$3:$D$16128='Редута'!$B$1,ROW(data!$A$3:$A$16128)-ROW($A$3)+1),ROWS(B$4:B97))),"")</f>
        <v/>
      </c>
      <c r="C97" s="19" t="str">
        <f t="array" ref="C97">IF(ROWS(C$4:C97)&lt;=$B$2,INDEX(data!B$3:B$16128,SMALL(IF(data!$D$3:$D$16128='Редута'!$B$1,ROW(data!$A$3:$A$16128)-ROW($A$3)+1),ROWS(C$4:C97))),"")</f>
        <v/>
      </c>
      <c r="D97" s="7" t="str">
        <f t="array" ref="D97">IF(ROWS(D$4:D97)&lt;=$B$2,INDEX(data!E$3:E$16128,SMALL(IF(data!$D$3:$D$16128='Редута'!$B$1,ROW(data!$A$3:$A$16128)-ROW($A$3)+1),ROWS(D$4:D97))),"")</f>
        <v/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 t="str">
        <f t="array" ref="A98">IF(ROWS(A$4:A98)&lt;=$B$2,INDEX(data!C$3:C$16128,SMALL(IF(data!$D$3:$D$16128='Редута'!$B$1,ROW(data!$A$3:$A$16128)-ROW($A$3)+1),ROWS(A$4:A98))),"")</f>
        <v/>
      </c>
      <c r="B98" s="19" t="str">
        <f t="array" ref="B98">IF(ROWS(B$4:B98)&lt;=$B$2,INDEX(data!A$3:A$16128,SMALL(IF(data!$D$3:$D$16128='Редута'!$B$1,ROW(data!$A$3:$A$16128)-ROW($A$3)+1),ROWS(B$4:B98))),"")</f>
        <v/>
      </c>
      <c r="C98" s="19" t="str">
        <f t="array" ref="C98">IF(ROWS(C$4:C98)&lt;=$B$2,INDEX(data!B$3:B$16128,SMALL(IF(data!$D$3:$D$16128='Редута'!$B$1,ROW(data!$A$3:$A$16128)-ROW($A$3)+1),ROWS(C$4:C98))),"")</f>
        <v/>
      </c>
      <c r="D98" s="7" t="str">
        <f t="array" ref="D98">IF(ROWS(D$4:D98)&lt;=$B$2,INDEX(data!E$3:E$16128,SMALL(IF(data!$D$3:$D$16128='Редута'!$B$1,ROW(data!$A$3:$A$16128)-ROW($A$3)+1),ROWS(D$4:D98))),"")</f>
        <v/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 t="str">
        <f t="array" ref="A99">IF(ROWS(A$4:A99)&lt;=$B$2,INDEX(data!C$3:C$16128,SMALL(IF(data!$D$3:$D$16128='Редута'!$B$1,ROW(data!$A$3:$A$16128)-ROW($A$3)+1),ROWS(A$4:A99))),"")</f>
        <v/>
      </c>
      <c r="B99" s="19" t="str">
        <f t="array" ref="B99">IF(ROWS(B$4:B99)&lt;=$B$2,INDEX(data!A$3:A$16128,SMALL(IF(data!$D$3:$D$16128='Редута'!$B$1,ROW(data!$A$3:$A$16128)-ROW($A$3)+1),ROWS(B$4:B99))),"")</f>
        <v/>
      </c>
      <c r="C99" s="19" t="str">
        <f t="array" ref="C99">IF(ROWS(C$4:C99)&lt;=$B$2,INDEX(data!B$3:B$16128,SMALL(IF(data!$D$3:$D$16128='Редута'!$B$1,ROW(data!$A$3:$A$16128)-ROW($A$3)+1),ROWS(C$4:C99))),"")</f>
        <v/>
      </c>
      <c r="D99" s="7" t="str">
        <f t="array" ref="D99">IF(ROWS(D$4:D99)&lt;=$B$2,INDEX(data!E$3:E$16128,SMALL(IF(data!$D$3:$D$16128='Редута'!$B$1,ROW(data!$A$3:$A$16128)-ROW($A$3)+1),ROWS(D$4:D99))),"")</f>
        <v/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 t="str">
        <f t="array" ref="A100">IF(ROWS(A$4:A100)&lt;=$B$2,INDEX(data!C$3:C$16128,SMALL(IF(data!$D$3:$D$16128='Редута'!$B$1,ROW(data!$A$3:$A$16128)-ROW($A$3)+1),ROWS(A$4:A100))),"")</f>
        <v/>
      </c>
      <c r="B100" s="19" t="str">
        <f t="array" ref="B100">IF(ROWS(B$4:B100)&lt;=$B$2,INDEX(data!A$3:A$16128,SMALL(IF(data!$D$3:$D$16128='Редута'!$B$1,ROW(data!$A$3:$A$16128)-ROW($A$3)+1),ROWS(B$4:B100))),"")</f>
        <v/>
      </c>
      <c r="C100" s="19" t="str">
        <f t="array" ref="C100">IF(ROWS(C$4:C100)&lt;=$B$2,INDEX(data!B$3:B$16128,SMALL(IF(data!$D$3:$D$16128='Редута'!$B$1,ROW(data!$A$3:$A$16128)-ROW($A$3)+1),ROWS(C$4:C100))),"")</f>
        <v/>
      </c>
      <c r="D100" s="7" t="str">
        <f t="array" ref="D100">IF(ROWS(D$4:D100)&lt;=$B$2,INDEX(data!E$3:E$16128,SMALL(IF(data!$D$3:$D$16128='Редута'!$B$1,ROW(data!$A$3:$A$16128)-ROW($A$3)+1),ROWS(D$4:D100))),"")</f>
        <v/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 t="str">
        <f t="array" ref="A101">IF(ROWS(A$4:A101)&lt;=$B$2,INDEX(data!C$3:C$16128,SMALL(IF(data!$D$3:$D$16128='Редута'!$B$1,ROW(data!$A$3:$A$16128)-ROW($A$3)+1),ROWS(A$4:A101))),"")</f>
        <v/>
      </c>
      <c r="B101" s="19" t="str">
        <f t="array" ref="B101">IF(ROWS(B$4:B101)&lt;=$B$2,INDEX(data!A$3:A$16128,SMALL(IF(data!$D$3:$D$16128='Редута'!$B$1,ROW(data!$A$3:$A$16128)-ROW($A$3)+1),ROWS(B$4:B101))),"")</f>
        <v/>
      </c>
      <c r="C101" s="19" t="str">
        <f t="array" ref="C101">IF(ROWS(C$4:C101)&lt;=$B$2,INDEX(data!B$3:B$16128,SMALL(IF(data!$D$3:$D$16128='Редута'!$B$1,ROW(data!$A$3:$A$16128)-ROW($A$3)+1),ROWS(C$4:C101))),"")</f>
        <v/>
      </c>
      <c r="D101" s="7" t="str">
        <f t="array" ref="D101">IF(ROWS(D$4:D101)&lt;=$B$2,INDEX(data!E$3:E$16128,SMALL(IF(data!$D$3:$D$16128='Редута'!$B$1,ROW(data!$A$3:$A$16128)-ROW($A$3)+1),ROWS(D$4:D101))),"")</f>
        <v/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 t="str">
        <f t="array" ref="A102">IF(ROWS(A$4:A102)&lt;=$B$2,INDEX(data!C$3:C$16128,SMALL(IF(data!$D$3:$D$16128='Редута'!$B$1,ROW(data!$A$3:$A$16128)-ROW($A$3)+1),ROWS(A$4:A102))),"")</f>
        <v/>
      </c>
      <c r="B102" s="19" t="str">
        <f t="array" ref="B102">IF(ROWS(B$4:B102)&lt;=$B$2,INDEX(data!A$3:A$16128,SMALL(IF(data!$D$3:$D$16128='Редута'!$B$1,ROW(data!$A$3:$A$16128)-ROW($A$3)+1),ROWS(B$4:B102))),"")</f>
        <v/>
      </c>
      <c r="C102" s="19" t="str">
        <f t="array" ref="C102">IF(ROWS(C$4:C102)&lt;=$B$2,INDEX(data!B$3:B$16128,SMALL(IF(data!$D$3:$D$16128='Редута'!$B$1,ROW(data!$A$3:$A$16128)-ROW($A$3)+1),ROWS(C$4:C102))),"")</f>
        <v/>
      </c>
      <c r="D102" s="7" t="str">
        <f t="array" ref="D102">IF(ROWS(D$4:D102)&lt;=$B$2,INDEX(data!E$3:E$16128,SMALL(IF(data!$D$3:$D$16128='Редута'!$B$1,ROW(data!$A$3:$A$16128)-ROW($A$3)+1),ROWS(D$4:D102))),"")</f>
        <v/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 t="str">
        <f t="array" ref="A103">IF(ROWS(A$4:A103)&lt;=$B$2,INDEX(data!C$3:C$16128,SMALL(IF(data!$D$3:$D$16128='Редута'!$B$1,ROW(data!$A$3:$A$16128)-ROW($A$3)+1),ROWS(A$4:A103))),"")</f>
        <v/>
      </c>
      <c r="B103" s="19" t="str">
        <f t="array" ref="B103">IF(ROWS(B$4:B103)&lt;=$B$2,INDEX(data!A$3:A$16128,SMALL(IF(data!$D$3:$D$16128='Редута'!$B$1,ROW(data!$A$3:$A$16128)-ROW($A$3)+1),ROWS(B$4:B103))),"")</f>
        <v/>
      </c>
      <c r="C103" s="19" t="str">
        <f t="array" ref="C103">IF(ROWS(C$4:C103)&lt;=$B$2,INDEX(data!B$3:B$16128,SMALL(IF(data!$D$3:$D$16128='Редута'!$B$1,ROW(data!$A$3:$A$16128)-ROW($A$3)+1),ROWS(C$4:C103))),"")</f>
        <v/>
      </c>
      <c r="D103" s="7" t="str">
        <f t="array" ref="D103">IF(ROWS(D$4:D103)&lt;=$B$2,INDEX(data!E$3:E$16128,SMALL(IF(data!$D$3:$D$16128='Редута'!$B$1,ROW(data!$A$3:$A$16128)-ROW($A$3)+1),ROWS(D$4:D103))),"")</f>
        <v/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 t="str">
        <f t="array" ref="A104">IF(ROWS(A$4:A104)&lt;=$B$2,INDEX(data!C$3:C$16128,SMALL(IF(data!$D$3:$D$16128='Редута'!$B$1,ROW(data!$A$3:$A$16128)-ROW($A$3)+1),ROWS(A$4:A104))),"")</f>
        <v/>
      </c>
      <c r="B104" s="19" t="str">
        <f t="array" ref="B104">IF(ROWS(B$4:B104)&lt;=$B$2,INDEX(data!A$3:A$16128,SMALL(IF(data!$D$3:$D$16128='Редута'!$B$1,ROW(data!$A$3:$A$16128)-ROW($A$3)+1),ROWS(B$4:B104))),"")</f>
        <v/>
      </c>
      <c r="C104" s="19" t="str">
        <f t="array" ref="C104">IF(ROWS(C$4:C104)&lt;=$B$2,INDEX(data!B$3:B$16128,SMALL(IF(data!$D$3:$D$16128='Редута'!$B$1,ROW(data!$A$3:$A$16128)-ROW($A$3)+1),ROWS(C$4:C104))),"")</f>
        <v/>
      </c>
      <c r="D104" s="7" t="str">
        <f t="array" ref="D104">IF(ROWS(D$4:D104)&lt;=$B$2,INDEX(data!E$3:E$16128,SMALL(IF(data!$D$3:$D$16128='Редута'!$B$1,ROW(data!$A$3:$A$16128)-ROW($A$3)+1),ROWS(D$4:D104))),"")</f>
        <v/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 t="str">
        <f t="array" ref="A105">IF(ROWS(A$4:A105)&lt;=$B$2,INDEX(data!C$3:C$16128,SMALL(IF(data!$D$3:$D$16128='Редута'!$B$1,ROW(data!$A$3:$A$16128)-ROW($A$3)+1),ROWS(A$4:A105))),"")</f>
        <v/>
      </c>
      <c r="B105" s="19" t="str">
        <f t="array" ref="B105">IF(ROWS(B$4:B105)&lt;=$B$2,INDEX(data!A$3:A$16128,SMALL(IF(data!$D$3:$D$16128='Редута'!$B$1,ROW(data!$A$3:$A$16128)-ROW($A$3)+1),ROWS(B$4:B105))),"")</f>
        <v/>
      </c>
      <c r="C105" s="19" t="str">
        <f t="array" ref="C105">IF(ROWS(C$4:C105)&lt;=$B$2,INDEX(data!B$3:B$16128,SMALL(IF(data!$D$3:$D$16128='Редута'!$B$1,ROW(data!$A$3:$A$16128)-ROW($A$3)+1),ROWS(C$4:C105))),"")</f>
        <v/>
      </c>
      <c r="D105" s="7" t="str">
        <f t="array" ref="D105">IF(ROWS(D$4:D105)&lt;=$B$2,INDEX(data!E$3:E$16128,SMALL(IF(data!$D$3:$D$16128='Редута'!$B$1,ROW(data!$A$3:$A$16128)-ROW($A$3)+1),ROWS(D$4:D105))),"")</f>
        <v/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 t="str">
        <f t="array" ref="A106">IF(ROWS(A$4:A106)&lt;=$B$2,INDEX(data!C$3:C$16128,SMALL(IF(data!$D$3:$D$16128='Редута'!$B$1,ROW(data!$A$3:$A$16128)-ROW($A$3)+1),ROWS(A$4:A106))),"")</f>
        <v/>
      </c>
      <c r="B106" s="19" t="str">
        <f t="array" ref="B106">IF(ROWS(B$4:B106)&lt;=$B$2,INDEX(data!A$3:A$16128,SMALL(IF(data!$D$3:$D$16128='Редута'!$B$1,ROW(data!$A$3:$A$16128)-ROW($A$3)+1),ROWS(B$4:B106))),"")</f>
        <v/>
      </c>
      <c r="C106" s="19" t="str">
        <f t="array" ref="C106">IF(ROWS(C$4:C106)&lt;=$B$2,INDEX(data!B$3:B$16128,SMALL(IF(data!$D$3:$D$16128='Редута'!$B$1,ROW(data!$A$3:$A$16128)-ROW($A$3)+1),ROWS(C$4:C106))),"")</f>
        <v/>
      </c>
      <c r="D106" s="7" t="str">
        <f t="array" ref="D106">IF(ROWS(D$4:D106)&lt;=$B$2,INDEX(data!E$3:E$16128,SMALL(IF(data!$D$3:$D$16128='Редута'!$B$1,ROW(data!$A$3:$A$16128)-ROW($A$3)+1),ROWS(D$4:D106))),"")</f>
        <v/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 t="str">
        <f t="array" ref="A107">IF(ROWS(A$4:A107)&lt;=$B$2,INDEX(data!C$3:C$16128,SMALL(IF(data!$D$3:$D$16128='Редута'!$B$1,ROW(data!$A$3:$A$16128)-ROW($A$3)+1),ROWS(A$4:A107))),"")</f>
        <v/>
      </c>
      <c r="B107" s="19" t="str">
        <f t="array" ref="B107">IF(ROWS(B$4:B107)&lt;=$B$2,INDEX(data!A$3:A$16128,SMALL(IF(data!$D$3:$D$16128='Редута'!$B$1,ROW(data!$A$3:$A$16128)-ROW($A$3)+1),ROWS(B$4:B107))),"")</f>
        <v/>
      </c>
      <c r="C107" s="19" t="str">
        <f t="array" ref="C107">IF(ROWS(C$4:C107)&lt;=$B$2,INDEX(data!B$3:B$16128,SMALL(IF(data!$D$3:$D$16128='Редута'!$B$1,ROW(data!$A$3:$A$16128)-ROW($A$3)+1),ROWS(C$4:C107))),"")</f>
        <v/>
      </c>
      <c r="D107" s="7" t="str">
        <f t="array" ref="D107">IF(ROWS(D$4:D107)&lt;=$B$2,INDEX(data!E$3:E$16128,SMALL(IF(data!$D$3:$D$16128='Редута'!$B$1,ROW(data!$A$3:$A$16128)-ROW($A$3)+1),ROWS(D$4:D107))),"")</f>
        <v/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 t="str">
        <f t="array" ref="A108">IF(ROWS(A$4:A108)&lt;=$B$2,INDEX(data!C$3:C$16128,SMALL(IF(data!$D$3:$D$16128='Редута'!$B$1,ROW(data!$A$3:$A$16128)-ROW($A$3)+1),ROWS(A$4:A108))),"")</f>
        <v/>
      </c>
      <c r="B108" s="19" t="str">
        <f t="array" ref="B108">IF(ROWS(B$4:B108)&lt;=$B$2,INDEX(data!A$3:A$16128,SMALL(IF(data!$D$3:$D$16128='Редута'!$B$1,ROW(data!$A$3:$A$16128)-ROW($A$3)+1),ROWS(B$4:B108))),"")</f>
        <v/>
      </c>
      <c r="C108" s="19" t="str">
        <f t="array" ref="C108">IF(ROWS(C$4:C108)&lt;=$B$2,INDEX(data!B$3:B$16128,SMALL(IF(data!$D$3:$D$16128='Редута'!$B$1,ROW(data!$A$3:$A$16128)-ROW($A$3)+1),ROWS(C$4:C108))),"")</f>
        <v/>
      </c>
      <c r="D108" s="7" t="str">
        <f t="array" ref="D108">IF(ROWS(D$4:D108)&lt;=$B$2,INDEX(data!E$3:E$16128,SMALL(IF(data!$D$3:$D$16128='Редута'!$B$1,ROW(data!$A$3:$A$16128)-ROW($A$3)+1),ROWS(D$4:D108))),"")</f>
        <v/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 t="str">
        <f t="array" ref="A109">IF(ROWS(A$4:A109)&lt;=$B$2,INDEX(data!C$3:C$16128,SMALL(IF(data!$D$3:$D$16128='Редута'!$B$1,ROW(data!$A$3:$A$16128)-ROW($A$3)+1),ROWS(A$4:A109))),"")</f>
        <v/>
      </c>
      <c r="B109" s="19" t="str">
        <f t="array" ref="B109">IF(ROWS(B$4:B109)&lt;=$B$2,INDEX(data!A$3:A$16128,SMALL(IF(data!$D$3:$D$16128='Редута'!$B$1,ROW(data!$A$3:$A$16128)-ROW($A$3)+1),ROWS(B$4:B109))),"")</f>
        <v/>
      </c>
      <c r="C109" s="19" t="str">
        <f t="array" ref="C109">IF(ROWS(C$4:C109)&lt;=$B$2,INDEX(data!B$3:B$16128,SMALL(IF(data!$D$3:$D$16128='Редута'!$B$1,ROW(data!$A$3:$A$16128)-ROW($A$3)+1),ROWS(C$4:C109))),"")</f>
        <v/>
      </c>
      <c r="D109" s="7" t="str">
        <f t="array" ref="D109">IF(ROWS(D$4:D109)&lt;=$B$2,INDEX(data!E$3:E$16128,SMALL(IF(data!$D$3:$D$16128='Редута'!$B$1,ROW(data!$A$3:$A$16128)-ROW($A$3)+1),ROWS(D$4:D109))),"")</f>
        <v/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 t="str">
        <f t="array" ref="A110">IF(ROWS(A$4:A110)&lt;=$B$2,INDEX(data!C$3:C$16128,SMALL(IF(data!$D$3:$D$16128='Редута'!$B$1,ROW(data!$A$3:$A$16128)-ROW($A$3)+1),ROWS(A$4:A110))),"")</f>
        <v/>
      </c>
      <c r="B110" s="19" t="str">
        <f t="array" ref="B110">IF(ROWS(B$4:B110)&lt;=$B$2,INDEX(data!A$3:A$16128,SMALL(IF(data!$D$3:$D$16128='Редута'!$B$1,ROW(data!$A$3:$A$16128)-ROW($A$3)+1),ROWS(B$4:B110))),"")</f>
        <v/>
      </c>
      <c r="C110" s="19" t="str">
        <f t="array" ref="C110">IF(ROWS(C$4:C110)&lt;=$B$2,INDEX(data!B$3:B$16128,SMALL(IF(data!$D$3:$D$16128='Редута'!$B$1,ROW(data!$A$3:$A$16128)-ROW($A$3)+1),ROWS(C$4:C110))),"")</f>
        <v/>
      </c>
      <c r="D110" s="7" t="str">
        <f t="array" ref="D110">IF(ROWS(D$4:D110)&lt;=$B$2,INDEX(data!E$3:E$16128,SMALL(IF(data!$D$3:$D$16128='Редута'!$B$1,ROW(data!$A$3:$A$16128)-ROW($A$3)+1),ROWS(D$4:D110))),"")</f>
        <v/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9"/>
      <c r="B111" s="40"/>
      <c r="C111" s="40"/>
      <c r="D111" s="40"/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9"/>
      <c r="B112" s="40"/>
      <c r="C112" s="40"/>
      <c r="D112" s="40"/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9"/>
      <c r="B113" s="40"/>
      <c r="C113" s="40"/>
      <c r="D113" s="40"/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9"/>
      <c r="B114" s="40"/>
      <c r="C114" s="40"/>
      <c r="D114" s="40"/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9"/>
      <c r="B115" s="40"/>
      <c r="C115" s="40"/>
      <c r="D115" s="40"/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9"/>
      <c r="B116" s="40"/>
      <c r="C116" s="40"/>
      <c r="D116" s="40"/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9"/>
      <c r="B117" s="40"/>
      <c r="C117" s="40"/>
      <c r="D117" s="40"/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9"/>
      <c r="B118" s="40"/>
      <c r="C118" s="40"/>
      <c r="D118" s="40"/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9"/>
      <c r="B119" s="40"/>
      <c r="C119" s="40"/>
      <c r="D119" s="40"/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9"/>
      <c r="B120" s="40"/>
      <c r="C120" s="40"/>
      <c r="D120" s="40"/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9"/>
      <c r="B121" s="40"/>
      <c r="C121" s="40"/>
      <c r="D121" s="40"/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9"/>
      <c r="B122" s="40"/>
      <c r="C122" s="40"/>
      <c r="D122" s="40"/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9"/>
      <c r="B123" s="40"/>
      <c r="C123" s="40"/>
      <c r="D123" s="40"/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9"/>
      <c r="B124" s="40"/>
      <c r="C124" s="40"/>
      <c r="D124" s="40"/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9"/>
      <c r="B125" s="40"/>
      <c r="C125" s="40"/>
      <c r="D125" s="40"/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9"/>
      <c r="B126" s="40"/>
      <c r="C126" s="40"/>
      <c r="D126" s="40"/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9"/>
      <c r="B127" s="40"/>
      <c r="C127" s="40"/>
      <c r="D127" s="40"/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9"/>
      <c r="B128" s="40"/>
      <c r="C128" s="40"/>
      <c r="D128" s="40"/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9"/>
      <c r="B129" s="40"/>
      <c r="C129" s="40"/>
      <c r="D129" s="40"/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9"/>
      <c r="B130" s="40"/>
      <c r="C130" s="40"/>
      <c r="D130" s="40"/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9"/>
      <c r="B131" s="40"/>
      <c r="C131" s="40"/>
      <c r="D131" s="40"/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9"/>
      <c r="B132" s="40"/>
      <c r="C132" s="40"/>
      <c r="D132" s="40"/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9"/>
      <c r="B133" s="40"/>
      <c r="C133" s="40"/>
      <c r="D133" s="40"/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9"/>
      <c r="B134" s="40"/>
      <c r="C134" s="40"/>
      <c r="D134" s="40"/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9"/>
      <c r="B135" s="40"/>
      <c r="C135" s="40"/>
      <c r="D135" s="40"/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9"/>
      <c r="B136" s="40"/>
      <c r="C136" s="40"/>
      <c r="D136" s="40"/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9"/>
      <c r="B137" s="40"/>
      <c r="C137" s="40"/>
      <c r="D137" s="40"/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9"/>
      <c r="B138" s="40"/>
      <c r="C138" s="40"/>
      <c r="D138" s="40"/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9"/>
      <c r="B139" s="40"/>
      <c r="C139" s="40"/>
      <c r="D139" s="40"/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9"/>
      <c r="B140" s="40"/>
      <c r="C140" s="40"/>
      <c r="D140" s="40"/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9"/>
      <c r="B141" s="40"/>
      <c r="C141" s="40"/>
      <c r="D141" s="40"/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9"/>
      <c r="B142" s="40"/>
      <c r="C142" s="40"/>
      <c r="D142" s="40"/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9"/>
      <c r="B143" s="40"/>
      <c r="C143" s="40"/>
      <c r="D143" s="40"/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9"/>
      <c r="B144" s="40"/>
      <c r="C144" s="40"/>
      <c r="D144" s="40"/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9"/>
      <c r="B145" s="40"/>
      <c r="C145" s="40"/>
      <c r="D145" s="40"/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9"/>
      <c r="B146" s="40"/>
      <c r="C146" s="40"/>
      <c r="D146" s="40"/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9"/>
      <c r="B147" s="40"/>
      <c r="C147" s="40"/>
      <c r="D147" s="40"/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9"/>
      <c r="B148" s="40"/>
      <c r="C148" s="40"/>
      <c r="D148" s="40"/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9"/>
      <c r="B149" s="40"/>
      <c r="C149" s="40"/>
      <c r="D149" s="40"/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9"/>
      <c r="B150" s="40"/>
      <c r="C150" s="40"/>
      <c r="D150" s="40"/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9"/>
      <c r="B151" s="40"/>
      <c r="C151" s="40"/>
      <c r="D151" s="40"/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9"/>
      <c r="B152" s="40"/>
      <c r="C152" s="40"/>
      <c r="D152" s="40"/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9"/>
      <c r="B153" s="40"/>
      <c r="C153" s="40"/>
      <c r="D153" s="40"/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9"/>
      <c r="B154" s="40"/>
      <c r="C154" s="40"/>
      <c r="D154" s="40"/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9"/>
      <c r="B155" s="40"/>
      <c r="C155" s="40"/>
      <c r="D155" s="40"/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9"/>
      <c r="B156" s="40"/>
      <c r="C156" s="40"/>
      <c r="D156" s="40"/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9"/>
      <c r="B157" s="40"/>
      <c r="C157" s="40"/>
      <c r="D157" s="40"/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9"/>
      <c r="B158" s="40"/>
      <c r="C158" s="40"/>
      <c r="D158" s="40"/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9"/>
      <c r="B159" s="40"/>
      <c r="C159" s="40"/>
      <c r="D159" s="40"/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9"/>
      <c r="B160" s="40"/>
      <c r="C160" s="40"/>
      <c r="D160" s="40"/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9"/>
      <c r="B161" s="40"/>
      <c r="C161" s="40"/>
      <c r="D161" s="40"/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9"/>
      <c r="B162" s="40"/>
      <c r="C162" s="40"/>
      <c r="D162" s="40"/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9"/>
      <c r="B163" s="40"/>
      <c r="C163" s="40"/>
      <c r="D163" s="40"/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9"/>
      <c r="B164" s="40"/>
      <c r="C164" s="40"/>
      <c r="D164" s="40"/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9"/>
      <c r="B165" s="40"/>
      <c r="C165" s="40"/>
      <c r="D165" s="40"/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9"/>
      <c r="B166" s="40"/>
      <c r="C166" s="40"/>
      <c r="D166" s="40"/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9"/>
      <c r="B167" s="40"/>
      <c r="C167" s="40"/>
      <c r="D167" s="40"/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9"/>
      <c r="B168" s="40"/>
      <c r="C168" s="40"/>
      <c r="D168" s="40"/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9"/>
      <c r="B169" s="40"/>
      <c r="C169" s="40"/>
      <c r="D169" s="40"/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9"/>
      <c r="B170" s="40"/>
      <c r="C170" s="40"/>
      <c r="D170" s="40"/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9"/>
      <c r="B171" s="40"/>
      <c r="C171" s="40"/>
      <c r="D171" s="40"/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9"/>
      <c r="B172" s="40"/>
      <c r="C172" s="40"/>
      <c r="D172" s="40"/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9"/>
      <c r="B173" s="40"/>
      <c r="C173" s="40"/>
      <c r="D173" s="40"/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9"/>
      <c r="B174" s="40"/>
      <c r="C174" s="40"/>
      <c r="D174" s="40"/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9"/>
      <c r="B175" s="40"/>
      <c r="C175" s="40"/>
      <c r="D175" s="40"/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9"/>
      <c r="B176" s="40"/>
      <c r="C176" s="40"/>
      <c r="D176" s="40"/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9"/>
      <c r="B177" s="40"/>
      <c r="C177" s="40"/>
      <c r="D177" s="40"/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9"/>
      <c r="B178" s="40"/>
      <c r="C178" s="40"/>
      <c r="D178" s="40"/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9"/>
      <c r="B179" s="40"/>
      <c r="C179" s="40"/>
      <c r="D179" s="40"/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9"/>
      <c r="B180" s="40"/>
      <c r="C180" s="40"/>
      <c r="D180" s="40"/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9"/>
      <c r="B181" s="40"/>
      <c r="C181" s="40"/>
      <c r="D181" s="40"/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9"/>
      <c r="B182" s="40"/>
      <c r="C182" s="40"/>
      <c r="D182" s="40"/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9"/>
      <c r="B183" s="40"/>
      <c r="C183" s="40"/>
      <c r="D183" s="40"/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9"/>
      <c r="B184" s="40"/>
      <c r="C184" s="40"/>
      <c r="D184" s="40"/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9"/>
      <c r="B185" s="40"/>
      <c r="C185" s="40"/>
      <c r="D185" s="40"/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9"/>
      <c r="B186" s="40"/>
      <c r="C186" s="40"/>
      <c r="D186" s="40"/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9"/>
      <c r="B187" s="40"/>
      <c r="C187" s="40"/>
      <c r="D187" s="40"/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9"/>
      <c r="B188" s="40"/>
      <c r="C188" s="40"/>
      <c r="D188" s="40"/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9"/>
      <c r="B189" s="40"/>
      <c r="C189" s="40"/>
      <c r="D189" s="40"/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9"/>
      <c r="B190" s="40"/>
      <c r="C190" s="40"/>
      <c r="D190" s="40"/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</sheetData>
  <conditionalFormatting sqref="A4:D190">
    <cfRule type="cellIs" dxfId="0" priority="1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7.29" defaultRowHeight="15.0"/>
  <cols>
    <col customWidth="1" min="1" max="1" width="17.0"/>
    <col customWidth="1" min="2" max="2" width="29.43"/>
    <col customWidth="1" min="3" max="3" width="9.0"/>
    <col customWidth="1" min="4" max="4" width="31.14"/>
    <col customWidth="1" min="5" max="5" width="13.29"/>
    <col customWidth="1" min="6" max="6" width="9.71"/>
    <col customWidth="1" min="7" max="7" width="10.86"/>
    <col customWidth="1" min="8" max="8" width="6.57"/>
    <col customWidth="1" min="9" max="9" width="13.0"/>
    <col customWidth="1" min="10" max="10" width="11.57"/>
    <col customWidth="1" min="11" max="17" width="6.57"/>
    <col customWidth="1" min="18" max="26" width="15.14"/>
  </cols>
  <sheetData>
    <row r="1">
      <c r="A1" s="3" t="s">
        <v>0</v>
      </c>
      <c r="B1" s="19" t="s">
        <v>21</v>
      </c>
      <c r="C1" s="6"/>
      <c r="D1" s="7"/>
      <c r="E1" s="8" t="s">
        <v>4</v>
      </c>
      <c r="F1" s="11">
        <f>SUM(C:C)</f>
        <v>-9519.938</v>
      </c>
      <c r="G1" s="13" t="s">
        <v>6</v>
      </c>
      <c r="H1" s="17"/>
      <c r="I1" s="14"/>
      <c r="J1" s="14"/>
      <c r="K1" s="14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" t="s">
        <v>7</v>
      </c>
      <c r="B2" s="19">
        <f>COUNTIF(data!D:D,B1)</f>
        <v>191</v>
      </c>
      <c r="C2" s="6"/>
      <c r="D2" s="7"/>
      <c r="E2" s="21" t="s">
        <v>8</v>
      </c>
      <c r="F2" s="22">
        <v>76459.42</v>
      </c>
      <c r="G2" s="14"/>
      <c r="H2" s="14"/>
      <c r="I2" s="14"/>
      <c r="J2" s="14"/>
      <c r="K2" s="1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3" t="s">
        <v>9</v>
      </c>
      <c r="B3" s="24" t="s">
        <v>10</v>
      </c>
      <c r="C3" s="24" t="s">
        <v>11</v>
      </c>
      <c r="D3" s="25" t="s">
        <v>12</v>
      </c>
      <c r="E3" s="21" t="s">
        <v>13</v>
      </c>
      <c r="F3" s="28">
        <f>F1+F2</f>
        <v>66939.482</v>
      </c>
      <c r="G3" s="30"/>
      <c r="H3" s="14"/>
      <c r="I3" s="14"/>
      <c r="J3" s="14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3">
        <f t="array" ref="A4">IF(ROWS(A$4:A4)&lt;=$B$2,INDEX(data!C$3:C$16128,SMALL(IF(data!$D$3:$D$16128='Свобода'!$B$1,ROW(data!$A$3:$A$16128)-ROW($A$3)+1),ROWS(A$4:A4))),"")</f>
        <v>44557</v>
      </c>
      <c r="B4" s="19" t="str">
        <f t="array" ref="B4">IF(ROWS(B$4:B4)&lt;=$B$2,INDEX(data!A$3:A$16128,SMALL(IF(data!$D$3:$D$16128='Свобода'!$B$1,ROW(data!$A$3:$A$16128)-ROW($A$3)+1),ROWS(B$4:B4))),"")</f>
        <v>MYPOS Бакалия</v>
      </c>
      <c r="C4" s="19">
        <f t="array" ref="C4">IF(ROWS(C$4:C4)&lt;=$B$2,INDEX(data!B$3:B$16128,SMALL(IF(data!$D$3:$D$16128='Свобода'!$B$1,ROW(data!$A$3:$A$16128)-ROW($A$3)+1),ROWS(C$4:C4))),"")</f>
        <v>-0.01</v>
      </c>
      <c r="D4" s="7" t="str">
        <f t="array" ref="D4">IF(ROWS(D$4:D4)&lt;=$B$2,INDEX(data!E$3:E$16128,SMALL(IF(data!$D$3:$D$16128='Свобода'!$B$1,ROW(data!$A$3:$A$16128)-ROW($A$3)+1),ROWS(D$4:D4))),"")</f>
        <v/>
      </c>
      <c r="E4" s="11"/>
      <c r="F4" s="11"/>
      <c r="G4" s="11"/>
      <c r="H4" s="14"/>
      <c r="I4" s="14"/>
      <c r="J4" s="14"/>
      <c r="K4" s="14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3">
        <f t="array" ref="A5">IF(ROWS(A$4:A5)&lt;=$B$2,INDEX(data!C$3:C$16128,SMALL(IF(data!$D$3:$D$16128='Свобода'!$B$1,ROW(data!$A$3:$A$16128)-ROW($A$3)+1),ROWS(A$4:A5))),"")</f>
        <v>46025</v>
      </c>
      <c r="B5" s="19" t="str">
        <f t="array" ref="B5">IF(ROWS(B$4:B5)&lt;=$B$2,INDEX(data!A$3:A$16128,SMALL(IF(data!$D$3:$D$16128='Свобода'!$B$1,ROW(data!$A$3:$A$16128)-ROW($A$3)+1),ROWS(B$4:B5))),"")</f>
        <v>ЗАЕМ</v>
      </c>
      <c r="C5" s="19">
        <f t="array" ref="C5">IF(ROWS(C$4:C5)&lt;=$B$2,INDEX(data!B$3:B$16128,SMALL(IF(data!$D$3:$D$16128='Свобода'!$B$1,ROW(data!$A$3:$A$16128)-ROW($A$3)+1),ROWS(C$4:C5))),"")</f>
        <v>12250.64</v>
      </c>
      <c r="D5" s="7" t="str">
        <f t="array" ref="D5">IF(ROWS(D$4:D5)&lt;=$B$2,INDEX(data!E$3:E$16128,SMALL(IF(data!$D$3:$D$16128='Свобода'!$B$1,ROW(data!$A$3:$A$16128)-ROW($A$3)+1),ROWS(D$4:D5))),"")</f>
        <v>Салдо скл + вътр. п-не</v>
      </c>
      <c r="E5" s="11"/>
      <c r="F5" s="11"/>
      <c r="G5" s="11"/>
      <c r="H5" s="14"/>
      <c r="I5" s="14"/>
      <c r="J5" s="14"/>
      <c r="K5" s="14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3">
        <f t="array" ref="A6">IF(ROWS(A$4:A6)&lt;=$B$2,INDEX(data!C$3:C$16128,SMALL(IF(data!$D$3:$D$16128='Свобода'!$B$1,ROW(data!$A$3:$A$16128)-ROW($A$3)+1),ROWS(A$4:A6))),"")</f>
        <v>46027</v>
      </c>
      <c r="B6" s="19" t="str">
        <f t="array" ref="B6">IF(ROWS(B$4:B6)&lt;=$B$2,INDEX(data!A$3:A$16128,SMALL(IF(data!$D$3:$D$16128='Свобода'!$B$1,ROW(data!$A$3:$A$16128)-ROW($A$3)+1),ROWS(B$4:B6))),"")</f>
        <v>КАСОВА КНИГА</v>
      </c>
      <c r="C6" s="19">
        <f t="array" ref="C6">IF(ROWS(C$4:C6)&lt;=$B$2,INDEX(data!B$3:B$16128,SMALL(IF(data!$D$3:$D$16128='Свобода'!$B$1,ROW(data!$A$3:$A$16128)-ROW($A$3)+1),ROWS(C$4:C6))),"")</f>
        <v>-1533.878</v>
      </c>
      <c r="D6" s="7" t="str">
        <f t="array" ref="D6">IF(ROWS(D$4:D6)&lt;=$B$2,INDEX(data!E$3:E$16128,SMALL(IF(data!$D$3:$D$16128='Свобода'!$B$1,ROW(data!$A$3:$A$16128)-ROW($A$3)+1),ROWS(D$4:D6))),"")</f>
        <v>банка 02.01</v>
      </c>
      <c r="E6" s="11"/>
      <c r="F6" s="11"/>
      <c r="G6" s="11"/>
      <c r="H6" s="14"/>
      <c r="I6" s="14"/>
      <c r="J6" s="14"/>
      <c r="K6" s="14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3">
        <f t="array" ref="A7">IF(ROWS(A$4:A7)&lt;=$B$2,INDEX(data!C$3:C$16128,SMALL(IF(data!$D$3:$D$16128='Свобода'!$B$1,ROW(data!$A$3:$A$16128)-ROW($A$3)+1),ROWS(A$4:A7))),"")</f>
        <v>46027</v>
      </c>
      <c r="B7" s="19" t="str">
        <f t="array" ref="B7">IF(ROWS(B$4:B7)&lt;=$B$2,INDEX(data!A$3:A$16128,SMALL(IF(data!$D$3:$D$16128='Свобода'!$B$1,ROW(data!$A$3:$A$16128)-ROW($A$3)+1),ROWS(B$4:B7))),"")</f>
        <v>MYPOS Бакалия</v>
      </c>
      <c r="C7" s="19">
        <f t="array" ref="C7">IF(ROWS(C$4:C7)&lt;=$B$2,INDEX(data!B$3:B$16128,SMALL(IF(data!$D$3:$D$16128='Свобода'!$B$1,ROW(data!$A$3:$A$16128)-ROW($A$3)+1),ROWS(C$4:C7))),"")</f>
        <v>-1305.93</v>
      </c>
      <c r="D7" s="7" t="str">
        <f t="array" ref="D7">IF(ROWS(D$4:D7)&lt;=$B$2,INDEX(data!E$3:E$16128,SMALL(IF(data!$D$3:$D$16128='Свобода'!$B$1,ROW(data!$A$3:$A$16128)-ROW($A$3)+1),ROWS(D$4:D7))),"")</f>
        <v/>
      </c>
      <c r="E7" s="11"/>
      <c r="F7" s="11"/>
      <c r="G7" s="11"/>
      <c r="H7" s="14"/>
      <c r="I7" s="14"/>
      <c r="J7" s="14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3">
        <f t="array" ref="A8">IF(ROWS(A$4:A8)&lt;=$B$2,INDEX(data!C$3:C$16128,SMALL(IF(data!$D$3:$D$16128='Свобода'!$B$1,ROW(data!$A$3:$A$16128)-ROW($A$3)+1),ROWS(A$4:A8))),"")</f>
        <v>46027</v>
      </c>
      <c r="B8" s="19" t="str">
        <f t="array" ref="B8">IF(ROWS(B$4:B8)&lt;=$B$2,INDEX(data!A$3:A$16128,SMALL(IF(data!$D$3:$D$16128='Свобода'!$B$1,ROW(data!$A$3:$A$16128)-ROW($A$3)+1),ROWS(B$4:B8))),"")</f>
        <v>MYPOS Бакалия</v>
      </c>
      <c r="C8" s="19">
        <f t="array" ref="C8">IF(ROWS(C$4:C8)&lt;=$B$2,INDEX(data!B$3:B$16128,SMALL(IF(data!$D$3:$D$16128='Свобода'!$B$1,ROW(data!$A$3:$A$16128)-ROW($A$3)+1),ROWS(C$4:C8))),"")</f>
        <v>-2420.33</v>
      </c>
      <c r="D8" s="7" t="str">
        <f t="array" ref="D8">IF(ROWS(D$4:D8)&lt;=$B$2,INDEX(data!E$3:E$16128,SMALL(IF(data!$D$3:$D$16128='Свобода'!$B$1,ROW(data!$A$3:$A$16128)-ROW($A$3)+1),ROWS(D$4:D8))),"")</f>
        <v>29-31,12</v>
      </c>
      <c r="E8" s="11"/>
      <c r="F8" s="11"/>
      <c r="G8" s="11"/>
      <c r="H8" s="14"/>
      <c r="I8" s="14"/>
      <c r="J8" s="14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3">
        <f t="array" ref="A9">IF(ROWS(A$4:A9)&lt;=$B$2,INDEX(data!C$3:C$16128,SMALL(IF(data!$D$3:$D$16128='Свобода'!$B$1,ROW(data!$A$3:$A$16128)-ROW($A$3)+1),ROWS(A$4:A9))),"")</f>
        <v>46027</v>
      </c>
      <c r="B9" s="19" t="str">
        <f t="array" ref="B9">IF(ROWS(B$4:B9)&lt;=$B$2,INDEX(data!A$3:A$16128,SMALL(IF(data!$D$3:$D$16128='Свобода'!$B$1,ROW(data!$A$3:$A$16128)-ROW($A$3)+1),ROWS(B$4:B9))),"")</f>
        <v>КАСОВА КНИГА</v>
      </c>
      <c r="C9" s="19">
        <f t="array" ref="C9">IF(ROWS(C$4:C9)&lt;=$B$2,INDEX(data!B$3:B$16128,SMALL(IF(data!$D$3:$D$16128='Свобода'!$B$1,ROW(data!$A$3:$A$16128)-ROW($A$3)+1),ROWS(C$4:C9))),"")</f>
        <v>7665</v>
      </c>
      <c r="D9" s="7" t="str">
        <f t="array" ref="D9">IF(ROWS(D$4:D9)&lt;=$B$2,INDEX(data!E$3:E$16128,SMALL(IF(data!$D$3:$D$16128='Свобода'!$B$1,ROW(data!$A$3:$A$16128)-ROW($A$3)+1),ROWS(D$4:D9))),"")</f>
        <v>евро</v>
      </c>
      <c r="E9" s="11"/>
      <c r="F9" s="11"/>
      <c r="G9" s="11"/>
      <c r="H9" s="14"/>
      <c r="I9" s="14"/>
      <c r="J9" s="14"/>
      <c r="K9" s="14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3">
        <f t="array" ref="A10">IF(ROWS(A$4:A10)&lt;=$B$2,INDEX(data!C$3:C$16128,SMALL(IF(data!$D$3:$D$16128='Свобода'!$B$1,ROW(data!$A$3:$A$16128)-ROW($A$3)+1),ROWS(A$4:A10))),"")</f>
        <v>46028</v>
      </c>
      <c r="B10" s="19" t="str">
        <f t="array" ref="B10">IF(ROWS(B$4:B10)&lt;=$B$2,INDEX(data!A$3:A$16128,SMALL(IF(data!$D$3:$D$16128='Свобода'!$B$1,ROW(data!$A$3:$A$16128)-ROW($A$3)+1),ROWS(B$4:B10))),"")</f>
        <v>ДСК Бакалия</v>
      </c>
      <c r="C10" s="19">
        <f t="array" ref="C10">IF(ROWS(C$4:C10)&lt;=$B$2,INDEX(data!B$3:B$16128,SMALL(IF(data!$D$3:$D$16128='Свобода'!$B$1,ROW(data!$A$3:$A$16128)-ROW($A$3)+1),ROWS(C$4:C10))),"")</f>
        <v>-3067.75</v>
      </c>
      <c r="D10" s="7" t="str">
        <f t="array" ref="D10">IF(ROWS(D$4:D10)&lt;=$B$2,INDEX(data!E$3:E$16128,SMALL(IF(data!$D$3:$D$16128='Свобода'!$B$1,ROW(data!$A$3:$A$16128)-ROW($A$3)+1),ROWS(D$4:D10))),"")</f>
        <v/>
      </c>
      <c r="E10" s="11"/>
      <c r="F10" s="11"/>
      <c r="G10" s="11"/>
      <c r="H10" s="14"/>
      <c r="I10" s="14"/>
      <c r="J10" s="14"/>
      <c r="K10" s="14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3">
        <f t="array" ref="A11">IF(ROWS(A$4:A11)&lt;=$B$2,INDEX(data!C$3:C$16128,SMALL(IF(data!$D$3:$D$16128='Свобода'!$B$1,ROW(data!$A$3:$A$16128)-ROW($A$3)+1),ROWS(A$4:A11))),"")</f>
        <v>46029</v>
      </c>
      <c r="B11" s="19" t="str">
        <f t="array" ref="B11">IF(ROWS(B$4:B11)&lt;=$B$2,INDEX(data!A$3:A$16128,SMALL(IF(data!$D$3:$D$16128='Свобода'!$B$1,ROW(data!$A$3:$A$16128)-ROW($A$3)+1),ROWS(B$4:B11))),"")</f>
        <v>КАСОВА КНИГА</v>
      </c>
      <c r="C11" s="19">
        <f t="array" ref="C11">IF(ROWS(C$4:C11)&lt;=$B$2,INDEX(data!B$3:B$16128,SMALL(IF(data!$D$3:$D$16128='Свобода'!$B$1,ROW(data!$A$3:$A$16128)-ROW($A$3)+1),ROWS(C$4:C11))),"")</f>
        <v>-766.94</v>
      </c>
      <c r="D11" s="7" t="str">
        <f t="array" ref="D11">IF(ROWS(D$4:D11)&lt;=$B$2,INDEX(data!E$3:E$16128,SMALL(IF(data!$D$3:$D$16128='Свобода'!$B$1,ROW(data!$A$3:$A$16128)-ROW($A$3)+1),ROWS(D$4:D11))),"")</f>
        <v/>
      </c>
      <c r="E11" s="11"/>
      <c r="F11" s="11"/>
      <c r="G11" s="11"/>
      <c r="H11" s="14"/>
      <c r="I11" s="14"/>
      <c r="J11" s="14"/>
      <c r="K11" s="14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3">
        <f t="array" ref="A12">IF(ROWS(A$4:A12)&lt;=$B$2,INDEX(data!C$3:C$16128,SMALL(IF(data!$D$3:$D$16128='Свобода'!$B$1,ROW(data!$A$3:$A$16128)-ROW($A$3)+1),ROWS(A$4:A12))),"")</f>
        <v>46030</v>
      </c>
      <c r="B12" s="19" t="str">
        <f t="array" ref="B12">IF(ROWS(B$4:B12)&lt;=$B$2,INDEX(data!A$3:A$16128,SMALL(IF(data!$D$3:$D$16128='Свобода'!$B$1,ROW(data!$A$3:$A$16128)-ROW($A$3)+1),ROWS(B$4:B12))),"")</f>
        <v>Каса ВАУЧЕРИ</v>
      </c>
      <c r="C12" s="19">
        <f t="array" ref="C12">IF(ROWS(C$4:C12)&lt;=$B$2,INDEX(data!B$3:B$16128,SMALL(IF(data!$D$3:$D$16128='Свобода'!$B$1,ROW(data!$A$3:$A$16128)-ROW($A$3)+1),ROWS(C$4:C12))),"")</f>
        <v>-267.92</v>
      </c>
      <c r="D12" s="7" t="str">
        <f t="array" ref="D12">IF(ROWS(D$4:D12)&lt;=$B$2,INDEX(data!E$3:E$16128,SMALL(IF(data!$D$3:$D$16128='Свобода'!$B$1,ROW(data!$A$3:$A$16128)-ROW($A$3)+1),ROWS(D$4:D12))),"")</f>
        <v>за 22.12</v>
      </c>
      <c r="E12" s="11"/>
      <c r="F12" s="11"/>
      <c r="G12" s="11"/>
      <c r="H12" s="14"/>
      <c r="I12" s="14"/>
      <c r="J12" s="14"/>
      <c r="K12" s="14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3">
        <f t="array" ref="A13">IF(ROWS(A$4:A13)&lt;=$B$2,INDEX(data!C$3:C$16128,SMALL(IF(data!$D$3:$D$16128='Свобода'!$B$1,ROW(data!$A$3:$A$16128)-ROW($A$3)+1),ROWS(A$4:A13))),"")</f>
        <v>46030</v>
      </c>
      <c r="B13" s="19" t="str">
        <f t="array" ref="B13">IF(ROWS(B$4:B13)&lt;=$B$2,INDEX(data!A$3:A$16128,SMALL(IF(data!$D$3:$D$16128='Свобода'!$B$1,ROW(data!$A$3:$A$16128)-ROW($A$3)+1),ROWS(B$4:B13))),"")</f>
        <v>Каса ВАУЧЕРИ</v>
      </c>
      <c r="C13" s="19">
        <f t="array" ref="C13">IF(ROWS(C$4:C13)&lt;=$B$2,INDEX(data!B$3:B$16128,SMALL(IF(data!$D$3:$D$16128='Свобода'!$B$1,ROW(data!$A$3:$A$16128)-ROW($A$3)+1),ROWS(C$4:C13))),"")</f>
        <v>-97.15</v>
      </c>
      <c r="D13" s="7" t="str">
        <f t="array" ref="D13">IF(ROWS(D$4:D13)&lt;=$B$2,INDEX(data!E$3:E$16128,SMALL(IF(data!$D$3:$D$16128='Свобода'!$B$1,ROW(data!$A$3:$A$16128)-ROW($A$3)+1),ROWS(D$4:D13))),"")</f>
        <v>за 29.12</v>
      </c>
      <c r="E13" s="11"/>
      <c r="F13" s="11"/>
      <c r="G13" s="11"/>
      <c r="H13" s="14"/>
      <c r="I13" s="14"/>
      <c r="J13" s="14"/>
      <c r="K13" s="14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3">
        <f t="array" ref="A14">IF(ROWS(A$4:A14)&lt;=$B$2,INDEX(data!C$3:C$16128,SMALL(IF(data!$D$3:$D$16128='Свобода'!$B$1,ROW(data!$A$3:$A$16128)-ROW($A$3)+1),ROWS(A$4:A14))),"")</f>
        <v>46031</v>
      </c>
      <c r="B14" s="19" t="str">
        <f t="array" ref="B14">IF(ROWS(B$4:B14)&lt;=$B$2,INDEX(data!A$3:A$16128,SMALL(IF(data!$D$3:$D$16128='Свобода'!$B$1,ROW(data!$A$3:$A$16128)-ROW($A$3)+1),ROWS(B$4:B14))),"")</f>
        <v>КАСОВА КНИГА</v>
      </c>
      <c r="C14" s="19">
        <f t="array" ref="C14">IF(ROWS(C$4:C14)&lt;=$B$2,INDEX(data!B$3:B$16128,SMALL(IF(data!$D$3:$D$16128='Свобода'!$B$1,ROW(data!$A$3:$A$16128)-ROW($A$3)+1),ROWS(C$4:C14))),"")</f>
        <v>-2000</v>
      </c>
      <c r="D14" s="7" t="str">
        <f t="array" ref="D14">IF(ROWS(D$4:D14)&lt;=$B$2,INDEX(data!E$3:E$16128,SMALL(IF(data!$D$3:$D$16128='Свобода'!$B$1,ROW(data!$A$3:$A$16128)-ROW($A$3)+1),ROWS(D$4:D14))),"")</f>
        <v/>
      </c>
      <c r="E14" s="11"/>
      <c r="F14" s="11"/>
      <c r="G14" s="11"/>
      <c r="H14" s="14"/>
      <c r="I14" s="14"/>
      <c r="J14" s="14"/>
      <c r="K14" s="14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3">
        <f t="array" ref="A15">IF(ROWS(A$4:A15)&lt;=$B$2,INDEX(data!C$3:C$16128,SMALL(IF(data!$D$3:$D$16128='Свобода'!$B$1,ROW(data!$A$3:$A$16128)-ROW($A$3)+1),ROWS(A$4:A15))),"")</f>
        <v>46034</v>
      </c>
      <c r="B15" s="19" t="str">
        <f t="array" ref="B15">IF(ROWS(B$4:B15)&lt;=$B$2,INDEX(data!A$3:A$16128,SMALL(IF(data!$D$3:$D$16128='Свобода'!$B$1,ROW(data!$A$3:$A$16128)-ROW($A$3)+1),ROWS(B$4:B15))),"")</f>
        <v>КАСОВА КНИГА</v>
      </c>
      <c r="C15" s="19">
        <f t="array" ref="C15">IF(ROWS(C$4:C15)&lt;=$B$2,INDEX(data!B$3:B$16128,SMALL(IF(data!$D$3:$D$16128='Свобода'!$B$1,ROW(data!$A$3:$A$16128)-ROW($A$3)+1),ROWS(C$4:C15))),"")</f>
        <v>-1022.58</v>
      </c>
      <c r="D15" s="7" t="str">
        <f t="array" ref="D15">IF(ROWS(D$4:D15)&lt;=$B$2,INDEX(data!E$3:E$16128,SMALL(IF(data!$D$3:$D$16128='Свобода'!$B$1,ROW(data!$A$3:$A$16128)-ROW($A$3)+1),ROWS(D$4:D15))),"")</f>
        <v/>
      </c>
      <c r="E15" s="11"/>
      <c r="F15" s="11"/>
      <c r="G15" s="11"/>
      <c r="H15" s="14"/>
      <c r="I15" s="14"/>
      <c r="J15" s="14"/>
      <c r="K15" s="14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3">
        <f t="array" ref="A16">IF(ROWS(A$4:A16)&lt;=$B$2,INDEX(data!C$3:C$16128,SMALL(IF(data!$D$3:$D$16128='Свобода'!$B$1,ROW(data!$A$3:$A$16128)-ROW($A$3)+1),ROWS(A$4:A16))),"")</f>
        <v>46035</v>
      </c>
      <c r="B16" s="19" t="str">
        <f t="array" ref="B16">IF(ROWS(B$4:B16)&lt;=$B$2,INDEX(data!A$3:A$16128,SMALL(IF(data!$D$3:$D$16128='Свобода'!$B$1,ROW(data!$A$3:$A$16128)-ROW($A$3)+1),ROWS(B$4:B16))),"")</f>
        <v>MYPOS Бакалия</v>
      </c>
      <c r="C16" s="19">
        <f t="array" ref="C16">IF(ROWS(C$4:C16)&lt;=$B$2,INDEX(data!B$3:B$16128,SMALL(IF(data!$D$3:$D$16128='Свобода'!$B$1,ROW(data!$A$3:$A$16128)-ROW($A$3)+1),ROWS(C$4:C16))),"")</f>
        <v>-4895.07</v>
      </c>
      <c r="D16" s="7" t="str">
        <f t="array" ref="D16">IF(ROWS(D$4:D16)&lt;=$B$2,INDEX(data!E$3:E$16128,SMALL(IF(data!$D$3:$D$16128='Свобода'!$B$1,ROW(data!$A$3:$A$16128)-ROW($A$3)+1),ROWS(D$4:D16))),"")</f>
        <v/>
      </c>
      <c r="E16" s="11"/>
      <c r="F16" s="11"/>
      <c r="G16" s="11"/>
      <c r="H16" s="14"/>
      <c r="I16" s="14"/>
      <c r="J16" s="14"/>
      <c r="K16" s="14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3">
        <f t="array" ref="A17">IF(ROWS(A$4:A17)&lt;=$B$2,INDEX(data!C$3:C$16128,SMALL(IF(data!$D$3:$D$16128='Свобода'!$B$1,ROW(data!$A$3:$A$16128)-ROW($A$3)+1),ROWS(A$4:A17))),"")</f>
        <v>46036</v>
      </c>
      <c r="B17" s="19" t="str">
        <f t="array" ref="B17">IF(ROWS(B$4:B17)&lt;=$B$2,INDEX(data!A$3:A$16128,SMALL(IF(data!$D$3:$D$16128='Свобода'!$B$1,ROW(data!$A$3:$A$16128)-ROW($A$3)+1),ROWS(B$4:B17))),"")</f>
        <v>КАСОВА КНИГА</v>
      </c>
      <c r="C17" s="19">
        <f t="array" ref="C17">IF(ROWS(C$4:C17)&lt;=$B$2,INDEX(data!B$3:B$16128,SMALL(IF(data!$D$3:$D$16128='Свобода'!$B$1,ROW(data!$A$3:$A$16128)-ROW($A$3)+1),ROWS(C$4:C17))),"")</f>
        <v>-2000</v>
      </c>
      <c r="D17" s="7" t="str">
        <f t="array" ref="D17">IF(ROWS(D$4:D17)&lt;=$B$2,INDEX(data!E$3:E$16128,SMALL(IF(data!$D$3:$D$16128='Свобода'!$B$1,ROW(data!$A$3:$A$16128)-ROW($A$3)+1),ROWS(D$4:D17))),"")</f>
        <v/>
      </c>
      <c r="E17" s="11"/>
      <c r="F17" s="11"/>
      <c r="G17" s="11"/>
      <c r="H17" s="14"/>
      <c r="I17" s="14"/>
      <c r="J17" s="14"/>
      <c r="K17" s="14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3">
        <f t="array" ref="A18">IF(ROWS(A$4:A18)&lt;=$B$2,INDEX(data!C$3:C$16128,SMALL(IF(data!$D$3:$D$16128='Свобода'!$B$1,ROW(data!$A$3:$A$16128)-ROW($A$3)+1),ROWS(A$4:A18))),"")</f>
        <v>46037</v>
      </c>
      <c r="B18" s="19" t="str">
        <f t="array" ref="B18">IF(ROWS(B$4:B18)&lt;=$B$2,INDEX(data!A$3:A$16128,SMALL(IF(data!$D$3:$D$16128='Свобода'!$B$1,ROW(data!$A$3:$A$16128)-ROW($A$3)+1),ROWS(B$4:B18))),"")</f>
        <v>Банка ПИБ Бакалия</v>
      </c>
      <c r="C18" s="19">
        <f t="array" ref="C18">IF(ROWS(C$4:C18)&lt;=$B$2,INDEX(data!B$3:B$16128,SMALL(IF(data!$D$3:$D$16128='Свобода'!$B$1,ROW(data!$A$3:$A$16128)-ROW($A$3)+1),ROWS(C$4:C18))),"")</f>
        <v>-1533.88</v>
      </c>
      <c r="D18" s="7" t="str">
        <f t="array" ref="D18">IF(ROWS(D$4:D18)&lt;=$B$2,INDEX(data!E$3:E$16128,SMALL(IF(data!$D$3:$D$16128='Свобода'!$B$1,ROW(data!$A$3:$A$16128)-ROW($A$3)+1),ROWS(D$4:D18))),"")</f>
        <v/>
      </c>
      <c r="E18" s="11"/>
      <c r="F18" s="11"/>
      <c r="G18" s="11"/>
      <c r="H18" s="14"/>
      <c r="I18" s="14"/>
      <c r="J18" s="14"/>
      <c r="K18" s="14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3">
        <f t="array" ref="A19">IF(ROWS(A$4:A19)&lt;=$B$2,INDEX(data!C$3:C$16128,SMALL(IF(data!$D$3:$D$16128='Свобода'!$B$1,ROW(data!$A$3:$A$16128)-ROW($A$3)+1),ROWS(A$4:A19))),"")</f>
        <v>46038</v>
      </c>
      <c r="B19" s="19" t="str">
        <f t="array" ref="B19">IF(ROWS(B$4:B19)&lt;=$B$2,INDEX(data!A$3:A$16128,SMALL(IF(data!$D$3:$D$16128='Свобода'!$B$1,ROW(data!$A$3:$A$16128)-ROW($A$3)+1),ROWS(B$4:B19))),"")</f>
        <v>КАСОВА КНИГА</v>
      </c>
      <c r="C19" s="19">
        <f t="array" ref="C19">IF(ROWS(C$4:C19)&lt;=$B$2,INDEX(data!B$3:B$16128,SMALL(IF(data!$D$3:$D$16128='Свобода'!$B$1,ROW(data!$A$3:$A$16128)-ROW($A$3)+1),ROWS(C$4:C19))),"")</f>
        <v>-511.29</v>
      </c>
      <c r="D19" s="7" t="str">
        <f t="array" ref="D19">IF(ROWS(D$4:D19)&lt;=$B$2,INDEX(data!E$3:E$16128,SMALL(IF(data!$D$3:$D$16128='Свобода'!$B$1,ROW(data!$A$3:$A$16128)-ROW($A$3)+1),ROWS(D$4:D19))),"")</f>
        <v/>
      </c>
      <c r="E19" s="11"/>
      <c r="F19" s="11"/>
      <c r="G19" s="11"/>
      <c r="H19" s="14"/>
      <c r="I19" s="14"/>
      <c r="J19" s="14"/>
      <c r="K19" s="14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3">
        <f t="array" ref="A20">IF(ROWS(A$4:A20)&lt;=$B$2,INDEX(data!C$3:C$16128,SMALL(IF(data!$D$3:$D$16128='Свобода'!$B$1,ROW(data!$A$3:$A$16128)-ROW($A$3)+1),ROWS(A$4:A20))),"")</f>
        <v>46041</v>
      </c>
      <c r="B20" s="19" t="str">
        <f t="array" ref="B20">IF(ROWS(B$4:B20)&lt;=$B$2,INDEX(data!A$3:A$16128,SMALL(IF(data!$D$3:$D$16128='Свобода'!$B$1,ROW(data!$A$3:$A$16128)-ROW($A$3)+1),ROWS(B$4:B20))),"")</f>
        <v>MYPOS Бакалия</v>
      </c>
      <c r="C20" s="19">
        <f t="array" ref="C20">IF(ROWS(C$4:C20)&lt;=$B$2,INDEX(data!B$3:B$16128,SMALL(IF(data!$D$3:$D$16128='Свобода'!$B$1,ROW(data!$A$3:$A$16128)-ROW($A$3)+1),ROWS(C$4:C20))),"")</f>
        <v>-6039.8</v>
      </c>
      <c r="D20" s="7" t="str">
        <f t="array" ref="D20">IF(ROWS(D$4:D20)&lt;=$B$2,INDEX(data!E$3:E$16128,SMALL(IF(data!$D$3:$D$16128='Свобода'!$B$1,ROW(data!$A$3:$A$16128)-ROW($A$3)+1),ROWS(D$4:D20))),"")</f>
        <v/>
      </c>
      <c r="E20" s="11"/>
      <c r="F20" s="11"/>
      <c r="G20" s="11"/>
      <c r="H20" s="14"/>
      <c r="I20" s="14"/>
      <c r="J20" s="14"/>
      <c r="K20" s="14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3">
        <f t="array" ref="A21">IF(ROWS(A$4:A21)&lt;=$B$2,INDEX(data!C$3:C$16128,SMALL(IF(data!$D$3:$D$16128='Свобода'!$B$1,ROW(data!$A$3:$A$16128)-ROW($A$3)+1),ROWS(A$4:A21))),"")</f>
        <v>46041</v>
      </c>
      <c r="B21" s="19" t="str">
        <f t="array" ref="B21">IF(ROWS(B$4:B21)&lt;=$B$2,INDEX(data!A$3:A$16128,SMALL(IF(data!$D$3:$D$16128='Свобода'!$B$1,ROW(data!$A$3:$A$16128)-ROW($A$3)+1),ROWS(B$4:B21))),"")</f>
        <v>КАСОВА КНИГА</v>
      </c>
      <c r="C21" s="19">
        <f t="array" ref="C21">IF(ROWS(C$4:C21)&lt;=$B$2,INDEX(data!B$3:B$16128,SMALL(IF(data!$D$3:$D$16128='Свобода'!$B$1,ROW(data!$A$3:$A$16128)-ROW($A$3)+1),ROWS(C$4:C21))),"")</f>
        <v>-2556.46</v>
      </c>
      <c r="D21" s="7" t="str">
        <f t="array" ref="D21">IF(ROWS(D$4:D21)&lt;=$B$2,INDEX(data!E$3:E$16128,SMALL(IF(data!$D$3:$D$16128='Свобода'!$B$1,ROW(data!$A$3:$A$16128)-ROW($A$3)+1),ROWS(D$4:D21))),"")</f>
        <v/>
      </c>
      <c r="E21" s="11"/>
      <c r="F21" s="11"/>
      <c r="G21" s="11"/>
      <c r="H21" s="14"/>
      <c r="I21" s="14"/>
      <c r="J21" s="14"/>
      <c r="K21" s="14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3">
        <f t="array" ref="A22">IF(ROWS(A$4:A22)&lt;=$B$2,INDEX(data!C$3:C$16128,SMALL(IF(data!$D$3:$D$16128='Свобода'!$B$1,ROW(data!$A$3:$A$16128)-ROW($A$3)+1),ROWS(A$4:A22))),"")</f>
        <v>46043</v>
      </c>
      <c r="B22" s="19" t="str">
        <f t="array" ref="B22">IF(ROWS(B$4:B22)&lt;=$B$2,INDEX(data!A$3:A$16128,SMALL(IF(data!$D$3:$D$16128='Свобода'!$B$1,ROW(data!$A$3:$A$16128)-ROW($A$3)+1),ROWS(B$4:B22))),"")</f>
        <v>КАСОВА КНИГА</v>
      </c>
      <c r="C22" s="19">
        <f t="array" ref="C22">IF(ROWS(C$4:C22)&lt;=$B$2,INDEX(data!B$3:B$16128,SMALL(IF(data!$D$3:$D$16128='Свобода'!$B$1,ROW(data!$A$3:$A$16128)-ROW($A$3)+1),ROWS(C$4:C22))),"")</f>
        <v>-1500</v>
      </c>
      <c r="D22" s="7" t="str">
        <f t="array" ref="D22">IF(ROWS(D$4:D22)&lt;=$B$2,INDEX(data!E$3:E$16128,SMALL(IF(data!$D$3:$D$16128='Свобода'!$B$1,ROW(data!$A$3:$A$16128)-ROW($A$3)+1),ROWS(D$4:D22))),"")</f>
        <v/>
      </c>
      <c r="E22" s="11"/>
      <c r="F22" s="11"/>
      <c r="G22" s="11"/>
      <c r="H22" s="14"/>
      <c r="I22" s="14"/>
      <c r="J22" s="14"/>
      <c r="K22" s="14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3">
        <f t="array" ref="A23">IF(ROWS(A$4:A23)&lt;=$B$2,INDEX(data!C$3:C$16128,SMALL(IF(data!$D$3:$D$16128='Свобода'!$B$1,ROW(data!$A$3:$A$16128)-ROW($A$3)+1),ROWS(A$4:A23))),"")</f>
        <v>46043</v>
      </c>
      <c r="B23" s="19" t="str">
        <f t="array" ref="B23">IF(ROWS(B$4:B23)&lt;=$B$2,INDEX(data!A$3:A$16128,SMALL(IF(data!$D$3:$D$16128='Свобода'!$B$1,ROW(data!$A$3:$A$16128)-ROW($A$3)+1),ROWS(B$4:B23))),"")</f>
        <v>КАСОВА КНИГА</v>
      </c>
      <c r="C23" s="19">
        <f t="array" ref="C23">IF(ROWS(C$4:C23)&lt;=$B$2,INDEX(data!B$3:B$16128,SMALL(IF(data!$D$3:$D$16128='Свобода'!$B$1,ROW(data!$A$3:$A$16128)-ROW($A$3)+1),ROWS(C$4:C23))),"")</f>
        <v>394</v>
      </c>
      <c r="D23" s="7" t="str">
        <f t="array" ref="D23">IF(ROWS(D$4:D23)&lt;=$B$2,INDEX(data!E$3:E$16128,SMALL(IF(data!$D$3:$D$16128='Свобода'!$B$1,ROW(data!$A$3:$A$16128)-ROW($A$3)+1),ROWS(D$4:D23))),"")</f>
        <v>заем</v>
      </c>
      <c r="E23" s="11"/>
      <c r="F23" s="11"/>
      <c r="G23" s="11"/>
      <c r="H23" s="14"/>
      <c r="I23" s="14"/>
      <c r="J23" s="14"/>
      <c r="K23" s="14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3">
        <f t="array" ref="A24">IF(ROWS(A$4:A24)&lt;=$B$2,INDEX(data!C$3:C$16128,SMALL(IF(data!$D$3:$D$16128='Свобода'!$B$1,ROW(data!$A$3:$A$16128)-ROW($A$3)+1),ROWS(A$4:A24))),"")</f>
        <v>46043</v>
      </c>
      <c r="B24" s="19" t="str">
        <f t="array" ref="B24">IF(ROWS(B$4:B24)&lt;=$B$2,INDEX(data!A$3:A$16128,SMALL(IF(data!$D$3:$D$16128='Свобода'!$B$1,ROW(data!$A$3:$A$16128)-ROW($A$3)+1),ROWS(B$4:B24))),"")</f>
        <v>Каса ВАУЧЕРИ</v>
      </c>
      <c r="C24" s="19">
        <f t="array" ref="C24">IF(ROWS(C$4:C24)&lt;=$B$2,INDEX(data!B$3:B$16128,SMALL(IF(data!$D$3:$D$16128='Свобода'!$B$1,ROW(data!$A$3:$A$16128)-ROW($A$3)+1),ROWS(C$4:C24))),"")</f>
        <v>818.07</v>
      </c>
      <c r="D24" s="7" t="str">
        <f t="array" ref="D24">IF(ROWS(D$4:D24)&lt;=$B$2,INDEX(data!E$3:E$16128,SMALL(IF(data!$D$3:$D$16128='Свобода'!$B$1,ROW(data!$A$3:$A$16128)-ROW($A$3)+1),ROWS(D$4:D24))),"")</f>
        <v>ваучери персонал</v>
      </c>
      <c r="E24" s="11"/>
      <c r="F24" s="11"/>
      <c r="G24" s="11"/>
      <c r="H24" s="14"/>
      <c r="I24" s="14"/>
      <c r="J24" s="14"/>
      <c r="K24" s="14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3">
        <f t="array" ref="A25">IF(ROWS(A$4:A25)&lt;=$B$2,INDEX(data!C$3:C$16128,SMALL(IF(data!$D$3:$D$16128='Свобода'!$B$1,ROW(data!$A$3:$A$16128)-ROW($A$3)+1),ROWS(A$4:A25))),"")</f>
        <v>46045</v>
      </c>
      <c r="B25" s="19" t="str">
        <f t="array" ref="B25">IF(ROWS(B$4:B25)&lt;=$B$2,INDEX(data!A$3:A$16128,SMALL(IF(data!$D$3:$D$16128='Свобода'!$B$1,ROW(data!$A$3:$A$16128)-ROW($A$3)+1),ROWS(B$4:B25))),"")</f>
        <v>каса ФИКТИВНА</v>
      </c>
      <c r="C25" s="19">
        <f t="array" ref="C25">IF(ROWS(C$4:C25)&lt;=$B$2,INDEX(data!B$3:B$16128,SMALL(IF(data!$D$3:$D$16128='Свобода'!$B$1,ROW(data!$A$3:$A$16128)-ROW($A$3)+1),ROWS(C$4:C25))),"")</f>
        <v>-350</v>
      </c>
      <c r="D25" s="7" t="str">
        <f t="array" ref="D25">IF(ROWS(D$4:D25)&lt;=$B$2,INDEX(data!E$3:E$16128,SMALL(IF(data!$D$3:$D$16128='Свобода'!$B$1,ROW(data!$A$3:$A$16128)-ROW($A$3)+1),ROWS(D$4:D25))),"")</f>
        <v>Цеци от премиите</v>
      </c>
      <c r="E25" s="11"/>
      <c r="F25" s="11"/>
      <c r="G25" s="11"/>
      <c r="H25" s="14"/>
      <c r="I25" s="14"/>
      <c r="J25" s="14"/>
      <c r="K25" s="14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3">
        <f t="array" ref="A26">IF(ROWS(A$4:A26)&lt;=$B$2,INDEX(data!C$3:C$16128,SMALL(IF(data!$D$3:$D$16128='Свобода'!$B$1,ROW(data!$A$3:$A$16128)-ROW($A$3)+1),ROWS(A$4:A26))),"")</f>
        <v>46048</v>
      </c>
      <c r="B26" s="19" t="str">
        <f t="array" ref="B26">IF(ROWS(B$4:B26)&lt;=$B$2,INDEX(data!A$3:A$16128,SMALL(IF(data!$D$3:$D$16128='Свобода'!$B$1,ROW(data!$A$3:$A$16128)-ROW($A$3)+1),ROWS(B$4:B26))),"")</f>
        <v>MYPOS Бакалия</v>
      </c>
      <c r="C26" s="19">
        <f t="array" ref="C26">IF(ROWS(C$4:C26)&lt;=$B$2,INDEX(data!B$3:B$16128,SMALL(IF(data!$D$3:$D$16128='Свобода'!$B$1,ROW(data!$A$3:$A$16128)-ROW($A$3)+1),ROWS(C$4:C26))),"")</f>
        <v>-4097.82</v>
      </c>
      <c r="D26" s="7" t="str">
        <f t="array" ref="D26">IF(ROWS(D$4:D26)&lt;=$B$2,INDEX(data!E$3:E$16128,SMALL(IF(data!$D$3:$D$16128='Свобода'!$B$1,ROW(data!$A$3:$A$16128)-ROW($A$3)+1),ROWS(D$4:D26))),"")</f>
        <v/>
      </c>
      <c r="E26" s="11"/>
      <c r="F26" s="11"/>
      <c r="G26" s="11"/>
      <c r="H26" s="14"/>
      <c r="I26" s="14"/>
      <c r="J26" s="14"/>
      <c r="K26" s="14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3">
        <f t="array" ref="A27">IF(ROWS(A$4:A27)&lt;=$B$2,INDEX(data!C$3:C$16128,SMALL(IF(data!$D$3:$D$16128='Свобода'!$B$1,ROW(data!$A$3:$A$16128)-ROW($A$3)+1),ROWS(A$4:A27))),"")</f>
        <v>46048</v>
      </c>
      <c r="B27" s="19" t="str">
        <f t="array" ref="B27">IF(ROWS(B$4:B27)&lt;=$B$2,INDEX(data!A$3:A$16128,SMALL(IF(data!$D$3:$D$16128='Свобода'!$B$1,ROW(data!$A$3:$A$16128)-ROW($A$3)+1),ROWS(B$4:B27))),"")</f>
        <v>КАСОВА КНИГА</v>
      </c>
      <c r="C27" s="19">
        <f t="array" ref="C27">IF(ROWS(C$4:C27)&lt;=$B$2,INDEX(data!B$3:B$16128,SMALL(IF(data!$D$3:$D$16128='Свобода'!$B$1,ROW(data!$A$3:$A$16128)-ROW($A$3)+1),ROWS(C$4:C27))),"")</f>
        <v>-2000</v>
      </c>
      <c r="D27" s="7" t="str">
        <f t="array" ref="D27">IF(ROWS(D$4:D27)&lt;=$B$2,INDEX(data!E$3:E$16128,SMALL(IF(data!$D$3:$D$16128='Свобода'!$B$1,ROW(data!$A$3:$A$16128)-ROW($A$3)+1),ROWS(D$4:D27))),"")</f>
        <v/>
      </c>
      <c r="E27" s="11"/>
      <c r="F27" s="11"/>
      <c r="G27" s="11"/>
      <c r="H27" s="14"/>
      <c r="I27" s="14"/>
      <c r="J27" s="14"/>
      <c r="K27" s="14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3">
        <f t="array" ref="A28">IF(ROWS(A$4:A28)&lt;=$B$2,INDEX(data!C$3:C$16128,SMALL(IF(data!$D$3:$D$16128='Свобода'!$B$1,ROW(data!$A$3:$A$16128)-ROW($A$3)+1),ROWS(A$4:A28))),"")</f>
        <v>46049</v>
      </c>
      <c r="B28" s="19" t="str">
        <f t="array" ref="B28">IF(ROWS(B$4:B28)&lt;=$B$2,INDEX(data!A$3:A$16128,SMALL(IF(data!$D$3:$D$16128='Свобода'!$B$1,ROW(data!$A$3:$A$16128)-ROW($A$3)+1),ROWS(B$4:B28))),"")</f>
        <v>Каса ВАУЧЕРИ</v>
      </c>
      <c r="C28" s="19">
        <f t="array" ref="C28">IF(ROWS(C$4:C28)&lt;=$B$2,INDEX(data!B$3:B$16128,SMALL(IF(data!$D$3:$D$16128='Свобода'!$B$1,ROW(data!$A$3:$A$16128)-ROW($A$3)+1),ROWS(C$4:C28))),"")</f>
        <v>-297.88</v>
      </c>
      <c r="D28" s="7" t="str">
        <f t="array" ref="D28">IF(ROWS(D$4:D28)&lt;=$B$2,INDEX(data!E$3:E$16128,SMALL(IF(data!$D$3:$D$16128='Свобода'!$B$1,ROW(data!$A$3:$A$16128)-ROW($A$3)+1),ROWS(D$4:D28))),"")</f>
        <v>ваучери 12,01</v>
      </c>
      <c r="E28" s="11"/>
      <c r="F28" s="11"/>
      <c r="G28" s="11"/>
      <c r="H28" s="14"/>
      <c r="I28" s="14"/>
      <c r="J28" s="14"/>
      <c r="K28" s="14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3">
        <f t="array" ref="A29">IF(ROWS(A$4:A29)&lt;=$B$2,INDEX(data!C$3:C$16128,SMALL(IF(data!$D$3:$D$16128='Свобода'!$B$1,ROW(data!$A$3:$A$16128)-ROW($A$3)+1),ROWS(A$4:A29))),"")</f>
        <v>46049</v>
      </c>
      <c r="B29" s="19" t="str">
        <f t="array" ref="B29">IF(ROWS(B$4:B29)&lt;=$B$2,INDEX(data!A$3:A$16128,SMALL(IF(data!$D$3:$D$16128='Свобода'!$B$1,ROW(data!$A$3:$A$16128)-ROW($A$3)+1),ROWS(B$4:B29))),"")</f>
        <v>Каса ВАУЧЕРИ</v>
      </c>
      <c r="C29" s="19">
        <f t="array" ref="C29">IF(ROWS(C$4:C29)&lt;=$B$2,INDEX(data!B$3:B$16128,SMALL(IF(data!$D$3:$D$16128='Свобода'!$B$1,ROW(data!$A$3:$A$16128)-ROW($A$3)+1),ROWS(C$4:C29))),"")</f>
        <v>-490.15</v>
      </c>
      <c r="D29" s="7" t="str">
        <f t="array" ref="D29">IF(ROWS(D$4:D29)&lt;=$B$2,INDEX(data!E$3:E$16128,SMALL(IF(data!$D$3:$D$16128='Свобода'!$B$1,ROW(data!$A$3:$A$16128)-ROW($A$3)+1),ROWS(D$4:D29))),"")</f>
        <v>ваучери 19,01</v>
      </c>
      <c r="E29" s="11"/>
      <c r="F29" s="11"/>
      <c r="G29" s="11"/>
      <c r="H29" s="14"/>
      <c r="I29" s="14"/>
      <c r="J29" s="14"/>
      <c r="K29" s="14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33">
        <f t="array" ref="A30">IF(ROWS(A$4:A30)&lt;=$B$2,INDEX(data!C$3:C$16128,SMALL(IF(data!$D$3:$D$16128='Свобода'!$B$1,ROW(data!$A$3:$A$16128)-ROW($A$3)+1),ROWS(A$4:A30))),"")</f>
        <v>46049</v>
      </c>
      <c r="B30" s="19" t="str">
        <f t="array" ref="B30">IF(ROWS(B$4:B30)&lt;=$B$2,INDEX(data!A$3:A$16128,SMALL(IF(data!$D$3:$D$16128='Свобода'!$B$1,ROW(data!$A$3:$A$16128)-ROW($A$3)+1),ROWS(B$4:B30))),"")</f>
        <v>ПОС ДСК Бакалия</v>
      </c>
      <c r="C30" s="19">
        <f t="array" ref="C30">IF(ROWS(C$4:C30)&lt;=$B$2,INDEX(data!B$3:B$16128,SMALL(IF(data!$D$3:$D$16128='Свобода'!$B$1,ROW(data!$A$3:$A$16128)-ROW($A$3)+1),ROWS(C$4:C30))),"")</f>
        <v>-2427.14</v>
      </c>
      <c r="D30" s="7" t="str">
        <f t="array" ref="D30">IF(ROWS(D$4:D30)&lt;=$B$2,INDEX(data!E$3:E$16128,SMALL(IF(data!$D$3:$D$16128='Свобода'!$B$1,ROW(data!$A$3:$A$16128)-ROW($A$3)+1),ROWS(D$4:D30))),"")</f>
        <v>17-23,01</v>
      </c>
      <c r="E30" s="11"/>
      <c r="F30" s="11"/>
      <c r="G30" s="11"/>
      <c r="H30" s="14"/>
      <c r="I30" s="14"/>
      <c r="J30" s="14"/>
      <c r="K30" s="14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33">
        <f t="array" ref="A31">IF(ROWS(A$4:A31)&lt;=$B$2,INDEX(data!C$3:C$16128,SMALL(IF(data!$D$3:$D$16128='Свобода'!$B$1,ROW(data!$A$3:$A$16128)-ROW($A$3)+1),ROWS(A$4:A31))),"")</f>
        <v>46050</v>
      </c>
      <c r="B31" s="19" t="str">
        <f t="array" ref="B31">IF(ROWS(B$4:B31)&lt;=$B$2,INDEX(data!A$3:A$16128,SMALL(IF(data!$D$3:$D$16128='Свобода'!$B$1,ROW(data!$A$3:$A$16128)-ROW($A$3)+1),ROWS(B$4:B31))),"")</f>
        <v>КАСОВА КНИГА</v>
      </c>
      <c r="C31" s="19">
        <f t="array" ref="C31">IF(ROWS(C$4:C31)&lt;=$B$2,INDEX(data!B$3:B$16128,SMALL(IF(data!$D$3:$D$16128='Свобода'!$B$1,ROW(data!$A$3:$A$16128)-ROW($A$3)+1),ROWS(C$4:C31))),"")</f>
        <v>-1000</v>
      </c>
      <c r="D31" s="7" t="str">
        <f t="array" ref="D31">IF(ROWS(D$4:D31)&lt;=$B$2,INDEX(data!E$3:E$16128,SMALL(IF(data!$D$3:$D$16128='Свобода'!$B$1,ROW(data!$A$3:$A$16128)-ROW($A$3)+1),ROWS(D$4:D31))),"")</f>
        <v/>
      </c>
      <c r="E31" s="11"/>
      <c r="F31" s="11"/>
      <c r="G31" s="11"/>
      <c r="H31" s="14"/>
      <c r="I31" s="14"/>
      <c r="J31" s="14"/>
      <c r="K31" s="14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33">
        <f t="array" ref="A32">IF(ROWS(A$4:A32)&lt;=$B$2,INDEX(data!C$3:C$16128,SMALL(IF(data!$D$3:$D$16128='Свобода'!$B$1,ROW(data!$A$3:$A$16128)-ROW($A$3)+1),ROWS(A$4:A32))),"")</f>
        <v>46055</v>
      </c>
      <c r="B32" s="19" t="str">
        <f t="array" ref="B32">IF(ROWS(B$4:B32)&lt;=$B$2,INDEX(data!A$3:A$16128,SMALL(IF(data!$D$3:$D$16128='Свобода'!$B$1,ROW(data!$A$3:$A$16128)-ROW($A$3)+1),ROWS(B$4:B32))),"")</f>
        <v>MYPOS Бакалия</v>
      </c>
      <c r="C32" s="19">
        <f t="array" ref="C32">IF(ROWS(C$4:C32)&lt;=$B$2,INDEX(data!B$3:B$16128,SMALL(IF(data!$D$3:$D$16128='Свобода'!$B$1,ROW(data!$A$3:$A$16128)-ROW($A$3)+1),ROWS(C$4:C32))),"")</f>
        <v>-6680.6</v>
      </c>
      <c r="D32" s="7" t="str">
        <f t="array" ref="D32">IF(ROWS(D$4:D32)&lt;=$B$2,INDEX(data!E$3:E$16128,SMALL(IF(data!$D$3:$D$16128='Свобода'!$B$1,ROW(data!$A$3:$A$16128)-ROW($A$3)+1),ROWS(D$4:D32))),"")</f>
        <v/>
      </c>
      <c r="E32" s="11"/>
      <c r="F32" s="11"/>
      <c r="G32" s="11"/>
      <c r="H32" s="14"/>
      <c r="I32" s="14"/>
      <c r="J32" s="14"/>
      <c r="K32" s="14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33">
        <f t="array" ref="A33">IF(ROWS(A$4:A33)&lt;=$B$2,INDEX(data!C$3:C$16128,SMALL(IF(data!$D$3:$D$16128='Свобода'!$B$1,ROW(data!$A$3:$A$16128)-ROW($A$3)+1),ROWS(A$4:A33))),"")</f>
        <v>46055</v>
      </c>
      <c r="B33" s="19" t="str">
        <f t="array" ref="B33">IF(ROWS(B$4:B33)&lt;=$B$2,INDEX(data!A$3:A$16128,SMALL(IF(data!$D$3:$D$16128='Свобода'!$B$1,ROW(data!$A$3:$A$16128)-ROW($A$3)+1),ROWS(B$4:B33))),"")</f>
        <v>КАСОВА КНИГА</v>
      </c>
      <c r="C33" s="19">
        <f t="array" ref="C33">IF(ROWS(C$4:C33)&lt;=$B$2,INDEX(data!B$3:B$16128,SMALL(IF(data!$D$3:$D$16128='Свобода'!$B$1,ROW(data!$A$3:$A$16128)-ROW($A$3)+1),ROWS(C$4:C33))),"")</f>
        <v>-1000</v>
      </c>
      <c r="D33" s="7" t="str">
        <f t="array" ref="D33">IF(ROWS(D$4:D33)&lt;=$B$2,INDEX(data!E$3:E$16128,SMALL(IF(data!$D$3:$D$16128='Свобода'!$B$1,ROW(data!$A$3:$A$16128)-ROW($A$3)+1),ROWS(D$4:D33))),"")</f>
        <v/>
      </c>
      <c r="E33" s="11"/>
      <c r="F33" s="11"/>
      <c r="G33" s="11"/>
      <c r="H33" s="14"/>
      <c r="I33" s="14"/>
      <c r="J33" s="14"/>
      <c r="K33" s="14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33">
        <f t="array" ref="A34">IF(ROWS(A$4:A34)&lt;=$B$2,INDEX(data!C$3:C$16128,SMALL(IF(data!$D$3:$D$16128='Свобода'!$B$1,ROW(data!$A$3:$A$16128)-ROW($A$3)+1),ROWS(A$4:A34))),"")</f>
        <v>46057</v>
      </c>
      <c r="B34" s="19" t="str">
        <f t="array" ref="B34">IF(ROWS(B$4:B34)&lt;=$B$2,INDEX(data!A$3:A$16128,SMALL(IF(data!$D$3:$D$16128='Свобода'!$B$1,ROW(data!$A$3:$A$16128)-ROW($A$3)+1),ROWS(B$4:B34))),"")</f>
        <v>КАСОВА КНИГА</v>
      </c>
      <c r="C34" s="19">
        <f t="array" ref="C34">IF(ROWS(C$4:C34)&lt;=$B$2,INDEX(data!B$3:B$16128,SMALL(IF(data!$D$3:$D$16128='Свобода'!$B$1,ROW(data!$A$3:$A$16128)-ROW($A$3)+1),ROWS(C$4:C34))),"")</f>
        <v>-500</v>
      </c>
      <c r="D34" s="7" t="str">
        <f t="array" ref="D34">IF(ROWS(D$4:D34)&lt;=$B$2,INDEX(data!E$3:E$16128,SMALL(IF(data!$D$3:$D$16128='Свобода'!$B$1,ROW(data!$A$3:$A$16128)-ROW($A$3)+1),ROWS(D$4:D34))),"")</f>
        <v/>
      </c>
      <c r="E34" s="11"/>
      <c r="F34" s="11"/>
      <c r="G34" s="11"/>
      <c r="H34" s="14"/>
      <c r="I34" s="14"/>
      <c r="J34" s="14"/>
      <c r="K34" s="14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33">
        <f t="array" ref="A35">IF(ROWS(A$4:A35)&lt;=$B$2,INDEX(data!C$3:C$16128,SMALL(IF(data!$D$3:$D$16128='Свобода'!$B$1,ROW(data!$A$3:$A$16128)-ROW($A$3)+1),ROWS(A$4:A35))),"")</f>
        <v>46057</v>
      </c>
      <c r="B35" s="19" t="str">
        <f t="array" ref="B35">IF(ROWS(B$4:B35)&lt;=$B$2,INDEX(data!A$3:A$16128,SMALL(IF(data!$D$3:$D$16128='Свобода'!$B$1,ROW(data!$A$3:$A$16128)-ROW($A$3)+1),ROWS(B$4:B35))),"")</f>
        <v>КАСОВА КНИГА</v>
      </c>
      <c r="C35" s="19">
        <f t="array" ref="C35">IF(ROWS(C$4:C35)&lt;=$B$2,INDEX(data!B$3:B$16128,SMALL(IF(data!$D$3:$D$16128='Свобода'!$B$1,ROW(data!$A$3:$A$16128)-ROW($A$3)+1),ROWS(C$4:C35))),"")</f>
        <v>-602.56</v>
      </c>
      <c r="D35" s="7" t="str">
        <f t="array" ref="D35">IF(ROWS(D$4:D35)&lt;=$B$2,INDEX(data!E$3:E$16128,SMALL(IF(data!$D$3:$D$16128='Свобода'!$B$1,ROW(data!$A$3:$A$16128)-ROW($A$3)+1),ROWS(D$4:D35))),"")</f>
        <v>1178,50лв</v>
      </c>
      <c r="E35" s="11"/>
      <c r="F35" s="11"/>
      <c r="G35" s="11"/>
      <c r="H35" s="14"/>
      <c r="I35" s="14"/>
      <c r="J35" s="14"/>
      <c r="K35" s="14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3">
        <f t="array" ref="A36">IF(ROWS(A$4:A36)&lt;=$B$2,INDEX(data!C$3:C$16128,SMALL(IF(data!$D$3:$D$16128='Свобода'!$B$1,ROW(data!$A$3:$A$16128)-ROW($A$3)+1),ROWS(A$4:A36))),"")</f>
        <v>46057</v>
      </c>
      <c r="B36" s="19" t="str">
        <f t="array" ref="B36">IF(ROWS(B$4:B36)&lt;=$B$2,INDEX(data!A$3:A$16128,SMALL(IF(data!$D$3:$D$16128='Свобода'!$B$1,ROW(data!$A$3:$A$16128)-ROW($A$3)+1),ROWS(B$4:B36))),"")</f>
        <v>Каса ВАУЧЕРИ</v>
      </c>
      <c r="C36" s="19">
        <f t="array" ref="C36">IF(ROWS(C$4:C36)&lt;=$B$2,INDEX(data!B$3:B$16128,SMALL(IF(data!$D$3:$D$16128='Свобода'!$B$1,ROW(data!$A$3:$A$16128)-ROW($A$3)+1),ROWS(C$4:C36))),"")</f>
        <v>-323.74</v>
      </c>
      <c r="D36" s="7" t="str">
        <f t="array" ref="D36">IF(ROWS(D$4:D36)&lt;=$B$2,INDEX(data!E$3:E$16128,SMALL(IF(data!$D$3:$D$16128='Свобода'!$B$1,ROW(data!$A$3:$A$16128)-ROW($A$3)+1),ROWS(D$4:D36))),"")</f>
        <v/>
      </c>
      <c r="E36" s="11"/>
      <c r="F36" s="11"/>
      <c r="G36" s="11"/>
      <c r="H36" s="14"/>
      <c r="I36" s="14"/>
      <c r="J36" s="14"/>
      <c r="K36" s="14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33">
        <f t="array" ref="A37">IF(ROWS(A$4:A37)&lt;=$B$2,INDEX(data!C$3:C$16128,SMALL(IF(data!$D$3:$D$16128='Свобода'!$B$1,ROW(data!$A$3:$A$16128)-ROW($A$3)+1),ROWS(A$4:A37))),"")</f>
        <v>46062</v>
      </c>
      <c r="B37" s="19" t="str">
        <f t="array" ref="B37">IF(ROWS(B$4:B37)&lt;=$B$2,INDEX(data!A$3:A$16128,SMALL(IF(data!$D$3:$D$16128='Свобода'!$B$1,ROW(data!$A$3:$A$16128)-ROW($A$3)+1),ROWS(B$4:B37))),"")</f>
        <v>MYPOS Бакалия</v>
      </c>
      <c r="C37" s="19">
        <f t="array" ref="C37">IF(ROWS(C$4:C37)&lt;=$B$2,INDEX(data!B$3:B$16128,SMALL(IF(data!$D$3:$D$16128='Свобода'!$B$1,ROW(data!$A$3:$A$16128)-ROW($A$3)+1),ROWS(C$4:C37))),"")</f>
        <v>-6338.08</v>
      </c>
      <c r="D37" s="7" t="str">
        <f t="array" ref="D37">IF(ROWS(D$4:D37)&lt;=$B$2,INDEX(data!E$3:E$16128,SMALL(IF(data!$D$3:$D$16128='Свобода'!$B$1,ROW(data!$A$3:$A$16128)-ROW($A$3)+1),ROWS(D$4:D37))),"")</f>
        <v/>
      </c>
      <c r="E37" s="11"/>
      <c r="F37" s="11"/>
      <c r="G37" s="11"/>
      <c r="H37" s="14"/>
      <c r="I37" s="14"/>
      <c r="J37" s="14"/>
      <c r="K37" s="14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33">
        <f t="array" ref="A38">IF(ROWS(A$4:A38)&lt;=$B$2,INDEX(data!C$3:C$16128,SMALL(IF(data!$D$3:$D$16128='Свобода'!$B$1,ROW(data!$A$3:$A$16128)-ROW($A$3)+1),ROWS(A$4:A38))),"")</f>
        <v>46062</v>
      </c>
      <c r="B38" s="19" t="str">
        <f t="array" ref="B38">IF(ROWS(B$4:B38)&lt;=$B$2,INDEX(data!A$3:A$16128,SMALL(IF(data!$D$3:$D$16128='Свобода'!$B$1,ROW(data!$A$3:$A$16128)-ROW($A$3)+1),ROWS(B$4:B38))),"")</f>
        <v>КАСОВА КНИГА</v>
      </c>
      <c r="C38" s="19">
        <f t="array" ref="C38">IF(ROWS(C$4:C38)&lt;=$B$2,INDEX(data!B$3:B$16128,SMALL(IF(data!$D$3:$D$16128='Свобода'!$B$1,ROW(data!$A$3:$A$16128)-ROW($A$3)+1),ROWS(C$4:C38))),"")</f>
        <v>-1500</v>
      </c>
      <c r="D38" s="7" t="str">
        <f t="array" ref="D38">IF(ROWS(D$4:D38)&lt;=$B$2,INDEX(data!E$3:E$16128,SMALL(IF(data!$D$3:$D$16128='Свобода'!$B$1,ROW(data!$A$3:$A$16128)-ROW($A$3)+1),ROWS(D$4:D38))),"")</f>
        <v/>
      </c>
      <c r="E38" s="11"/>
      <c r="F38" s="11"/>
      <c r="G38" s="11"/>
      <c r="H38" s="14"/>
      <c r="I38" s="14"/>
      <c r="J38" s="14"/>
      <c r="K38" s="14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33">
        <f t="array" ref="A39">IF(ROWS(A$4:A39)&lt;=$B$2,INDEX(data!C$3:C$16128,SMALL(IF(data!$D$3:$D$16128='Свобода'!$B$1,ROW(data!$A$3:$A$16128)-ROW($A$3)+1),ROWS(A$4:A39))),"")</f>
        <v>46062</v>
      </c>
      <c r="B39" s="19" t="str">
        <f t="array" ref="B39">IF(ROWS(B$4:B39)&lt;=$B$2,INDEX(data!A$3:A$16128,SMALL(IF(data!$D$3:$D$16128='Свобода'!$B$1,ROW(data!$A$3:$A$16128)-ROW($A$3)+1),ROWS(B$4:B39))),"")</f>
        <v>ЗАЕМ</v>
      </c>
      <c r="C39" s="19">
        <f t="array" ref="C39">IF(ROWS(C$4:C39)&lt;=$B$2,INDEX(data!B$3:B$16128,SMALL(IF(data!$D$3:$D$16128='Свобода'!$B$1,ROW(data!$A$3:$A$16128)-ROW($A$3)+1),ROWS(C$4:C39))),"")</f>
        <v>45299.56</v>
      </c>
      <c r="D39" s="7" t="str">
        <f t="array" ref="D39">IF(ROWS(D$4:D39)&lt;=$B$2,INDEX(data!E$3:E$16128,SMALL(IF(data!$D$3:$D$16128='Свобода'!$B$1,ROW(data!$A$3:$A$16128)-ROW($A$3)+1),ROWS(D$4:D39))),"")</f>
        <v>С-до склад + вътр п-не</v>
      </c>
      <c r="E39" s="11"/>
      <c r="F39" s="11"/>
      <c r="G39" s="11"/>
      <c r="H39" s="14"/>
      <c r="I39" s="14"/>
      <c r="J39" s="14"/>
      <c r="K39" s="14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33">
        <f t="array" ref="A40">IF(ROWS(A$4:A40)&lt;=$B$2,INDEX(data!C$3:C$16128,SMALL(IF(data!$D$3:$D$16128='Свобода'!$B$1,ROW(data!$A$3:$A$16128)-ROW($A$3)+1),ROWS(A$4:A40))),"")</f>
        <v>46064</v>
      </c>
      <c r="B40" s="19" t="str">
        <f t="array" ref="B40">IF(ROWS(B$4:B40)&lt;=$B$2,INDEX(data!A$3:A$16128,SMALL(IF(data!$D$3:$D$16128='Свобода'!$B$1,ROW(data!$A$3:$A$16128)-ROW($A$3)+1),ROWS(B$4:B40))),"")</f>
        <v>КАСОВА КНИГА</v>
      </c>
      <c r="C40" s="19">
        <f t="array" ref="C40">IF(ROWS(C$4:C40)&lt;=$B$2,INDEX(data!B$3:B$16128,SMALL(IF(data!$D$3:$D$16128='Свобода'!$B$1,ROW(data!$A$3:$A$16128)-ROW($A$3)+1),ROWS(C$4:C40))),"")</f>
        <v>-500</v>
      </c>
      <c r="D40" s="7" t="str">
        <f t="array" ref="D40">IF(ROWS(D$4:D40)&lt;=$B$2,INDEX(data!E$3:E$16128,SMALL(IF(data!$D$3:$D$16128='Свобода'!$B$1,ROW(data!$A$3:$A$16128)-ROW($A$3)+1),ROWS(D$4:D40))),"")</f>
        <v/>
      </c>
      <c r="E40" s="11"/>
      <c r="F40" s="11"/>
      <c r="G40" s="11"/>
      <c r="H40" s="14"/>
      <c r="I40" s="14"/>
      <c r="J40" s="14"/>
      <c r="K40" s="14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33">
        <f t="array" ref="A41">IF(ROWS(A$4:A41)&lt;=$B$2,INDEX(data!C$3:C$16128,SMALL(IF(data!$D$3:$D$16128='Свобода'!$B$1,ROW(data!$A$3:$A$16128)-ROW($A$3)+1),ROWS(A$4:A41))),"")</f>
        <v>46066</v>
      </c>
      <c r="B41" s="19" t="str">
        <f t="array" ref="B41">IF(ROWS(B$4:B41)&lt;=$B$2,INDEX(data!A$3:A$16128,SMALL(IF(data!$D$3:$D$16128='Свобода'!$B$1,ROW(data!$A$3:$A$16128)-ROW($A$3)+1),ROWS(B$4:B41))),"")</f>
        <v>КАСОВА КНИГА</v>
      </c>
      <c r="C41" s="19">
        <f t="array" ref="C41">IF(ROWS(C$4:C41)&lt;=$B$2,INDEX(data!B$3:B$16128,SMALL(IF(data!$D$3:$D$16128='Свобода'!$B$1,ROW(data!$A$3:$A$16128)-ROW($A$3)+1),ROWS(C$4:C41))),"")</f>
        <v>-500</v>
      </c>
      <c r="D41" s="7" t="str">
        <f t="array" ref="D41">IF(ROWS(D$4:D41)&lt;=$B$2,INDEX(data!E$3:E$16128,SMALL(IF(data!$D$3:$D$16128='Свобода'!$B$1,ROW(data!$A$3:$A$16128)-ROW($A$3)+1),ROWS(D$4:D41))),"")</f>
        <v/>
      </c>
      <c r="E41" s="11"/>
      <c r="F41" s="11"/>
      <c r="G41" s="11"/>
      <c r="H41" s="14"/>
      <c r="I41" s="14"/>
      <c r="J41" s="14"/>
      <c r="K41" s="14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33">
        <f t="array" ref="A42">IF(ROWS(A$4:A42)&lt;=$B$2,INDEX(data!C$3:C$16128,SMALL(IF(data!$D$3:$D$16128='Свобода'!$B$1,ROW(data!$A$3:$A$16128)-ROW($A$3)+1),ROWS(A$4:A42))),"")</f>
        <v>46069</v>
      </c>
      <c r="B42" s="19" t="str">
        <f t="array" ref="B42">IF(ROWS(B$4:B42)&lt;=$B$2,INDEX(data!A$3:A$16128,SMALL(IF(data!$D$3:$D$16128='Свобода'!$B$1,ROW(data!$A$3:$A$16128)-ROW($A$3)+1),ROWS(B$4:B42))),"")</f>
        <v>MYPOS Бакалия</v>
      </c>
      <c r="C42" s="19">
        <f t="array" ref="C42">IF(ROWS(C$4:C42)&lt;=$B$2,INDEX(data!B$3:B$16128,SMALL(IF(data!$D$3:$D$16128='Свобода'!$B$1,ROW(data!$A$3:$A$16128)-ROW($A$3)+1),ROWS(C$4:C42))),"")</f>
        <v>-5981.24</v>
      </c>
      <c r="D42" s="7" t="str">
        <f t="array" ref="D42">IF(ROWS(D$4:D42)&lt;=$B$2,INDEX(data!E$3:E$16128,SMALL(IF(data!$D$3:$D$16128='Свобода'!$B$1,ROW(data!$A$3:$A$16128)-ROW($A$3)+1),ROWS(D$4:D42))),"")</f>
        <v/>
      </c>
      <c r="E42" s="11"/>
      <c r="F42" s="11"/>
      <c r="G42" s="11"/>
      <c r="H42" s="14"/>
      <c r="I42" s="14"/>
      <c r="J42" s="14"/>
      <c r="K42" s="14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33">
        <f t="array" ref="A43">IF(ROWS(A$4:A43)&lt;=$B$2,INDEX(data!C$3:C$16128,SMALL(IF(data!$D$3:$D$16128='Свобода'!$B$1,ROW(data!$A$3:$A$16128)-ROW($A$3)+1),ROWS(A$4:A43))),"")</f>
        <v>46071</v>
      </c>
      <c r="B43" s="19" t="str">
        <f t="array" ref="B43">IF(ROWS(B$4:B43)&lt;=$B$2,INDEX(data!A$3:A$16128,SMALL(IF(data!$D$3:$D$16128='Свобода'!$B$1,ROW(data!$A$3:$A$16128)-ROW($A$3)+1),ROWS(B$4:B43))),"")</f>
        <v>каса ФИКТИВНА</v>
      </c>
      <c r="C43" s="19">
        <f t="array" ref="C43">IF(ROWS(C$4:C43)&lt;=$B$2,INDEX(data!B$3:B$16128,SMALL(IF(data!$D$3:$D$16128='Свобода'!$B$1,ROW(data!$A$3:$A$16128)-ROW($A$3)+1),ROWS(C$4:C43))),"")</f>
        <v>-730</v>
      </c>
      <c r="D43" s="7" t="str">
        <f t="array" ref="D43">IF(ROWS(D$4:D43)&lt;=$B$2,INDEX(data!E$3:E$16128,SMALL(IF(data!$D$3:$D$16128='Свобода'!$B$1,ROW(data!$A$3:$A$16128)-ROW($A$3)+1),ROWS(D$4:D43))),"")</f>
        <v>Цвети от заплатата</v>
      </c>
      <c r="E43" s="11"/>
      <c r="F43" s="11"/>
      <c r="G43" s="11"/>
      <c r="H43" s="14"/>
      <c r="I43" s="14"/>
      <c r="J43" s="14"/>
      <c r="K43" s="14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33">
        <f t="array" ref="A44">IF(ROWS(A$4:A44)&lt;=$B$2,INDEX(data!C$3:C$16128,SMALL(IF(data!$D$3:$D$16128='Свобода'!$B$1,ROW(data!$A$3:$A$16128)-ROW($A$3)+1),ROWS(A$4:A44))),"")</f>
        <v>46072</v>
      </c>
      <c r="B44" s="19" t="str">
        <f t="array" ref="B44">IF(ROWS(B$4:B44)&lt;=$B$2,INDEX(data!A$3:A$16128,SMALL(IF(data!$D$3:$D$16128='Свобода'!$B$1,ROW(data!$A$3:$A$16128)-ROW($A$3)+1),ROWS(B$4:B44))),"")</f>
        <v>Банка ПИБ Бакалия</v>
      </c>
      <c r="C44" s="19">
        <f t="array" ref="C44">IF(ROWS(C$4:C44)&lt;=$B$2,INDEX(data!B$3:B$16128,SMALL(IF(data!$D$3:$D$16128='Свобода'!$B$1,ROW(data!$A$3:$A$16128)-ROW($A$3)+1),ROWS(C$4:C44))),"")</f>
        <v>-1500</v>
      </c>
      <c r="D44" s="7" t="str">
        <f t="array" ref="D44">IF(ROWS(D$4:D44)&lt;=$B$2,INDEX(data!E$3:E$16128,SMALL(IF(data!$D$3:$D$16128='Свобода'!$B$1,ROW(data!$A$3:$A$16128)-ROW($A$3)+1),ROWS(D$4:D44))),"")</f>
        <v>банка 16.02</v>
      </c>
      <c r="E44" s="11"/>
      <c r="F44" s="11"/>
      <c r="G44" s="11"/>
      <c r="H44" s="14"/>
      <c r="I44" s="14"/>
      <c r="J44" s="14"/>
      <c r="K44" s="14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33">
        <f t="array" ref="A45">IF(ROWS(A$4:A45)&lt;=$B$2,INDEX(data!C$3:C$16128,SMALL(IF(data!$D$3:$D$16128='Свобода'!$B$1,ROW(data!$A$3:$A$16128)-ROW($A$3)+1),ROWS(A$4:A45))),"")</f>
        <v>46072</v>
      </c>
      <c r="B45" s="19" t="str">
        <f t="array" ref="B45">IF(ROWS(B$4:B45)&lt;=$B$2,INDEX(data!A$3:A$16128,SMALL(IF(data!$D$3:$D$16128='Свобода'!$B$1,ROW(data!$A$3:$A$16128)-ROW($A$3)+1),ROWS(B$4:B45))),"")</f>
        <v>Каса ВАУЧЕРИ</v>
      </c>
      <c r="C45" s="19">
        <f t="array" ref="C45">IF(ROWS(C$4:C45)&lt;=$B$2,INDEX(data!B$3:B$16128,SMALL(IF(data!$D$3:$D$16128='Свобода'!$B$1,ROW(data!$A$3:$A$16128)-ROW($A$3)+1),ROWS(C$4:C45))),"")</f>
        <v>-140</v>
      </c>
      <c r="D45" s="7" t="str">
        <f t="array" ref="D45">IF(ROWS(D$4:D45)&lt;=$B$2,INDEX(data!E$3:E$16128,SMALL(IF(data!$D$3:$D$16128='Свобода'!$B$1,ROW(data!$A$3:$A$16128)-ROW($A$3)+1),ROWS(D$4:D45))),"")</f>
        <v>за 02.02-08.02</v>
      </c>
      <c r="E45" s="11"/>
      <c r="F45" s="11"/>
      <c r="G45" s="11"/>
      <c r="H45" s="14"/>
      <c r="I45" s="14"/>
      <c r="J45" s="14"/>
      <c r="K45" s="14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33">
        <f t="array" ref="A46">IF(ROWS(A$4:A46)&lt;=$B$2,INDEX(data!C$3:C$16128,SMALL(IF(data!$D$3:$D$16128='Свобода'!$B$1,ROW(data!$A$3:$A$16128)-ROW($A$3)+1),ROWS(A$4:A46))),"")</f>
        <v>46072</v>
      </c>
      <c r="B46" s="19" t="str">
        <f t="array" ref="B46">IF(ROWS(B$4:B46)&lt;=$B$2,INDEX(data!A$3:A$16128,SMALL(IF(data!$D$3:$D$16128='Свобода'!$B$1,ROW(data!$A$3:$A$16128)-ROW($A$3)+1),ROWS(B$4:B46))),"")</f>
        <v>Каса ВАУЧЕРИ</v>
      </c>
      <c r="C46" s="19">
        <f t="array" ref="C46">IF(ROWS(C$4:C46)&lt;=$B$2,INDEX(data!B$3:B$16128,SMALL(IF(data!$D$3:$D$16128='Свобода'!$B$1,ROW(data!$A$3:$A$16128)-ROW($A$3)+1),ROWS(C$4:C46))),"")</f>
        <v>-142.2</v>
      </c>
      <c r="D46" s="7" t="str">
        <f t="array" ref="D46">IF(ROWS(D$4:D46)&lt;=$B$2,INDEX(data!E$3:E$16128,SMALL(IF(data!$D$3:$D$16128='Свобода'!$B$1,ROW(data!$A$3:$A$16128)-ROW($A$3)+1),ROWS(D$4:D46))),"")</f>
        <v>за 26.01-01.02</v>
      </c>
      <c r="E46" s="11"/>
      <c r="F46" s="11"/>
      <c r="G46" s="11"/>
      <c r="H46" s="14"/>
      <c r="I46" s="14"/>
      <c r="J46" s="14"/>
      <c r="K46" s="14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3">
        <f t="array" ref="A47">IF(ROWS(A$4:A47)&lt;=$B$2,INDEX(data!C$3:C$16128,SMALL(IF(data!$D$3:$D$16128='Свобода'!$B$1,ROW(data!$A$3:$A$16128)-ROW($A$3)+1),ROWS(A$4:A47))),"")</f>
        <v>46073</v>
      </c>
      <c r="B47" s="19" t="str">
        <f t="array" ref="B47">IF(ROWS(B$4:B47)&lt;=$B$2,INDEX(data!A$3:A$16128,SMALL(IF(data!$D$3:$D$16128='Свобода'!$B$1,ROW(data!$A$3:$A$16128)-ROW($A$3)+1),ROWS(B$4:B47))),"")</f>
        <v>Каса ВАУЧЕРИ</v>
      </c>
      <c r="C47" s="19">
        <f t="array" ref="C47">IF(ROWS(C$4:C47)&lt;=$B$2,INDEX(data!B$3:B$16128,SMALL(IF(data!$D$3:$D$16128='Свобода'!$B$1,ROW(data!$A$3:$A$16128)-ROW($A$3)+1),ROWS(C$4:C47))),"")</f>
        <v>800</v>
      </c>
      <c r="D47" s="7" t="str">
        <f t="array" ref="D47">IF(ROWS(D$4:D47)&lt;=$B$2,INDEX(data!E$3:E$16128,SMALL(IF(data!$D$3:$D$16128='Свобода'!$B$1,ROW(data!$A$3:$A$16128)-ROW($A$3)+1),ROWS(D$4:D47))),"")</f>
        <v>ваучери персонал</v>
      </c>
      <c r="E47" s="11"/>
      <c r="F47" s="11"/>
      <c r="G47" s="11"/>
      <c r="H47" s="14"/>
      <c r="I47" s="14"/>
      <c r="J47" s="14"/>
      <c r="K47" s="14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33">
        <f t="array" ref="A48">IF(ROWS(A$4:A48)&lt;=$B$2,INDEX(data!C$3:C$16128,SMALL(IF(data!$D$3:$D$16128='Свобода'!$B$1,ROW(data!$A$3:$A$16128)-ROW($A$3)+1),ROWS(A$4:A48))),"")</f>
        <v>46076</v>
      </c>
      <c r="B48" s="19" t="str">
        <f t="array" ref="B48">IF(ROWS(B$4:B48)&lt;=$B$2,INDEX(data!A$3:A$16128,SMALL(IF(data!$D$3:$D$16128='Свобода'!$B$1,ROW(data!$A$3:$A$16128)-ROW($A$3)+1),ROWS(B$4:B48))),"")</f>
        <v>MYPOS Бакалия</v>
      </c>
      <c r="C48" s="19">
        <f t="array" ref="C48">IF(ROWS(C$4:C48)&lt;=$B$2,INDEX(data!B$3:B$16128,SMALL(IF(data!$D$3:$D$16128='Свобода'!$B$1,ROW(data!$A$3:$A$16128)-ROW($A$3)+1),ROWS(C$4:C48))),"")</f>
        <v>-5246.18</v>
      </c>
      <c r="D48" s="7" t="str">
        <f t="array" ref="D48">IF(ROWS(D$4:D48)&lt;=$B$2,INDEX(data!E$3:E$16128,SMALL(IF(data!$D$3:$D$16128='Свобода'!$B$1,ROW(data!$A$3:$A$16128)-ROW($A$3)+1),ROWS(D$4:D48))),"")</f>
        <v/>
      </c>
      <c r="E48" s="11"/>
      <c r="F48" s="11"/>
      <c r="G48" s="11"/>
      <c r="H48" s="14"/>
      <c r="I48" s="14"/>
      <c r="J48" s="14"/>
      <c r="K48" s="1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3">
        <f t="array" ref="A49">IF(ROWS(A$4:A49)&lt;=$B$2,INDEX(data!C$3:C$16128,SMALL(IF(data!$D$3:$D$16128='Свобода'!$B$1,ROW(data!$A$3:$A$16128)-ROW($A$3)+1),ROWS(A$4:A49))),"")</f>
        <v>46076</v>
      </c>
      <c r="B49" s="19" t="str">
        <f t="array" ref="B49">IF(ROWS(B$4:B49)&lt;=$B$2,INDEX(data!A$3:A$16128,SMALL(IF(data!$D$3:$D$16128='Свобода'!$B$1,ROW(data!$A$3:$A$16128)-ROW($A$3)+1),ROWS(B$4:B49))),"")</f>
        <v>КАСОВА КНИГА</v>
      </c>
      <c r="C49" s="19">
        <f t="array" ref="C49">IF(ROWS(C$4:C49)&lt;=$B$2,INDEX(data!B$3:B$16128,SMALL(IF(data!$D$3:$D$16128='Свобода'!$B$1,ROW(data!$A$3:$A$16128)-ROW($A$3)+1),ROWS(C$4:C49))),"")</f>
        <v>-1500</v>
      </c>
      <c r="D49" s="7" t="str">
        <f t="array" ref="D49">IF(ROWS(D$4:D49)&lt;=$B$2,INDEX(data!E$3:E$16128,SMALL(IF(data!$D$3:$D$16128='Свобода'!$B$1,ROW(data!$A$3:$A$16128)-ROW($A$3)+1),ROWS(D$4:D49))),"")</f>
        <v/>
      </c>
      <c r="E49" s="11"/>
      <c r="F49" s="11"/>
      <c r="G49" s="11"/>
      <c r="H49" s="14"/>
      <c r="I49" s="14"/>
      <c r="J49" s="14"/>
      <c r="K49" s="14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33">
        <f t="array" ref="A50">IF(ROWS(A$4:A50)&lt;=$B$2,INDEX(data!C$3:C$16128,SMALL(IF(data!$D$3:$D$16128='Свобода'!$B$1,ROW(data!$A$3:$A$16128)-ROW($A$3)+1),ROWS(A$4:A50))),"")</f>
        <v>46076</v>
      </c>
      <c r="B50" s="19" t="str">
        <f t="array" ref="B50">IF(ROWS(B$4:B50)&lt;=$B$2,INDEX(data!A$3:A$16128,SMALL(IF(data!$D$3:$D$16128='Свобода'!$B$1,ROW(data!$A$3:$A$16128)-ROW($A$3)+1),ROWS(B$4:B50))),"")</f>
        <v>ПОС ДСК Бакалия</v>
      </c>
      <c r="C50" s="19">
        <f t="array" ref="C50">IF(ROWS(C$4:C50)&lt;=$B$2,INDEX(data!B$3:B$16128,SMALL(IF(data!$D$3:$D$16128='Свобода'!$B$1,ROW(data!$A$3:$A$16128)-ROW($A$3)+1),ROWS(C$4:C50))),"")</f>
        <v>-1159.97</v>
      </c>
      <c r="D50" s="7" t="str">
        <f t="array" ref="D50">IF(ROWS(D$4:D50)&lt;=$B$2,INDEX(data!E$3:E$16128,SMALL(IF(data!$D$3:$D$16128='Свобода'!$B$1,ROW(data!$A$3:$A$16128)-ROW($A$3)+1),ROWS(D$4:D50))),"")</f>
        <v/>
      </c>
      <c r="E50" s="11"/>
      <c r="F50" s="11"/>
      <c r="G50" s="11"/>
      <c r="H50" s="14"/>
      <c r="I50" s="14"/>
      <c r="J50" s="14"/>
      <c r="K50" s="14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33">
        <f t="array" ref="A51">IF(ROWS(A$4:A51)&lt;=$B$2,INDEX(data!C$3:C$16128,SMALL(IF(data!$D$3:$D$16128='Свобода'!$B$1,ROW(data!$A$3:$A$16128)-ROW($A$3)+1),ROWS(A$4:A51))),"")</f>
        <v>46077</v>
      </c>
      <c r="B51" s="19" t="str">
        <f t="array" ref="B51">IF(ROWS(B$4:B51)&lt;=$B$2,INDEX(data!A$3:A$16128,SMALL(IF(data!$D$3:$D$16128='Свобода'!$B$1,ROW(data!$A$3:$A$16128)-ROW($A$3)+1),ROWS(B$4:B51))),"")</f>
        <v>каса ФИКТИВНА</v>
      </c>
      <c r="C51" s="19">
        <f t="array" ref="C51">IF(ROWS(C$4:C51)&lt;=$B$2,INDEX(data!B$3:B$16128,SMALL(IF(data!$D$3:$D$16128='Свобода'!$B$1,ROW(data!$A$3:$A$16128)-ROW($A$3)+1),ROWS(C$4:C51))),"")</f>
        <v>-100</v>
      </c>
      <c r="D51" s="7" t="str">
        <f t="array" ref="D51">IF(ROWS(D$4:D51)&lt;=$B$2,INDEX(data!E$3:E$16128,SMALL(IF(data!$D$3:$D$16128='Свобода'!$B$1,ROW(data!$A$3:$A$16128)-ROW($A$3)+1),ROWS(D$4:D51))),"")</f>
        <v>платено капаро Хуго</v>
      </c>
      <c r="E51" s="11"/>
      <c r="F51" s="11"/>
      <c r="G51" s="11"/>
      <c r="H51" s="14"/>
      <c r="I51" s="14"/>
      <c r="J51" s="14"/>
      <c r="K51" s="14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33">
        <f t="array" ref="A52">IF(ROWS(A$4:A52)&lt;=$B$2,INDEX(data!C$3:C$16128,SMALL(IF(data!$D$3:$D$16128='Свобода'!$B$1,ROW(data!$A$3:$A$16128)-ROW($A$3)+1),ROWS(A$4:A52))),"")</f>
        <v>46078</v>
      </c>
      <c r="B52" s="19" t="str">
        <f t="array" ref="B52">IF(ROWS(B$4:B52)&lt;=$B$2,INDEX(data!A$3:A$16128,SMALL(IF(data!$D$3:$D$16128='Свобода'!$B$1,ROW(data!$A$3:$A$16128)-ROW($A$3)+1),ROWS(B$4:B52))),"")</f>
        <v>КАСОВА КНИГА</v>
      </c>
      <c r="C52" s="19">
        <f t="array" ref="C52">IF(ROWS(C$4:C52)&lt;=$B$2,INDEX(data!B$3:B$16128,SMALL(IF(data!$D$3:$D$16128='Свобода'!$B$1,ROW(data!$A$3:$A$16128)-ROW($A$3)+1),ROWS(C$4:C52))),"")</f>
        <v>-500</v>
      </c>
      <c r="D52" s="7" t="str">
        <f t="array" ref="D52">IF(ROWS(D$4:D52)&lt;=$B$2,INDEX(data!E$3:E$16128,SMALL(IF(data!$D$3:$D$16128='Свобода'!$B$1,ROW(data!$A$3:$A$16128)-ROW($A$3)+1),ROWS(D$4:D52))),"")</f>
        <v/>
      </c>
      <c r="E52" s="11"/>
      <c r="F52" s="11"/>
      <c r="G52" s="11"/>
      <c r="H52" s="14"/>
      <c r="I52" s="14"/>
      <c r="J52" s="14"/>
      <c r="K52" s="14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33">
        <f t="array" ref="A53">IF(ROWS(A$4:A53)&lt;=$B$2,INDEX(data!C$3:C$16128,SMALL(IF(data!$D$3:$D$16128='Свобода'!$B$1,ROW(data!$A$3:$A$16128)-ROW($A$3)+1),ROWS(A$4:A53))),"")</f>
        <v>46083</v>
      </c>
      <c r="B53" s="19" t="str">
        <f t="array" ref="B53">IF(ROWS(B$4:B53)&lt;=$B$2,INDEX(data!A$3:A$16128,SMALL(IF(data!$D$3:$D$16128='Свобода'!$B$1,ROW(data!$A$3:$A$16128)-ROW($A$3)+1),ROWS(B$4:B53))),"")</f>
        <v>MYPOS Бакалия</v>
      </c>
      <c r="C53" s="19">
        <f t="array" ref="C53">IF(ROWS(C$4:C53)&lt;=$B$2,INDEX(data!B$3:B$16128,SMALL(IF(data!$D$3:$D$16128='Свобода'!$B$1,ROW(data!$A$3:$A$16128)-ROW($A$3)+1),ROWS(C$4:C53))),"")</f>
        <v>-6525.9</v>
      </c>
      <c r="D53" s="7" t="str">
        <f t="array" ref="D53">IF(ROWS(D$4:D53)&lt;=$B$2,INDEX(data!E$3:E$16128,SMALL(IF(data!$D$3:$D$16128='Свобода'!$B$1,ROW(data!$A$3:$A$16128)-ROW($A$3)+1),ROWS(D$4:D53))),"")</f>
        <v/>
      </c>
      <c r="E53" s="11"/>
      <c r="F53" s="11"/>
      <c r="G53" s="11"/>
      <c r="H53" s="14"/>
      <c r="I53" s="14"/>
      <c r="J53" s="14"/>
      <c r="K53" s="14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33">
        <f t="array" ref="A54">IF(ROWS(A$4:A54)&lt;=$B$2,INDEX(data!C$3:C$16128,SMALL(IF(data!$D$3:$D$16128='Свобода'!$B$1,ROW(data!$A$3:$A$16128)-ROW($A$3)+1),ROWS(A$4:A54))),"")</f>
        <v>46083</v>
      </c>
      <c r="B54" s="19" t="str">
        <f t="array" ref="B54">IF(ROWS(B$4:B54)&lt;=$B$2,INDEX(data!A$3:A$16128,SMALL(IF(data!$D$3:$D$16128='Свобода'!$B$1,ROW(data!$A$3:$A$16128)-ROW($A$3)+1),ROWS(B$4:B54))),"")</f>
        <v>КАСОВА КНИГА</v>
      </c>
      <c r="C54" s="19">
        <f t="array" ref="C54">IF(ROWS(C$4:C54)&lt;=$B$2,INDEX(data!B$3:B$16128,SMALL(IF(data!$D$3:$D$16128='Свобода'!$B$1,ROW(data!$A$3:$A$16128)-ROW($A$3)+1),ROWS(C$4:C54))),"")</f>
        <v>-1000</v>
      </c>
      <c r="D54" s="7" t="str">
        <f t="array" ref="D54">IF(ROWS(D$4:D54)&lt;=$B$2,INDEX(data!E$3:E$16128,SMALL(IF(data!$D$3:$D$16128='Свобода'!$B$1,ROW(data!$A$3:$A$16128)-ROW($A$3)+1),ROWS(D$4:D54))),"")</f>
        <v/>
      </c>
      <c r="E54" s="11"/>
      <c r="F54" s="11"/>
      <c r="G54" s="11"/>
      <c r="H54" s="14"/>
      <c r="I54" s="14"/>
      <c r="J54" s="14"/>
      <c r="K54" s="14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3">
        <f t="array" ref="A55">IF(ROWS(A$4:A55)&lt;=$B$2,INDEX(data!C$3:C$16128,SMALL(IF(data!$D$3:$D$16128='Свобода'!$B$1,ROW(data!$A$3:$A$16128)-ROW($A$3)+1),ROWS(A$4:A55))),"")</f>
        <v>46085</v>
      </c>
      <c r="B55" s="19" t="str">
        <f t="array" ref="B55">IF(ROWS(B$4:B55)&lt;=$B$2,INDEX(data!A$3:A$16128,SMALL(IF(data!$D$3:$D$16128='Свобода'!$B$1,ROW(data!$A$3:$A$16128)-ROW($A$3)+1),ROWS(B$4:B55))),"")</f>
        <v>КАСОВА КНИГА</v>
      </c>
      <c r="C55" s="19">
        <f t="array" ref="C55">IF(ROWS(C$4:C55)&lt;=$B$2,INDEX(data!B$3:B$16128,SMALL(IF(data!$D$3:$D$16128='Свобода'!$B$1,ROW(data!$A$3:$A$16128)-ROW($A$3)+1),ROWS(C$4:C55))),"")</f>
        <v>-500</v>
      </c>
      <c r="D55" s="7" t="str">
        <f t="array" ref="D55">IF(ROWS(D$4:D55)&lt;=$B$2,INDEX(data!E$3:E$16128,SMALL(IF(data!$D$3:$D$16128='Свобода'!$B$1,ROW(data!$A$3:$A$16128)-ROW($A$3)+1),ROWS(D$4:D55))),"")</f>
        <v/>
      </c>
      <c r="E55" s="11"/>
      <c r="F55" s="11"/>
      <c r="G55" s="11"/>
      <c r="H55" s="14"/>
      <c r="I55" s="14"/>
      <c r="J55" s="14"/>
      <c r="K55" s="1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33">
        <f t="array" ref="A56">IF(ROWS(A$4:A56)&lt;=$B$2,INDEX(data!C$3:C$16128,SMALL(IF(data!$D$3:$D$16128='Свобода'!$B$1,ROW(data!$A$3:$A$16128)-ROW($A$3)+1),ROWS(A$4:A56))),"")</f>
        <v>46086</v>
      </c>
      <c r="B56" s="19" t="str">
        <f t="array" ref="B56">IF(ROWS(B$4:B56)&lt;=$B$2,INDEX(data!A$3:A$16128,SMALL(IF(data!$D$3:$D$16128='Свобода'!$B$1,ROW(data!$A$3:$A$16128)-ROW($A$3)+1),ROWS(B$4:B56))),"")</f>
        <v>ЗАЕМ</v>
      </c>
      <c r="C56" s="19">
        <f t="array" ref="C56">IF(ROWS(C$4:C56)&lt;=$B$2,INDEX(data!B$3:B$16128,SMALL(IF(data!$D$3:$D$16128='Свобода'!$B$1,ROW(data!$A$3:$A$16128)-ROW($A$3)+1),ROWS(C$4:C56))),"")</f>
        <v>35247.56</v>
      </c>
      <c r="D56" s="7" t="str">
        <f t="array" ref="D56">IF(ROWS(D$4:D56)&lt;=$B$2,INDEX(data!E$3:E$16128,SMALL(IF(data!$D$3:$D$16128='Свобода'!$B$1,ROW(data!$A$3:$A$16128)-ROW($A$3)+1),ROWS(D$4:D56))),"")</f>
        <v>Салдо склад + вътр. п-не</v>
      </c>
      <c r="E56" s="11"/>
      <c r="F56" s="11"/>
      <c r="G56" s="11"/>
      <c r="H56" s="14"/>
      <c r="I56" s="14"/>
      <c r="J56" s="14"/>
      <c r="K56" s="1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3">
        <f t="array" ref="A57">IF(ROWS(A$4:A57)&lt;=$B$2,INDEX(data!C$3:C$16128,SMALL(IF(data!$D$3:$D$16128='Свобода'!$B$1,ROW(data!$A$3:$A$16128)-ROW($A$3)+1),ROWS(A$4:A57))),"")</f>
        <v>46087</v>
      </c>
      <c r="B57" s="19" t="str">
        <f t="array" ref="B57">IF(ROWS(B$4:B57)&lt;=$B$2,INDEX(data!A$3:A$16128,SMALL(IF(data!$D$3:$D$16128='Свобода'!$B$1,ROW(data!$A$3:$A$16128)-ROW($A$3)+1),ROWS(B$4:B57))),"")</f>
        <v>Каса ВАУЧЕРИ</v>
      </c>
      <c r="C57" s="19">
        <f t="array" ref="C57">IF(ROWS(C$4:C57)&lt;=$B$2,INDEX(data!B$3:B$16128,SMALL(IF(data!$D$3:$D$16128='Свобода'!$B$1,ROW(data!$A$3:$A$16128)-ROW($A$3)+1),ROWS(C$4:C57))),"")</f>
        <v>-280.1</v>
      </c>
      <c r="D57" s="7" t="str">
        <f t="array" ref="D57">IF(ROWS(D$4:D57)&lt;=$B$2,INDEX(data!E$3:E$16128,SMALL(IF(data!$D$3:$D$16128='Свобода'!$B$1,ROW(data!$A$3:$A$16128)-ROW($A$3)+1),ROWS(D$4:D57))),"")</f>
        <v>за 09-15.02</v>
      </c>
      <c r="E57" s="11"/>
      <c r="F57" s="11"/>
      <c r="G57" s="11"/>
      <c r="H57" s="14"/>
      <c r="I57" s="14"/>
      <c r="J57" s="14"/>
      <c r="K57" s="1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33">
        <f t="array" ref="A58">IF(ROWS(A$4:A58)&lt;=$B$2,INDEX(data!C$3:C$16128,SMALL(IF(data!$D$3:$D$16128='Свобода'!$B$1,ROW(data!$A$3:$A$16128)-ROW($A$3)+1),ROWS(A$4:A58))),"")</f>
        <v>46087</v>
      </c>
      <c r="B58" s="19" t="str">
        <f t="array" ref="B58">IF(ROWS(B$4:B58)&lt;=$B$2,INDEX(data!A$3:A$16128,SMALL(IF(data!$D$3:$D$16128='Свобода'!$B$1,ROW(data!$A$3:$A$16128)-ROW($A$3)+1),ROWS(B$4:B58))),"")</f>
        <v>Каса ВАУЧЕРИ</v>
      </c>
      <c r="C58" s="19">
        <f t="array" ref="C58">IF(ROWS(C$4:C58)&lt;=$B$2,INDEX(data!B$3:B$16128,SMALL(IF(data!$D$3:$D$16128='Свобода'!$B$1,ROW(data!$A$3:$A$16128)-ROW($A$3)+1),ROWS(C$4:C58))),"")</f>
        <v>-351</v>
      </c>
      <c r="D58" s="7" t="str">
        <f t="array" ref="D58">IF(ROWS(D$4:D58)&lt;=$B$2,INDEX(data!E$3:E$16128,SMALL(IF(data!$D$3:$D$16128='Свобода'!$B$1,ROW(data!$A$3:$A$16128)-ROW($A$3)+1),ROWS(D$4:D58))),"")</f>
        <v>за 16-22.02</v>
      </c>
      <c r="E58" s="11"/>
      <c r="F58" s="11"/>
      <c r="G58" s="11"/>
      <c r="H58" s="14"/>
      <c r="I58" s="14"/>
      <c r="J58" s="14"/>
      <c r="K58" s="1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3">
        <f t="array" ref="A59">IF(ROWS(A$4:A59)&lt;=$B$2,INDEX(data!C$3:C$16128,SMALL(IF(data!$D$3:$D$16128='Свобода'!$B$1,ROW(data!$A$3:$A$16128)-ROW($A$3)+1),ROWS(A$4:A59))),"")</f>
        <v>46085</v>
      </c>
      <c r="B59" s="19" t="str">
        <f t="array" ref="B59">IF(ROWS(B$4:B59)&lt;=$B$2,INDEX(data!A$3:A$16128,SMALL(IF(data!$D$3:$D$16128='Свобода'!$B$1,ROW(data!$A$3:$A$16128)-ROW($A$3)+1),ROWS(B$4:B59))),"")</f>
        <v>ПОС ДСК Бакалия</v>
      </c>
      <c r="C59" s="19">
        <f t="array" ref="C59">IF(ROWS(C$4:C59)&lt;=$B$2,INDEX(data!B$3:B$16128,SMALL(IF(data!$D$3:$D$16128='Свобода'!$B$1,ROW(data!$A$3:$A$16128)-ROW($A$3)+1),ROWS(C$4:C59))),"")</f>
        <v>-33.34</v>
      </c>
      <c r="D59" s="7" t="str">
        <f t="array" ref="D59">IF(ROWS(D$4:D59)&lt;=$B$2,INDEX(data!E$3:E$16128,SMALL(IF(data!$D$3:$D$16128='Свобода'!$B$1,ROW(data!$A$3:$A$16128)-ROW($A$3)+1),ROWS(D$4:D59))),"")</f>
        <v/>
      </c>
      <c r="E59" s="11"/>
      <c r="F59" s="11"/>
      <c r="G59" s="11"/>
      <c r="H59" s="14"/>
      <c r="I59" s="14"/>
      <c r="J59" s="14"/>
      <c r="K59" s="1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33">
        <f t="array" ref="A60">IF(ROWS(A$4:A60)&lt;=$B$2,INDEX(data!C$3:C$16128,SMALL(IF(data!$D$3:$D$16128='Свобода'!$B$1,ROW(data!$A$3:$A$16128)-ROW($A$3)+1),ROWS(A$4:A60))),"")</f>
        <v>46090</v>
      </c>
      <c r="B60" s="19" t="str">
        <f t="array" ref="B60">IF(ROWS(B$4:B60)&lt;=$B$2,INDEX(data!A$3:A$16128,SMALL(IF(data!$D$3:$D$16128='Свобода'!$B$1,ROW(data!$A$3:$A$16128)-ROW($A$3)+1),ROWS(B$4:B60))),"")</f>
        <v>MYPOS Бакалия</v>
      </c>
      <c r="C60" s="19">
        <f t="array" ref="C60">IF(ROWS(C$4:C60)&lt;=$B$2,INDEX(data!B$3:B$16128,SMALL(IF(data!$D$3:$D$16128='Свобода'!$B$1,ROW(data!$A$3:$A$16128)-ROW($A$3)+1),ROWS(C$4:C60))),"")</f>
        <v>-4167.96</v>
      </c>
      <c r="D60" s="7" t="str">
        <f t="array" ref="D60">IF(ROWS(D$4:D60)&lt;=$B$2,INDEX(data!E$3:E$16128,SMALL(IF(data!$D$3:$D$16128='Свобода'!$B$1,ROW(data!$A$3:$A$16128)-ROW($A$3)+1),ROWS(D$4:D60))),"")</f>
        <v/>
      </c>
      <c r="E60" s="11"/>
      <c r="F60" s="11"/>
      <c r="G60" s="11"/>
      <c r="H60" s="14"/>
      <c r="I60" s="14"/>
      <c r="J60" s="14"/>
      <c r="K60" s="1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33">
        <f t="array" ref="A61">IF(ROWS(A$4:A61)&lt;=$B$2,INDEX(data!C$3:C$16128,SMALL(IF(data!$D$3:$D$16128='Свобода'!$B$1,ROW(data!$A$3:$A$16128)-ROW($A$3)+1),ROWS(A$4:A61))),"")</f>
        <v>46090</v>
      </c>
      <c r="B61" s="19" t="str">
        <f t="array" ref="B61">IF(ROWS(B$4:B61)&lt;=$B$2,INDEX(data!A$3:A$16128,SMALL(IF(data!$D$3:$D$16128='Свобода'!$B$1,ROW(data!$A$3:$A$16128)-ROW($A$3)+1),ROWS(B$4:B61))),"")</f>
        <v>КАСОВА КНИГА</v>
      </c>
      <c r="C61" s="19">
        <f t="array" ref="C61">IF(ROWS(C$4:C61)&lt;=$B$2,INDEX(data!B$3:B$16128,SMALL(IF(data!$D$3:$D$16128='Свобода'!$B$1,ROW(data!$A$3:$A$16128)-ROW($A$3)+1),ROWS(C$4:C61))),"")</f>
        <v>-2000</v>
      </c>
      <c r="D61" s="7" t="str">
        <f t="array" ref="D61">IF(ROWS(D$4:D61)&lt;=$B$2,INDEX(data!E$3:E$16128,SMALL(IF(data!$D$3:$D$16128='Свобода'!$B$1,ROW(data!$A$3:$A$16128)-ROW($A$3)+1),ROWS(D$4:D61))),"")</f>
        <v/>
      </c>
      <c r="E61" s="11"/>
      <c r="F61" s="11"/>
      <c r="G61" s="11"/>
      <c r="H61" s="14"/>
      <c r="I61" s="14"/>
      <c r="J61" s="14"/>
      <c r="K61" s="1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33">
        <f t="array" ref="A62">IF(ROWS(A$4:A62)&lt;=$B$2,INDEX(data!C$3:C$16128,SMALL(IF(data!$D$3:$D$16128='Свобода'!$B$1,ROW(data!$A$3:$A$16128)-ROW($A$3)+1),ROWS(A$4:A62))),"")</f>
        <v>46090</v>
      </c>
      <c r="B62" s="19" t="str">
        <f t="array" ref="B62">IF(ROWS(B$4:B62)&lt;=$B$2,INDEX(data!A$3:A$16128,SMALL(IF(data!$D$3:$D$16128='Свобода'!$B$1,ROW(data!$A$3:$A$16128)-ROW($A$3)+1),ROWS(B$4:B62))),"")</f>
        <v>ПОС ДСК Бакалия</v>
      </c>
      <c r="C62" s="19">
        <f t="array" ref="C62">IF(ROWS(C$4:C62)&lt;=$B$2,INDEX(data!B$3:B$16128,SMALL(IF(data!$D$3:$D$16128='Свобода'!$B$1,ROW(data!$A$3:$A$16128)-ROW($A$3)+1),ROWS(C$4:C62))),"")</f>
        <v>-777.55</v>
      </c>
      <c r="D62" s="7" t="str">
        <f t="array" ref="D62">IF(ROWS(D$4:D62)&lt;=$B$2,INDEX(data!E$3:E$16128,SMALL(IF(data!$D$3:$D$16128='Свобода'!$B$1,ROW(data!$A$3:$A$16128)-ROW($A$3)+1),ROWS(D$4:D62))),"")</f>
        <v/>
      </c>
      <c r="E62" s="11"/>
      <c r="F62" s="11"/>
      <c r="G62" s="11"/>
      <c r="H62" s="14"/>
      <c r="I62" s="14"/>
      <c r="J62" s="14"/>
      <c r="K62" s="1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33">
        <f t="array" ref="A63">IF(ROWS(A$4:A63)&lt;=$B$2,INDEX(data!C$3:C$16128,SMALL(IF(data!$D$3:$D$16128='Свобода'!$B$1,ROW(data!$A$3:$A$16128)-ROW($A$3)+1),ROWS(A$4:A63))),"")</f>
        <v>46090</v>
      </c>
      <c r="B63" s="19" t="str">
        <f t="array" ref="B63">IF(ROWS(B$4:B63)&lt;=$B$2,INDEX(data!A$3:A$16128,SMALL(IF(data!$D$3:$D$16128='Свобода'!$B$1,ROW(data!$A$3:$A$16128)-ROW($A$3)+1),ROWS(B$4:B63))),"")</f>
        <v>ПроКредит бакал</v>
      </c>
      <c r="C63" s="19">
        <f t="array" ref="C63">IF(ROWS(C$4:C63)&lt;=$B$2,INDEX(data!B$3:B$16128,SMALL(IF(data!$D$3:$D$16128='Свобода'!$B$1,ROW(data!$A$3:$A$16128)-ROW($A$3)+1),ROWS(C$4:C63))),"")</f>
        <v>-1022.97</v>
      </c>
      <c r="D63" s="7" t="str">
        <f t="array" ref="D63">IF(ROWS(D$4:D63)&lt;=$B$2,INDEX(data!E$3:E$16128,SMALL(IF(data!$D$3:$D$16128='Свобода'!$B$1,ROW(data!$A$3:$A$16128)-ROW($A$3)+1),ROWS(D$4:D63))),"")</f>
        <v/>
      </c>
      <c r="E63" s="11"/>
      <c r="F63" s="11"/>
      <c r="G63" s="11"/>
      <c r="H63" s="14"/>
      <c r="I63" s="14"/>
      <c r="J63" s="14"/>
      <c r="K63" s="1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33">
        <f t="array" ref="A64">IF(ROWS(A$4:A64)&lt;=$B$2,INDEX(data!C$3:C$16128,SMALL(IF(data!$D$3:$D$16128='Свобода'!$B$1,ROW(data!$A$3:$A$16128)-ROW($A$3)+1),ROWS(A$4:A64))),"")</f>
        <v>46092</v>
      </c>
      <c r="B64" s="19" t="str">
        <f t="array" ref="B64">IF(ROWS(B$4:B64)&lt;=$B$2,INDEX(data!A$3:A$16128,SMALL(IF(data!$D$3:$D$16128='Свобода'!$B$1,ROW(data!$A$3:$A$16128)-ROW($A$3)+1),ROWS(B$4:B64))),"")</f>
        <v>КАСОВА КНИГА</v>
      </c>
      <c r="C64" s="19">
        <f t="array" ref="C64">IF(ROWS(C$4:C64)&lt;=$B$2,INDEX(data!B$3:B$16128,SMALL(IF(data!$D$3:$D$16128='Свобода'!$B$1,ROW(data!$A$3:$A$16128)-ROW($A$3)+1),ROWS(C$4:C64))),"")</f>
        <v>-500</v>
      </c>
      <c r="D64" s="7" t="str">
        <f t="array" ref="D64">IF(ROWS(D$4:D64)&lt;=$B$2,INDEX(data!E$3:E$16128,SMALL(IF(data!$D$3:$D$16128='Свобода'!$B$1,ROW(data!$A$3:$A$16128)-ROW($A$3)+1),ROWS(D$4:D64))),"")</f>
        <v/>
      </c>
      <c r="E64" s="11"/>
      <c r="F64" s="11"/>
      <c r="G64" s="11"/>
      <c r="H64" s="14"/>
      <c r="I64" s="14"/>
      <c r="J64" s="14"/>
      <c r="K64" s="14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3">
        <f t="array" ref="A65">IF(ROWS(A$4:A65)&lt;=$B$2,INDEX(data!C$3:C$16128,SMALL(IF(data!$D$3:$D$16128='Свобода'!$B$1,ROW(data!$A$3:$A$16128)-ROW($A$3)+1),ROWS(A$4:A65))),"")</f>
        <v>46097</v>
      </c>
      <c r="B65" s="19" t="str">
        <f t="array" ref="B65">IF(ROWS(B$4:B65)&lt;=$B$2,INDEX(data!A$3:A$16128,SMALL(IF(data!$D$3:$D$16128='Свобода'!$B$1,ROW(data!$A$3:$A$16128)-ROW($A$3)+1),ROWS(B$4:B65))),"")</f>
        <v>MYPOS Бакалия</v>
      </c>
      <c r="C65" s="19">
        <f t="array" ref="C65">IF(ROWS(C$4:C65)&lt;=$B$2,INDEX(data!B$3:B$16128,SMALL(IF(data!$D$3:$D$16128='Свобода'!$B$1,ROW(data!$A$3:$A$16128)-ROW($A$3)+1),ROWS(C$4:C65))),"")</f>
        <v>-4780.09</v>
      </c>
      <c r="D65" s="7" t="str">
        <f t="array" ref="D65">IF(ROWS(D$4:D65)&lt;=$B$2,INDEX(data!E$3:E$16128,SMALL(IF(data!$D$3:$D$16128='Свобода'!$B$1,ROW(data!$A$3:$A$16128)-ROW($A$3)+1),ROWS(D$4:D65))),"")</f>
        <v/>
      </c>
      <c r="E65" s="11"/>
      <c r="F65" s="11"/>
      <c r="G65" s="11"/>
      <c r="H65" s="14"/>
      <c r="I65" s="14"/>
      <c r="J65" s="14"/>
      <c r="K65" s="14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33">
        <f t="array" ref="A66">IF(ROWS(A$4:A66)&lt;=$B$2,INDEX(data!C$3:C$16128,SMALL(IF(data!$D$3:$D$16128='Свобода'!$B$1,ROW(data!$A$3:$A$16128)-ROW($A$3)+1),ROWS(A$4:A66))),"")</f>
        <v>46097</v>
      </c>
      <c r="B66" s="19" t="str">
        <f t="array" ref="B66">IF(ROWS(B$4:B66)&lt;=$B$2,INDEX(data!A$3:A$16128,SMALL(IF(data!$D$3:$D$16128='Свобода'!$B$1,ROW(data!$A$3:$A$16128)-ROW($A$3)+1),ROWS(B$4:B66))),"")</f>
        <v>КАСОВА КНИГА</v>
      </c>
      <c r="C66" s="19">
        <f t="array" ref="C66">IF(ROWS(C$4:C66)&lt;=$B$2,INDEX(data!B$3:B$16128,SMALL(IF(data!$D$3:$D$16128='Свобода'!$B$1,ROW(data!$A$3:$A$16128)-ROW($A$3)+1),ROWS(C$4:C66))),"")</f>
        <v>-1000</v>
      </c>
      <c r="D66" s="7" t="str">
        <f t="array" ref="D66">IF(ROWS(D$4:D66)&lt;=$B$2,INDEX(data!E$3:E$16128,SMALL(IF(data!$D$3:$D$16128='Свобода'!$B$1,ROW(data!$A$3:$A$16128)-ROW($A$3)+1),ROWS(D$4:D66))),"")</f>
        <v/>
      </c>
      <c r="E66" s="11"/>
      <c r="F66" s="11"/>
      <c r="G66" s="11"/>
      <c r="H66" s="14"/>
      <c r="I66" s="14"/>
      <c r="J66" s="14"/>
      <c r="K66" s="1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33">
        <f t="array" ref="A67">IF(ROWS(A$4:A67)&lt;=$B$2,INDEX(data!C$3:C$16128,SMALL(IF(data!$D$3:$D$16128='Свобода'!$B$1,ROW(data!$A$3:$A$16128)-ROW($A$3)+1),ROWS(A$4:A67))),"")</f>
        <v>46097</v>
      </c>
      <c r="B67" s="19" t="str">
        <f t="array" ref="B67">IF(ROWS(B$4:B67)&lt;=$B$2,INDEX(data!A$3:A$16128,SMALL(IF(data!$D$3:$D$16128='Свобода'!$B$1,ROW(data!$A$3:$A$16128)-ROW($A$3)+1),ROWS(B$4:B67))),"")</f>
        <v>ПОС ДСК Бакалия</v>
      </c>
      <c r="C67" s="19">
        <f t="array" ref="C67">IF(ROWS(C$4:C67)&lt;=$B$2,INDEX(data!B$3:B$16128,SMALL(IF(data!$D$3:$D$16128='Свобода'!$B$1,ROW(data!$A$3:$A$16128)-ROW($A$3)+1),ROWS(C$4:C67))),"")</f>
        <v>-1177.18</v>
      </c>
      <c r="D67" s="7" t="str">
        <f t="array" ref="D67">IF(ROWS(D$4:D67)&lt;=$B$2,INDEX(data!E$3:E$16128,SMALL(IF(data!$D$3:$D$16128='Свобода'!$B$1,ROW(data!$A$3:$A$16128)-ROW($A$3)+1),ROWS(D$4:D67))),"")</f>
        <v/>
      </c>
      <c r="E67" s="11"/>
      <c r="F67" s="11"/>
      <c r="G67" s="11"/>
      <c r="H67" s="14"/>
      <c r="I67" s="14"/>
      <c r="J67" s="14"/>
      <c r="K67" s="1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33">
        <f t="array" ref="A68">IF(ROWS(A$4:A68)&lt;=$B$2,INDEX(data!C$3:C$16128,SMALL(IF(data!$D$3:$D$16128='Свобода'!$B$1,ROW(data!$A$3:$A$16128)-ROW($A$3)+1),ROWS(A$4:A68))),"")</f>
        <v>46097</v>
      </c>
      <c r="B68" s="19" t="str">
        <f t="array" ref="B68">IF(ROWS(B$4:B68)&lt;=$B$2,INDEX(data!A$3:A$16128,SMALL(IF(data!$D$3:$D$16128='Свобода'!$B$1,ROW(data!$A$3:$A$16128)-ROW($A$3)+1),ROWS(B$4:B68))),"")</f>
        <v>каса ФИКТИВНА</v>
      </c>
      <c r="C68" s="19">
        <f t="array" ref="C68">IF(ROWS(C$4:C68)&lt;=$B$2,INDEX(data!B$3:B$16128,SMALL(IF(data!$D$3:$D$16128='Свобода'!$B$1,ROW(data!$A$3:$A$16128)-ROW($A$3)+1),ROWS(C$4:C68))),"")</f>
        <v>-350</v>
      </c>
      <c r="D68" s="7" t="str">
        <f t="array" ref="D68">IF(ROWS(D$4:D68)&lt;=$B$2,INDEX(data!E$3:E$16128,SMALL(IF(data!$D$3:$D$16128='Свобода'!$B$1,ROW(data!$A$3:$A$16128)-ROW($A$3)+1),ROWS(D$4:D68))),"")</f>
        <v>Цеци от премиите</v>
      </c>
      <c r="E68" s="11"/>
      <c r="F68" s="11"/>
      <c r="G68" s="11"/>
      <c r="H68" s="14"/>
      <c r="I68" s="14"/>
      <c r="J68" s="14"/>
      <c r="K68" s="14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33">
        <f t="array" ref="A69">IF(ROWS(A$4:A69)&lt;=$B$2,INDEX(data!C$3:C$16128,SMALL(IF(data!$D$3:$D$16128='Свобода'!$B$1,ROW(data!$A$3:$A$16128)-ROW($A$3)+1),ROWS(A$4:A69))),"")</f>
        <v>46099</v>
      </c>
      <c r="B69" s="19" t="str">
        <f t="array" ref="B69">IF(ROWS(B$4:B69)&lt;=$B$2,INDEX(data!A$3:A$16128,SMALL(IF(data!$D$3:$D$16128='Свобода'!$B$1,ROW(data!$A$3:$A$16128)-ROW($A$3)+1),ROWS(B$4:B69))),"")</f>
        <v>КАСОВА КНИГА</v>
      </c>
      <c r="C69" s="19">
        <f t="array" ref="C69">IF(ROWS(C$4:C69)&lt;=$B$2,INDEX(data!B$3:B$16128,SMALL(IF(data!$D$3:$D$16128='Свобода'!$B$1,ROW(data!$A$3:$A$16128)-ROW($A$3)+1),ROWS(C$4:C69))),"")</f>
        <v>-500</v>
      </c>
      <c r="D69" s="7" t="str">
        <f t="array" ref="D69">IF(ROWS(D$4:D69)&lt;=$B$2,INDEX(data!E$3:E$16128,SMALL(IF(data!$D$3:$D$16128='Свобода'!$B$1,ROW(data!$A$3:$A$16128)-ROW($A$3)+1),ROWS(D$4:D69))),"")</f>
        <v/>
      </c>
      <c r="E69" s="11"/>
      <c r="F69" s="11"/>
      <c r="G69" s="11"/>
      <c r="H69" s="14"/>
      <c r="I69" s="14"/>
      <c r="J69" s="14"/>
      <c r="K69" s="1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33">
        <f t="array" ref="A70">IF(ROWS(A$4:A70)&lt;=$B$2,INDEX(data!C$3:C$16128,SMALL(IF(data!$D$3:$D$16128='Свобода'!$B$1,ROW(data!$A$3:$A$16128)-ROW($A$3)+1),ROWS(A$4:A70))),"")</f>
        <v>46101</v>
      </c>
      <c r="B70" s="19" t="str">
        <f t="array" ref="B70">IF(ROWS(B$4:B70)&lt;=$B$2,INDEX(data!A$3:A$16128,SMALL(IF(data!$D$3:$D$16128='Свобода'!$B$1,ROW(data!$A$3:$A$16128)-ROW($A$3)+1),ROWS(B$4:B70))),"")</f>
        <v>Каса ВАУЧЕРИ</v>
      </c>
      <c r="C70" s="19">
        <f t="array" ref="C70">IF(ROWS(C$4:C70)&lt;=$B$2,INDEX(data!B$3:B$16128,SMALL(IF(data!$D$3:$D$16128='Свобода'!$B$1,ROW(data!$A$3:$A$16128)-ROW($A$3)+1),ROWS(C$4:C70))),"")</f>
        <v>-124</v>
      </c>
      <c r="D70" s="7" t="str">
        <f t="array" ref="D70">IF(ROWS(D$4:D70)&lt;=$B$2,INDEX(data!E$3:E$16128,SMALL(IF(data!$D$3:$D$16128='Свобода'!$B$1,ROW(data!$A$3:$A$16128)-ROW($A$3)+1),ROWS(D$4:D70))),"")</f>
        <v>от 02-08.03</v>
      </c>
      <c r="E70" s="11"/>
      <c r="F70" s="11"/>
      <c r="G70" s="11"/>
      <c r="H70" s="14"/>
      <c r="I70" s="14"/>
      <c r="J70" s="14"/>
      <c r="K70" s="1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33">
        <f t="array" ref="A71">IF(ROWS(A$4:A71)&lt;=$B$2,INDEX(data!C$3:C$16128,SMALL(IF(data!$D$3:$D$16128='Свобода'!$B$1,ROW(data!$A$3:$A$16128)-ROW($A$3)+1),ROWS(A$4:A71))),"")</f>
        <v>46101</v>
      </c>
      <c r="B71" s="19" t="str">
        <f t="array" ref="B71">IF(ROWS(B$4:B71)&lt;=$B$2,INDEX(data!A$3:A$16128,SMALL(IF(data!$D$3:$D$16128='Свобода'!$B$1,ROW(data!$A$3:$A$16128)-ROW($A$3)+1),ROWS(B$4:B71))),"")</f>
        <v>Каса ВАУЧЕРИ</v>
      </c>
      <c r="C71" s="19">
        <f t="array" ref="C71">IF(ROWS(C$4:C71)&lt;=$B$2,INDEX(data!B$3:B$16128,SMALL(IF(data!$D$3:$D$16128='Свобода'!$B$1,ROW(data!$A$3:$A$16128)-ROW($A$3)+1),ROWS(C$4:C71))),"")</f>
        <v>-35.24</v>
      </c>
      <c r="D71" s="7" t="str">
        <f t="array" ref="D71">IF(ROWS(D$4:D71)&lt;=$B$2,INDEX(data!E$3:E$16128,SMALL(IF(data!$D$3:$D$16128='Свобода'!$B$1,ROW(data!$A$3:$A$16128)-ROW($A$3)+1),ROWS(D$4:D71))),"")</f>
        <v>от 09-15.02</v>
      </c>
      <c r="E71" s="11"/>
      <c r="F71" s="11"/>
      <c r="G71" s="11"/>
      <c r="H71" s="14"/>
      <c r="I71" s="14"/>
      <c r="J71" s="14"/>
      <c r="K71" s="1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33">
        <f t="array" ref="A72">IF(ROWS(A$4:A72)&lt;=$B$2,INDEX(data!C$3:C$16128,SMALL(IF(data!$D$3:$D$16128='Свобода'!$B$1,ROW(data!$A$3:$A$16128)-ROW($A$3)+1),ROWS(A$4:A72))),"")</f>
        <v>46104</v>
      </c>
      <c r="B72" s="19" t="str">
        <f t="array" ref="B72">IF(ROWS(B$4:B72)&lt;=$B$2,INDEX(data!A$3:A$16128,SMALL(IF(data!$D$3:$D$16128='Свобода'!$B$1,ROW(data!$A$3:$A$16128)-ROW($A$3)+1),ROWS(B$4:B72))),"")</f>
        <v>MYPOS Бакалия</v>
      </c>
      <c r="C72" s="19">
        <f t="array" ref="C72">IF(ROWS(C$4:C72)&lt;=$B$2,INDEX(data!B$3:B$16128,SMALL(IF(data!$D$3:$D$16128='Свобода'!$B$1,ROW(data!$A$3:$A$16128)-ROW($A$3)+1),ROWS(C$4:C72))),"")</f>
        <v>-5345.87</v>
      </c>
      <c r="D72" s="7" t="str">
        <f t="array" ref="D72">IF(ROWS(D$4:D72)&lt;=$B$2,INDEX(data!E$3:E$16128,SMALL(IF(data!$D$3:$D$16128='Свобода'!$B$1,ROW(data!$A$3:$A$16128)-ROW($A$3)+1),ROWS(D$4:D72))),"")</f>
        <v/>
      </c>
      <c r="E72" s="11"/>
      <c r="F72" s="11"/>
      <c r="G72" s="11"/>
      <c r="H72" s="14"/>
      <c r="I72" s="14"/>
      <c r="J72" s="14"/>
      <c r="K72" s="1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33">
        <f t="array" ref="A73">IF(ROWS(A$4:A73)&lt;=$B$2,INDEX(data!C$3:C$16128,SMALL(IF(data!$D$3:$D$16128='Свобода'!$B$1,ROW(data!$A$3:$A$16128)-ROW($A$3)+1),ROWS(A$4:A73))),"")</f>
        <v>46104</v>
      </c>
      <c r="B73" s="19" t="str">
        <f t="array" ref="B73">IF(ROWS(B$4:B73)&lt;=$B$2,INDEX(data!A$3:A$16128,SMALL(IF(data!$D$3:$D$16128='Свобода'!$B$1,ROW(data!$A$3:$A$16128)-ROW($A$3)+1),ROWS(B$4:B73))),"")</f>
        <v>КАСОВА КНИГА</v>
      </c>
      <c r="C73" s="19">
        <f t="array" ref="C73">IF(ROWS(C$4:C73)&lt;=$B$2,INDEX(data!B$3:B$16128,SMALL(IF(data!$D$3:$D$16128='Свобода'!$B$1,ROW(data!$A$3:$A$16128)-ROW($A$3)+1),ROWS(C$4:C73))),"")</f>
        <v>-1000</v>
      </c>
      <c r="D73" s="7" t="str">
        <f t="array" ref="D73">IF(ROWS(D$4:D73)&lt;=$B$2,INDEX(data!E$3:E$16128,SMALL(IF(data!$D$3:$D$16128='Свобода'!$B$1,ROW(data!$A$3:$A$16128)-ROW($A$3)+1),ROWS(D$4:D73))),"")</f>
        <v/>
      </c>
      <c r="E73" s="11"/>
      <c r="F73" s="11"/>
      <c r="G73" s="11"/>
      <c r="H73" s="14"/>
      <c r="I73" s="14"/>
      <c r="J73" s="14"/>
      <c r="K73" s="1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33">
        <f t="array" ref="A74">IF(ROWS(A$4:A74)&lt;=$B$2,INDEX(data!C$3:C$16128,SMALL(IF(data!$D$3:$D$16128='Свобода'!$B$1,ROW(data!$A$3:$A$16128)-ROW($A$3)+1),ROWS(A$4:A74))),"")</f>
        <v>46104</v>
      </c>
      <c r="B74" s="19" t="str">
        <f t="array" ref="B74">IF(ROWS(B$4:B74)&lt;=$B$2,INDEX(data!A$3:A$16128,SMALL(IF(data!$D$3:$D$16128='Свобода'!$B$1,ROW(data!$A$3:$A$16128)-ROW($A$3)+1),ROWS(B$4:B74))),"")</f>
        <v>Каса ВАУЧЕРИ</v>
      </c>
      <c r="C74" s="19">
        <f t="array" ref="C74">IF(ROWS(C$4:C74)&lt;=$B$2,INDEX(data!B$3:B$16128,SMALL(IF(data!$D$3:$D$16128='Свобода'!$B$1,ROW(data!$A$3:$A$16128)-ROW($A$3)+1),ROWS(C$4:C74))),"")</f>
        <v>800</v>
      </c>
      <c r="D74" s="7" t="str">
        <f t="array" ref="D74">IF(ROWS(D$4:D74)&lt;=$B$2,INDEX(data!E$3:E$16128,SMALL(IF(data!$D$3:$D$16128='Свобода'!$B$1,ROW(data!$A$3:$A$16128)-ROW($A$3)+1),ROWS(D$4:D74))),"")</f>
        <v>ваучери персонал</v>
      </c>
      <c r="E74" s="11"/>
      <c r="F74" s="11"/>
      <c r="G74" s="11"/>
      <c r="H74" s="14"/>
      <c r="I74" s="14"/>
      <c r="J74" s="14"/>
      <c r="K74" s="1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33">
        <f t="array" ref="A75">IF(ROWS(A$4:A75)&lt;=$B$2,INDEX(data!C$3:C$16128,SMALL(IF(data!$D$3:$D$16128='Свобода'!$B$1,ROW(data!$A$3:$A$16128)-ROW($A$3)+1),ROWS(A$4:A75))),"")</f>
        <v>46104</v>
      </c>
      <c r="B75" s="19" t="str">
        <f t="array" ref="B75">IF(ROWS(B$4:B75)&lt;=$B$2,INDEX(data!A$3:A$16128,SMALL(IF(data!$D$3:$D$16128='Свобода'!$B$1,ROW(data!$A$3:$A$16128)-ROW($A$3)+1),ROWS(B$4:B75))),"")</f>
        <v>ПОС ДСК Бакалия</v>
      </c>
      <c r="C75" s="19">
        <f t="array" ref="C75">IF(ROWS(C$4:C75)&lt;=$B$2,INDEX(data!B$3:B$16128,SMALL(IF(data!$D$3:$D$16128='Свобода'!$B$1,ROW(data!$A$3:$A$16128)-ROW($A$3)+1),ROWS(C$4:C75))),"")</f>
        <v>-1720.5</v>
      </c>
      <c r="D75" s="7" t="str">
        <f t="array" ref="D75">IF(ROWS(D$4:D75)&lt;=$B$2,INDEX(data!E$3:E$16128,SMALL(IF(data!$D$3:$D$16128='Свобода'!$B$1,ROW(data!$A$3:$A$16128)-ROW($A$3)+1),ROWS(D$4:D75))),"")</f>
        <v/>
      </c>
      <c r="E75" s="11"/>
      <c r="F75" s="11"/>
      <c r="G75" s="11"/>
      <c r="H75" s="14"/>
      <c r="I75" s="14"/>
      <c r="J75" s="14"/>
      <c r="K75" s="1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33">
        <f t="array" ref="A76">IF(ROWS(A$4:A76)&lt;=$B$2,INDEX(data!C$3:C$16128,SMALL(IF(data!$D$3:$D$16128='Свобода'!$B$1,ROW(data!$A$3:$A$16128)-ROW($A$3)+1),ROWS(A$4:A76))),"")</f>
        <v>46106</v>
      </c>
      <c r="B76" s="19" t="str">
        <f t="array" ref="B76">IF(ROWS(B$4:B76)&lt;=$B$2,INDEX(data!A$3:A$16128,SMALL(IF(data!$D$3:$D$16128='Свобода'!$B$1,ROW(data!$A$3:$A$16128)-ROW($A$3)+1),ROWS(B$4:B76))),"")</f>
        <v>КАСОВА КНИГА</v>
      </c>
      <c r="C76" s="19">
        <f t="array" ref="C76">IF(ROWS(C$4:C76)&lt;=$B$2,INDEX(data!B$3:B$16128,SMALL(IF(data!$D$3:$D$16128='Свобода'!$B$1,ROW(data!$A$3:$A$16128)-ROW($A$3)+1),ROWS(C$4:C76))),"")</f>
        <v>-300</v>
      </c>
      <c r="D76" s="7" t="str">
        <f t="array" ref="D76">IF(ROWS(D$4:D76)&lt;=$B$2,INDEX(data!E$3:E$16128,SMALL(IF(data!$D$3:$D$16128='Свобода'!$B$1,ROW(data!$A$3:$A$16128)-ROW($A$3)+1),ROWS(D$4:D76))),"")</f>
        <v/>
      </c>
      <c r="E76" s="11"/>
      <c r="F76" s="11"/>
      <c r="G76" s="11"/>
      <c r="H76" s="14"/>
      <c r="I76" s="14"/>
      <c r="J76" s="14"/>
      <c r="K76" s="1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33">
        <f t="array" ref="A77">IF(ROWS(A$4:A77)&lt;=$B$2,INDEX(data!C$3:C$16128,SMALL(IF(data!$D$3:$D$16128='Свобода'!$B$1,ROW(data!$A$3:$A$16128)-ROW($A$3)+1),ROWS(A$4:A77))),"")</f>
        <v>46111</v>
      </c>
      <c r="B77" s="19" t="str">
        <f t="array" ref="B77">IF(ROWS(B$4:B77)&lt;=$B$2,INDEX(data!A$3:A$16128,SMALL(IF(data!$D$3:$D$16128='Свобода'!$B$1,ROW(data!$A$3:$A$16128)-ROW($A$3)+1),ROWS(B$4:B77))),"")</f>
        <v>MYPOS Бакалия</v>
      </c>
      <c r="C77" s="19">
        <f t="array" ref="C77">IF(ROWS(C$4:C77)&lt;=$B$2,INDEX(data!B$3:B$16128,SMALL(IF(data!$D$3:$D$16128='Свобода'!$B$1,ROW(data!$A$3:$A$16128)-ROW($A$3)+1),ROWS(C$4:C77))),"")</f>
        <v>-5762.33</v>
      </c>
      <c r="D77" s="7" t="str">
        <f t="array" ref="D77">IF(ROWS(D$4:D77)&lt;=$B$2,INDEX(data!E$3:E$16128,SMALL(IF(data!$D$3:$D$16128='Свобода'!$B$1,ROW(data!$A$3:$A$16128)-ROW($A$3)+1),ROWS(D$4:D77))),"")</f>
        <v/>
      </c>
      <c r="E77" s="11"/>
      <c r="F77" s="11"/>
      <c r="G77" s="11"/>
      <c r="H77" s="14"/>
      <c r="I77" s="14"/>
      <c r="J77" s="14"/>
      <c r="K77" s="1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33">
        <f t="array" ref="A78">IF(ROWS(A$4:A78)&lt;=$B$2,INDEX(data!C$3:C$16128,SMALL(IF(data!$D$3:$D$16128='Свобода'!$B$1,ROW(data!$A$3:$A$16128)-ROW($A$3)+1),ROWS(A$4:A78))),"")</f>
        <v>46111</v>
      </c>
      <c r="B78" s="19" t="str">
        <f t="array" ref="B78">IF(ROWS(B$4:B78)&lt;=$B$2,INDEX(data!A$3:A$16128,SMALL(IF(data!$D$3:$D$16128='Свобода'!$B$1,ROW(data!$A$3:$A$16128)-ROW($A$3)+1),ROWS(B$4:B78))),"")</f>
        <v>КАСОВА КНИГА</v>
      </c>
      <c r="C78" s="19">
        <f t="array" ref="C78">IF(ROWS(C$4:C78)&lt;=$B$2,INDEX(data!B$3:B$16128,SMALL(IF(data!$D$3:$D$16128='Свобода'!$B$1,ROW(data!$A$3:$A$16128)-ROW($A$3)+1),ROWS(C$4:C78))),"")</f>
        <v>-500</v>
      </c>
      <c r="D78" s="7" t="str">
        <f t="array" ref="D78">IF(ROWS(D$4:D78)&lt;=$B$2,INDEX(data!E$3:E$16128,SMALL(IF(data!$D$3:$D$16128='Свобода'!$B$1,ROW(data!$A$3:$A$16128)-ROW($A$3)+1),ROWS(D$4:D78))),"")</f>
        <v/>
      </c>
      <c r="E78" s="11"/>
      <c r="F78" s="11"/>
      <c r="G78" s="11"/>
      <c r="H78" s="14"/>
      <c r="I78" s="14"/>
      <c r="J78" s="14"/>
      <c r="K78" s="1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33">
        <f t="array" ref="A79">IF(ROWS(A$4:A79)&lt;=$B$2,INDEX(data!C$3:C$16128,SMALL(IF(data!$D$3:$D$16128='Свобода'!$B$1,ROW(data!$A$3:$A$16128)-ROW($A$3)+1),ROWS(A$4:A79))),"")</f>
        <v>46112</v>
      </c>
      <c r="B79" s="19" t="str">
        <f t="array" ref="B79">IF(ROWS(B$4:B79)&lt;=$B$2,INDEX(data!A$3:A$16128,SMALL(IF(data!$D$3:$D$16128='Свобода'!$B$1,ROW(data!$A$3:$A$16128)-ROW($A$3)+1),ROWS(B$4:B79))),"")</f>
        <v>ЗАЕМ</v>
      </c>
      <c r="C79" s="19">
        <f t="array" ref="C79">IF(ROWS(C$4:C79)&lt;=$B$2,INDEX(data!B$3:B$16128,SMALL(IF(data!$D$3:$D$16128='Свобода'!$B$1,ROW(data!$A$3:$A$16128)-ROW($A$3)+1),ROWS(C$4:C79))),"")</f>
        <v>32653.27</v>
      </c>
      <c r="D79" s="7" t="str">
        <f t="array" ref="D79">IF(ROWS(D$4:D79)&lt;=$B$2,INDEX(data!E$3:E$16128,SMALL(IF(data!$D$3:$D$16128='Свобода'!$B$1,ROW(data!$A$3:$A$16128)-ROW($A$3)+1),ROWS(D$4:D79))),"")</f>
        <v>Салдо склад + вътр</v>
      </c>
      <c r="E79" s="11"/>
      <c r="F79" s="11"/>
      <c r="G79" s="11"/>
      <c r="H79" s="14"/>
      <c r="I79" s="14"/>
      <c r="J79" s="14"/>
      <c r="K79" s="1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33">
        <f t="array" ref="A80">IF(ROWS(A$4:A80)&lt;=$B$2,INDEX(data!C$3:C$16128,SMALL(IF(data!$D$3:$D$16128='Свобода'!$B$1,ROW(data!$A$3:$A$16128)-ROW($A$3)+1),ROWS(A$4:A80))),"")</f>
        <v>46113</v>
      </c>
      <c r="B80" s="19" t="str">
        <f t="array" ref="B80">IF(ROWS(B$4:B80)&lt;=$B$2,INDEX(data!A$3:A$16128,SMALL(IF(data!$D$3:$D$16128='Свобода'!$B$1,ROW(data!$A$3:$A$16128)-ROW($A$3)+1),ROWS(B$4:B80))),"")</f>
        <v>КАСОВА КНИГА</v>
      </c>
      <c r="C80" s="19">
        <f t="array" ref="C80">IF(ROWS(C$4:C80)&lt;=$B$2,INDEX(data!B$3:B$16128,SMALL(IF(data!$D$3:$D$16128='Свобода'!$B$1,ROW(data!$A$3:$A$16128)-ROW($A$3)+1),ROWS(C$4:C80))),"")</f>
        <v>-500</v>
      </c>
      <c r="D80" s="7" t="str">
        <f t="array" ref="D80">IF(ROWS(D$4:D80)&lt;=$B$2,INDEX(data!E$3:E$16128,SMALL(IF(data!$D$3:$D$16128='Свобода'!$B$1,ROW(data!$A$3:$A$16128)-ROW($A$3)+1),ROWS(D$4:D80))),"")</f>
        <v/>
      </c>
      <c r="E80" s="11"/>
      <c r="F80" s="11"/>
      <c r="G80" s="11"/>
      <c r="H80" s="14"/>
      <c r="I80" s="14"/>
      <c r="J80" s="14"/>
      <c r="K80" s="1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33">
        <f t="array" ref="A81">IF(ROWS(A$4:A81)&lt;=$B$2,INDEX(data!C$3:C$16128,SMALL(IF(data!$D$3:$D$16128='Свобода'!$B$1,ROW(data!$A$3:$A$16128)-ROW($A$3)+1),ROWS(A$4:A81))),"")</f>
        <v>46115</v>
      </c>
      <c r="B81" s="19" t="str">
        <f t="array" ref="B81">IF(ROWS(B$4:B81)&lt;=$B$2,INDEX(data!A$3:A$16128,SMALL(IF(data!$D$3:$D$16128='Свобода'!$B$1,ROW(data!$A$3:$A$16128)-ROW($A$3)+1),ROWS(B$4:B81))),"")</f>
        <v>Каса ВАУЧЕРИ</v>
      </c>
      <c r="C81" s="19">
        <f t="array" ref="C81">IF(ROWS(C$4:C81)&lt;=$B$2,INDEX(data!B$3:B$16128,SMALL(IF(data!$D$3:$D$16128='Свобода'!$B$1,ROW(data!$A$3:$A$16128)-ROW($A$3)+1),ROWS(C$4:C81))),"")</f>
        <v>-202.5</v>
      </c>
      <c r="D81" s="7" t="str">
        <f t="array" ref="D81">IF(ROWS(D$4:D81)&lt;=$B$2,INDEX(data!E$3:E$16128,SMALL(IF(data!$D$3:$D$16128='Свобода'!$B$1,ROW(data!$A$3:$A$16128)-ROW($A$3)+1),ROWS(D$4:D81))),"")</f>
        <v>09-15.03</v>
      </c>
      <c r="E81" s="11"/>
      <c r="F81" s="11"/>
      <c r="G81" s="11"/>
      <c r="H81" s="14"/>
      <c r="I81" s="14"/>
      <c r="J81" s="14"/>
      <c r="K81" s="1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33">
        <f t="array" ref="A82">IF(ROWS(A$4:A82)&lt;=$B$2,INDEX(data!C$3:C$16128,SMALL(IF(data!$D$3:$D$16128='Свобода'!$B$1,ROW(data!$A$3:$A$16128)-ROW($A$3)+1),ROWS(A$4:A82))),"")</f>
        <v>46115</v>
      </c>
      <c r="B82" s="19" t="str">
        <f t="array" ref="B82">IF(ROWS(B$4:B82)&lt;=$B$2,INDEX(data!A$3:A$16128,SMALL(IF(data!$D$3:$D$16128='Свобода'!$B$1,ROW(data!$A$3:$A$16128)-ROW($A$3)+1),ROWS(B$4:B82))),"")</f>
        <v>Каса ВАУЧЕРИ</v>
      </c>
      <c r="C82" s="19">
        <f t="array" ref="C82">IF(ROWS(C$4:C82)&lt;=$B$2,INDEX(data!B$3:B$16128,SMALL(IF(data!$D$3:$D$16128='Свобода'!$B$1,ROW(data!$A$3:$A$16128)-ROW($A$3)+1),ROWS(C$4:C82))),"")</f>
        <v>-291</v>
      </c>
      <c r="D82" s="7" t="str">
        <f t="array" ref="D82">IF(ROWS(D$4:D82)&lt;=$B$2,INDEX(data!E$3:E$16128,SMALL(IF(data!$D$3:$D$16128='Свобода'!$B$1,ROW(data!$A$3:$A$16128)-ROW($A$3)+1),ROWS(D$4:D82))),"")</f>
        <v>16-22.03</v>
      </c>
      <c r="E82" s="11"/>
      <c r="F82" s="11"/>
      <c r="G82" s="11"/>
      <c r="H82" s="14"/>
      <c r="I82" s="14"/>
      <c r="J82" s="14"/>
      <c r="K82" s="1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33">
        <f t="array" ref="A83">IF(ROWS(A$4:A83)&lt;=$B$2,INDEX(data!C$3:C$16128,SMALL(IF(data!$D$3:$D$16128='Свобода'!$B$1,ROW(data!$A$3:$A$16128)-ROW($A$3)+1),ROWS(A$4:A83))),"")</f>
        <v>46118</v>
      </c>
      <c r="B83" s="19" t="str">
        <f t="array" ref="B83">IF(ROWS(B$4:B83)&lt;=$B$2,INDEX(data!A$3:A$16128,SMALL(IF(data!$D$3:$D$16128='Свобода'!$B$1,ROW(data!$A$3:$A$16128)-ROW($A$3)+1),ROWS(B$4:B83))),"")</f>
        <v>MYPOS Бакалия</v>
      </c>
      <c r="C83" s="19">
        <f t="array" ref="C83">IF(ROWS(C$4:C83)&lt;=$B$2,INDEX(data!B$3:B$16128,SMALL(IF(data!$D$3:$D$16128='Свобода'!$B$1,ROW(data!$A$3:$A$16128)-ROW($A$3)+1),ROWS(C$4:C83))),"")</f>
        <v>-4955.33</v>
      </c>
      <c r="D83" s="7" t="str">
        <f t="array" ref="D83">IF(ROWS(D$4:D83)&lt;=$B$2,INDEX(data!E$3:E$16128,SMALL(IF(data!$D$3:$D$16128='Свобода'!$B$1,ROW(data!$A$3:$A$16128)-ROW($A$3)+1),ROWS(D$4:D83))),"")</f>
        <v/>
      </c>
      <c r="E83" s="11"/>
      <c r="F83" s="11"/>
      <c r="G83" s="11"/>
      <c r="H83" s="14"/>
      <c r="I83" s="14"/>
      <c r="J83" s="14"/>
      <c r="K83" s="1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33">
        <f t="array" ref="A84">IF(ROWS(A$4:A84)&lt;=$B$2,INDEX(data!C$3:C$16128,SMALL(IF(data!$D$3:$D$16128='Свобода'!$B$1,ROW(data!$A$3:$A$16128)-ROW($A$3)+1),ROWS(A$4:A84))),"")</f>
        <v>46118</v>
      </c>
      <c r="B84" s="19" t="str">
        <f t="array" ref="B84">IF(ROWS(B$4:B84)&lt;=$B$2,INDEX(data!A$3:A$16128,SMALL(IF(data!$D$3:$D$16128='Свобода'!$B$1,ROW(data!$A$3:$A$16128)-ROW($A$3)+1),ROWS(B$4:B84))),"")</f>
        <v>КАСОВА КНИГА</v>
      </c>
      <c r="C84" s="19">
        <f t="array" ref="C84">IF(ROWS(C$4:C84)&lt;=$B$2,INDEX(data!B$3:B$16128,SMALL(IF(data!$D$3:$D$16128='Свобода'!$B$1,ROW(data!$A$3:$A$16128)-ROW($A$3)+1),ROWS(C$4:C84))),"")</f>
        <v>-1000</v>
      </c>
      <c r="D84" s="7" t="str">
        <f t="array" ref="D84">IF(ROWS(D$4:D84)&lt;=$B$2,INDEX(data!E$3:E$16128,SMALL(IF(data!$D$3:$D$16128='Свобода'!$B$1,ROW(data!$A$3:$A$16128)-ROW($A$3)+1),ROWS(D$4:D84))),"")</f>
        <v/>
      </c>
      <c r="E84" s="11"/>
      <c r="F84" s="11"/>
      <c r="G84" s="11"/>
      <c r="H84" s="14"/>
      <c r="I84" s="14"/>
      <c r="J84" s="14"/>
      <c r="K84" s="1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33">
        <f t="array" ref="A85">IF(ROWS(A$4:A85)&lt;=$B$2,INDEX(data!C$3:C$16128,SMALL(IF(data!$D$3:$D$16128='Свобода'!$B$1,ROW(data!$A$3:$A$16128)-ROW($A$3)+1),ROWS(A$4:A85))),"")</f>
        <v>46118</v>
      </c>
      <c r="B85" s="19" t="str">
        <f t="array" ref="B85">IF(ROWS(B$4:B85)&lt;=$B$2,INDEX(data!A$3:A$16128,SMALL(IF(data!$D$3:$D$16128='Свобода'!$B$1,ROW(data!$A$3:$A$16128)-ROW($A$3)+1),ROWS(B$4:B85))),"")</f>
        <v>ПОС ДСК Бакалия</v>
      </c>
      <c r="C85" s="19">
        <f t="array" ref="C85">IF(ROWS(C$4:C85)&lt;=$B$2,INDEX(data!B$3:B$16128,SMALL(IF(data!$D$3:$D$16128='Свобода'!$B$1,ROW(data!$A$3:$A$16128)-ROW($A$3)+1),ROWS(C$4:C85))),"")</f>
        <v>-1674.52</v>
      </c>
      <c r="D85" s="7" t="str">
        <f t="array" ref="D85">IF(ROWS(D$4:D85)&lt;=$B$2,INDEX(data!E$3:E$16128,SMALL(IF(data!$D$3:$D$16128='Свобода'!$B$1,ROW(data!$A$3:$A$16128)-ROW($A$3)+1),ROWS(D$4:D85))),"")</f>
        <v/>
      </c>
      <c r="E85" s="11"/>
      <c r="F85" s="11"/>
      <c r="G85" s="11"/>
      <c r="H85" s="14"/>
      <c r="I85" s="14"/>
      <c r="J85" s="14"/>
      <c r="K85" s="1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33">
        <f t="array" ref="A86">IF(ROWS(A$4:A86)&lt;=$B$2,INDEX(data!C$3:C$16128,SMALL(IF(data!$D$3:$D$16128='Свобода'!$B$1,ROW(data!$A$3:$A$16128)-ROW($A$3)+1),ROWS(A$4:A86))),"")</f>
        <v>46118</v>
      </c>
      <c r="B86" s="19" t="str">
        <f t="array" ref="B86">IF(ROWS(B$4:B86)&lt;=$B$2,INDEX(data!A$3:A$16128,SMALL(IF(data!$D$3:$D$16128='Свобода'!$B$1,ROW(data!$A$3:$A$16128)-ROW($A$3)+1),ROWS(B$4:B86))),"")</f>
        <v>ПОС ДСК Бакалия</v>
      </c>
      <c r="C86" s="19">
        <f t="array" ref="C86">IF(ROWS(C$4:C86)&lt;=$B$2,INDEX(data!B$3:B$16128,SMALL(IF(data!$D$3:$D$16128='Свобода'!$B$1,ROW(data!$A$3:$A$16128)-ROW($A$3)+1),ROWS(C$4:C86))),"")</f>
        <v>-1211.55</v>
      </c>
      <c r="D86" s="7" t="str">
        <f t="array" ref="D86">IF(ROWS(D$4:D86)&lt;=$B$2,INDEX(data!E$3:E$16128,SMALL(IF(data!$D$3:$D$16128='Свобода'!$B$1,ROW(data!$A$3:$A$16128)-ROW($A$3)+1),ROWS(D$4:D86))),"")</f>
        <v>30,03-05,04</v>
      </c>
      <c r="E86" s="11"/>
      <c r="F86" s="11"/>
      <c r="G86" s="11"/>
      <c r="H86" s="14"/>
      <c r="I86" s="14"/>
      <c r="J86" s="14"/>
      <c r="K86" s="1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33">
        <f t="array" ref="A87">IF(ROWS(A$4:A87)&lt;=$B$2,INDEX(data!C$3:C$16128,SMALL(IF(data!$D$3:$D$16128='Свобода'!$B$1,ROW(data!$A$3:$A$16128)-ROW($A$3)+1),ROWS(A$4:A87))),"")</f>
        <v>46122</v>
      </c>
      <c r="B87" s="19" t="str">
        <f t="array" ref="B87">IF(ROWS(B$4:B87)&lt;=$B$2,INDEX(data!A$3:A$16128,SMALL(IF(data!$D$3:$D$16128='Свобода'!$B$1,ROW(data!$A$3:$A$16128)-ROW($A$3)+1),ROWS(B$4:B87))),"")</f>
        <v>каса ФИКТИВНА</v>
      </c>
      <c r="C87" s="19">
        <f t="array" ref="C87">IF(ROWS(C$4:C87)&lt;=$B$2,INDEX(data!B$3:B$16128,SMALL(IF(data!$D$3:$D$16128='Свобода'!$B$1,ROW(data!$A$3:$A$16128)-ROW($A$3)+1),ROWS(C$4:C87))),"")</f>
        <v>-9</v>
      </c>
      <c r="D87" s="7" t="str">
        <f t="array" ref="D87">IF(ROWS(D$4:D87)&lt;=$B$2,INDEX(data!E$3:E$16128,SMALL(IF(data!$D$3:$D$16128='Свобода'!$B$1,ROW(data!$A$3:$A$16128)-ROW($A$3)+1),ROWS(D$4:D87))),"")</f>
        <v>пазар Тихомир</v>
      </c>
      <c r="E87" s="11"/>
      <c r="F87" s="11"/>
      <c r="G87" s="11"/>
      <c r="H87" s="14"/>
      <c r="I87" s="14"/>
      <c r="J87" s="14"/>
      <c r="K87" s="14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33">
        <f t="array" ref="A88">IF(ROWS(A$4:A88)&lt;=$B$2,INDEX(data!C$3:C$16128,SMALL(IF(data!$D$3:$D$16128='Свобода'!$B$1,ROW(data!$A$3:$A$16128)-ROW($A$3)+1),ROWS(A$4:A88))),"")</f>
        <v>46126</v>
      </c>
      <c r="B88" s="19" t="str">
        <f t="array" ref="B88">IF(ROWS(B$4:B88)&lt;=$B$2,INDEX(data!A$3:A$16128,SMALL(IF(data!$D$3:$D$16128='Свобода'!$B$1,ROW(data!$A$3:$A$16128)-ROW($A$3)+1),ROWS(B$4:B88))),"")</f>
        <v>MYPOS Бакалия</v>
      </c>
      <c r="C88" s="19">
        <f t="array" ref="C88">IF(ROWS(C$4:C88)&lt;=$B$2,INDEX(data!B$3:B$16128,SMALL(IF(data!$D$3:$D$16128='Свобода'!$B$1,ROW(data!$A$3:$A$16128)-ROW($A$3)+1),ROWS(C$4:C88))),"")</f>
        <v>-4857.98</v>
      </c>
      <c r="D88" s="7" t="str">
        <f t="array" ref="D88">IF(ROWS(D$4:D88)&lt;=$B$2,INDEX(data!E$3:E$16128,SMALL(IF(data!$D$3:$D$16128='Свобода'!$B$1,ROW(data!$A$3:$A$16128)-ROW($A$3)+1),ROWS(D$4:D88))),"")</f>
        <v/>
      </c>
      <c r="E88" s="11"/>
      <c r="F88" s="11"/>
      <c r="G88" s="11"/>
      <c r="H88" s="14"/>
      <c r="I88" s="14"/>
      <c r="J88" s="14"/>
      <c r="K88" s="14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33">
        <f t="array" ref="A89">IF(ROWS(A$4:A89)&lt;=$B$2,INDEX(data!C$3:C$16128,SMALL(IF(data!$D$3:$D$16128='Свобода'!$B$1,ROW(data!$A$3:$A$16128)-ROW($A$3)+1),ROWS(A$4:A89))),"")</f>
        <v>46126</v>
      </c>
      <c r="B89" s="19" t="str">
        <f t="array" ref="B89">IF(ROWS(B$4:B89)&lt;=$B$2,INDEX(data!A$3:A$16128,SMALL(IF(data!$D$3:$D$16128='Свобода'!$B$1,ROW(data!$A$3:$A$16128)-ROW($A$3)+1),ROWS(B$4:B89))),"")</f>
        <v>КАСОВА КНИГА</v>
      </c>
      <c r="C89" s="19">
        <f t="array" ref="C89">IF(ROWS(C$4:C89)&lt;=$B$2,INDEX(data!B$3:B$16128,SMALL(IF(data!$D$3:$D$16128='Свобода'!$B$1,ROW(data!$A$3:$A$16128)-ROW($A$3)+1),ROWS(C$4:C89))),"")</f>
        <v>-1000</v>
      </c>
      <c r="D89" s="7" t="str">
        <f t="array" ref="D89">IF(ROWS(D$4:D89)&lt;=$B$2,INDEX(data!E$3:E$16128,SMALL(IF(data!$D$3:$D$16128='Свобода'!$B$1,ROW(data!$A$3:$A$16128)-ROW($A$3)+1),ROWS(D$4:D89))),"")</f>
        <v/>
      </c>
      <c r="E89" s="11"/>
      <c r="F89" s="11"/>
      <c r="G89" s="11"/>
      <c r="H89" s="14"/>
      <c r="I89" s="14"/>
      <c r="J89" s="14"/>
      <c r="K89" s="14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33">
        <f t="array" ref="A90">IF(ROWS(A$4:A90)&lt;=$B$2,INDEX(data!C$3:C$16128,SMALL(IF(data!$D$3:$D$16128='Свобода'!$B$1,ROW(data!$A$3:$A$16128)-ROW($A$3)+1),ROWS(A$4:A90))),"")</f>
        <v>46126</v>
      </c>
      <c r="B90" s="19" t="str">
        <f t="array" ref="B90">IF(ROWS(B$4:B90)&lt;=$B$2,INDEX(data!A$3:A$16128,SMALL(IF(data!$D$3:$D$16128='Свобода'!$B$1,ROW(data!$A$3:$A$16128)-ROW($A$3)+1),ROWS(B$4:B90))),"")</f>
        <v>ПОС ДСК Бакалия</v>
      </c>
      <c r="C90" s="19">
        <f t="array" ref="C90">IF(ROWS(C$4:C90)&lt;=$B$2,INDEX(data!B$3:B$16128,SMALL(IF(data!$D$3:$D$16128='Свобода'!$B$1,ROW(data!$A$3:$A$16128)-ROW($A$3)+1),ROWS(C$4:C90))),"")</f>
        <v>-1833.94</v>
      </c>
      <c r="D90" s="7" t="str">
        <f t="array" ref="D90">IF(ROWS(D$4:D90)&lt;=$B$2,INDEX(data!E$3:E$16128,SMALL(IF(data!$D$3:$D$16128='Свобода'!$B$1,ROW(data!$A$3:$A$16128)-ROW($A$3)+1),ROWS(D$4:D90))),"")</f>
        <v/>
      </c>
      <c r="E90" s="11"/>
      <c r="F90" s="11"/>
      <c r="G90" s="11"/>
      <c r="H90" s="14"/>
      <c r="I90" s="14"/>
      <c r="J90" s="14"/>
      <c r="K90" s="14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33">
        <f t="array" ref="A91">IF(ROWS(A$4:A91)&lt;=$B$2,INDEX(data!C$3:C$16128,SMALL(IF(data!$D$3:$D$16128='Свобода'!$B$1,ROW(data!$A$3:$A$16128)-ROW($A$3)+1),ROWS(A$4:A91))),"")</f>
        <v>46126</v>
      </c>
      <c r="B91" s="19" t="str">
        <f t="array" ref="B91">IF(ROWS(B$4:B91)&lt;=$B$2,INDEX(data!A$3:A$16128,SMALL(IF(data!$D$3:$D$16128='Свобода'!$B$1,ROW(data!$A$3:$A$16128)-ROW($A$3)+1),ROWS(B$4:B91))),"")</f>
        <v>каса ФИКТИВНА</v>
      </c>
      <c r="C91" s="19">
        <f t="array" ref="C91">IF(ROWS(C$4:C91)&lt;=$B$2,INDEX(data!B$3:B$16128,SMALL(IF(data!$D$3:$D$16128='Свобода'!$B$1,ROW(data!$A$3:$A$16128)-ROW($A$3)+1),ROWS(C$4:C91))),"")</f>
        <v>-250</v>
      </c>
      <c r="D91" s="7" t="str">
        <f t="array" ref="D91">IF(ROWS(D$4:D91)&lt;=$B$2,INDEX(data!E$3:E$16128,SMALL(IF(data!$D$3:$D$16128='Свобода'!$B$1,ROW(data!$A$3:$A$16128)-ROW($A$3)+1),ROWS(D$4:D91))),"")</f>
        <v>Цеци от премиите</v>
      </c>
      <c r="E91" s="11"/>
      <c r="F91" s="11"/>
      <c r="G91" s="11"/>
      <c r="H91" s="14"/>
      <c r="I91" s="14"/>
      <c r="J91" s="14"/>
      <c r="K91" s="14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33">
        <f t="array" ref="A92">IF(ROWS(A$4:A92)&lt;=$B$2,INDEX(data!C$3:C$16128,SMALL(IF(data!$D$3:$D$16128='Свобода'!$B$1,ROW(data!$A$3:$A$16128)-ROW($A$3)+1),ROWS(A$4:A92))),"")</f>
        <v>46127</v>
      </c>
      <c r="B92" s="19" t="str">
        <f t="array" ref="B92">IF(ROWS(B$4:B92)&lt;=$B$2,INDEX(data!A$3:A$16128,SMALL(IF(data!$D$3:$D$16128='Свобода'!$B$1,ROW(data!$A$3:$A$16128)-ROW($A$3)+1),ROWS(B$4:B92))),"")</f>
        <v>каса ФИКТИВНА</v>
      </c>
      <c r="C92" s="19">
        <f t="array" ref="C92">IF(ROWS(C$4:C92)&lt;=$B$2,INDEX(data!B$3:B$16128,SMALL(IF(data!$D$3:$D$16128='Свобода'!$B$1,ROW(data!$A$3:$A$16128)-ROW($A$3)+1),ROWS(C$4:C92))),"")</f>
        <v>-30</v>
      </c>
      <c r="D92" s="7" t="str">
        <f t="array" ref="D92">IF(ROWS(D$4:D92)&lt;=$B$2,INDEX(data!E$3:E$16128,SMALL(IF(data!$D$3:$D$16128='Свобода'!$B$1,ROW(data!$A$3:$A$16128)-ROW($A$3)+1),ROWS(D$4:D92))),"")</f>
        <v>букет Стаси</v>
      </c>
      <c r="E92" s="11"/>
      <c r="F92" s="11"/>
      <c r="G92" s="11"/>
      <c r="H92" s="14"/>
      <c r="I92" s="14"/>
      <c r="J92" s="14"/>
      <c r="K92" s="14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33">
        <f t="array" ref="A93">IF(ROWS(A$4:A93)&lt;=$B$2,INDEX(data!C$3:C$16128,SMALL(IF(data!$D$3:$D$16128='Свобода'!$B$1,ROW(data!$A$3:$A$16128)-ROW($A$3)+1),ROWS(A$4:A93))),"")</f>
        <v>46132</v>
      </c>
      <c r="B93" s="19" t="str">
        <f t="array" ref="B93">IF(ROWS(B$4:B93)&lt;=$B$2,INDEX(data!A$3:A$16128,SMALL(IF(data!$D$3:$D$16128='Свобода'!$B$1,ROW(data!$A$3:$A$16128)-ROW($A$3)+1),ROWS(B$4:B93))),"")</f>
        <v>КАСОВА КНИГА</v>
      </c>
      <c r="C93" s="19">
        <f t="array" ref="C93">IF(ROWS(C$4:C93)&lt;=$B$2,INDEX(data!B$3:B$16128,SMALL(IF(data!$D$3:$D$16128='Свобода'!$B$1,ROW(data!$A$3:$A$16128)-ROW($A$3)+1),ROWS(C$4:C93))),"")</f>
        <v>-1500</v>
      </c>
      <c r="D93" s="7" t="str">
        <f t="array" ref="D93">IF(ROWS(D$4:D93)&lt;=$B$2,INDEX(data!E$3:E$16128,SMALL(IF(data!$D$3:$D$16128='Свобода'!$B$1,ROW(data!$A$3:$A$16128)-ROW($A$3)+1),ROWS(D$4:D93))),"")</f>
        <v/>
      </c>
      <c r="E93" s="11"/>
      <c r="F93" s="11"/>
      <c r="G93" s="11"/>
      <c r="H93" s="14"/>
      <c r="I93" s="14"/>
      <c r="J93" s="14"/>
      <c r="K93" s="14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33">
        <f t="array" ref="A94">IF(ROWS(A$4:A94)&lt;=$B$2,INDEX(data!C$3:C$16128,SMALL(IF(data!$D$3:$D$16128='Свобода'!$B$1,ROW(data!$A$3:$A$16128)-ROW($A$3)+1),ROWS(A$4:A94))),"")</f>
        <v>46132</v>
      </c>
      <c r="B94" s="19" t="str">
        <f t="array" ref="B94">IF(ROWS(B$4:B94)&lt;=$B$2,INDEX(data!A$3:A$16128,SMALL(IF(data!$D$3:$D$16128='Свобода'!$B$1,ROW(data!$A$3:$A$16128)-ROW($A$3)+1),ROWS(B$4:B94))),"")</f>
        <v>MYPOS Бакалия</v>
      </c>
      <c r="C94" s="19">
        <f t="array" ref="C94">IF(ROWS(C$4:C94)&lt;=$B$2,INDEX(data!B$3:B$16128,SMALL(IF(data!$D$3:$D$16128='Свобода'!$B$1,ROW(data!$A$3:$A$16128)-ROW($A$3)+1),ROWS(C$4:C94))),"")</f>
        <v>-5464.35</v>
      </c>
      <c r="D94" s="7" t="str">
        <f t="array" ref="D94">IF(ROWS(D$4:D94)&lt;=$B$2,INDEX(data!E$3:E$16128,SMALL(IF(data!$D$3:$D$16128='Свобода'!$B$1,ROW(data!$A$3:$A$16128)-ROW($A$3)+1),ROWS(D$4:D94))),"")</f>
        <v/>
      </c>
      <c r="E94" s="11"/>
      <c r="F94" s="11"/>
      <c r="G94" s="11"/>
      <c r="H94" s="14"/>
      <c r="I94" s="14"/>
      <c r="J94" s="14"/>
      <c r="K94" s="14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33">
        <f t="array" ref="A95">IF(ROWS(A$4:A95)&lt;=$B$2,INDEX(data!C$3:C$16128,SMALL(IF(data!$D$3:$D$16128='Свобода'!$B$1,ROW(data!$A$3:$A$16128)-ROW($A$3)+1),ROWS(A$4:A95))),"")</f>
        <v>46134</v>
      </c>
      <c r="B95" s="19" t="str">
        <f t="array" ref="B95">IF(ROWS(B$4:B95)&lt;=$B$2,INDEX(data!A$3:A$16128,SMALL(IF(data!$D$3:$D$16128='Свобода'!$B$1,ROW(data!$A$3:$A$16128)-ROW($A$3)+1),ROWS(B$4:B95))),"")</f>
        <v>КАСОВА КНИГА</v>
      </c>
      <c r="C95" s="19">
        <f t="array" ref="C95">IF(ROWS(C$4:C95)&lt;=$B$2,INDEX(data!B$3:B$16128,SMALL(IF(data!$D$3:$D$16128='Свобода'!$B$1,ROW(data!$A$3:$A$16128)-ROW($A$3)+1),ROWS(C$4:C95))),"")</f>
        <v>-1000</v>
      </c>
      <c r="D95" s="7" t="str">
        <f t="array" ref="D95">IF(ROWS(D$4:D95)&lt;=$B$2,INDEX(data!E$3:E$16128,SMALL(IF(data!$D$3:$D$16128='Свобода'!$B$1,ROW(data!$A$3:$A$16128)-ROW($A$3)+1),ROWS(D$4:D95))),"")</f>
        <v/>
      </c>
      <c r="E95" s="11"/>
      <c r="F95" s="11"/>
      <c r="G95" s="11"/>
      <c r="H95" s="14"/>
      <c r="I95" s="14"/>
      <c r="J95" s="14"/>
      <c r="K95" s="14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33">
        <f t="array" ref="A96">IF(ROWS(A$4:A96)&lt;=$B$2,INDEX(data!C$3:C$16128,SMALL(IF(data!$D$3:$D$16128='Свобода'!$B$1,ROW(data!$A$3:$A$16128)-ROW($A$3)+1),ROWS(A$4:A96))),"")</f>
        <v>46134</v>
      </c>
      <c r="B96" s="19" t="str">
        <f t="array" ref="B96">IF(ROWS(B$4:B96)&lt;=$B$2,INDEX(data!A$3:A$16128,SMALL(IF(data!$D$3:$D$16128='Свобода'!$B$1,ROW(data!$A$3:$A$16128)-ROW($A$3)+1),ROWS(B$4:B96))),"")</f>
        <v>Каса ВАУЧЕРИ</v>
      </c>
      <c r="C96" s="19">
        <f t="array" ref="C96">IF(ROWS(C$4:C96)&lt;=$B$2,INDEX(data!B$3:B$16128,SMALL(IF(data!$D$3:$D$16128='Свобода'!$B$1,ROW(data!$A$3:$A$16128)-ROW($A$3)+1),ROWS(C$4:C96))),"")</f>
        <v>800</v>
      </c>
      <c r="D96" s="7" t="str">
        <f t="array" ref="D96">IF(ROWS(D$4:D96)&lt;=$B$2,INDEX(data!E$3:E$16128,SMALL(IF(data!$D$3:$D$16128='Свобода'!$B$1,ROW(data!$A$3:$A$16128)-ROW($A$3)+1),ROWS(D$4:D96))),"")</f>
        <v>ваучери персонал</v>
      </c>
      <c r="E96" s="11"/>
      <c r="F96" s="11"/>
      <c r="G96" s="11"/>
      <c r="H96" s="14"/>
      <c r="I96" s="14"/>
      <c r="J96" s="14"/>
      <c r="K96" s="14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33">
        <f t="array" ref="A97">IF(ROWS(A$4:A97)&lt;=$B$2,INDEX(data!C$3:C$16128,SMALL(IF(data!$D$3:$D$16128='Свобода'!$B$1,ROW(data!$A$3:$A$16128)-ROW($A$3)+1),ROWS(A$4:A97))),"")</f>
        <v>46135</v>
      </c>
      <c r="B97" s="19" t="str">
        <f t="array" ref="B97">IF(ROWS(B$4:B97)&lt;=$B$2,INDEX(data!A$3:A$16128,SMALL(IF(data!$D$3:$D$16128='Свобода'!$B$1,ROW(data!$A$3:$A$16128)-ROW($A$3)+1),ROWS(B$4:B97))),"")</f>
        <v>Каса ВАУЧЕРИ</v>
      </c>
      <c r="C97" s="19">
        <f t="array" ref="C97">IF(ROWS(C$4:C97)&lt;=$B$2,INDEX(data!B$3:B$16128,SMALL(IF(data!$D$3:$D$16128='Свобода'!$B$1,ROW(data!$A$3:$A$16128)-ROW($A$3)+1),ROWS(C$4:C97))),"")</f>
        <v>-291.45</v>
      </c>
      <c r="D97" s="36">
        <f t="array" ref="D97">IF(ROWS(D$4:D97)&lt;=$B$2,INDEX(data!E$3:E$16128,SMALL(IF(data!$D$3:$D$16128='Свобода'!$B$1,ROW(data!$A$3:$A$16128)-ROW($A$3)+1),ROWS(D$4:D97))),"")</f>
        <v>38327</v>
      </c>
      <c r="E97" s="11"/>
      <c r="F97" s="11"/>
      <c r="G97" s="11"/>
      <c r="H97" s="14"/>
      <c r="I97" s="14"/>
      <c r="J97" s="14"/>
      <c r="K97" s="14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33">
        <f t="array" ref="A98">IF(ROWS(A$4:A98)&lt;=$B$2,INDEX(data!C$3:C$16128,SMALL(IF(data!$D$3:$D$16128='Свобода'!$B$1,ROW(data!$A$3:$A$16128)-ROW($A$3)+1),ROWS(A$4:A98))),"")</f>
        <v>46135</v>
      </c>
      <c r="B98" s="19" t="str">
        <f t="array" ref="B98">IF(ROWS(B$4:B98)&lt;=$B$2,INDEX(data!A$3:A$16128,SMALL(IF(data!$D$3:$D$16128='Свобода'!$B$1,ROW(data!$A$3:$A$16128)-ROW($A$3)+1),ROWS(B$4:B98))),"")</f>
        <v>Каса ВАУЧЕРИ</v>
      </c>
      <c r="C98" s="19">
        <f t="array" ref="C98">IF(ROWS(C$4:C98)&lt;=$B$2,INDEX(data!B$3:B$16128,SMALL(IF(data!$D$3:$D$16128='Свобода'!$B$1,ROW(data!$A$3:$A$16128)-ROW($A$3)+1),ROWS(C$4:C98))),"")</f>
        <v>-381.84</v>
      </c>
      <c r="D98" s="7" t="str">
        <f t="array" ref="D98">IF(ROWS(D$4:D98)&lt;=$B$2,INDEX(data!E$3:E$16128,SMALL(IF(data!$D$3:$D$16128='Свобода'!$B$1,ROW(data!$A$3:$A$16128)-ROW($A$3)+1),ROWS(D$4:D98))),"")</f>
        <v>30.03-05.04</v>
      </c>
      <c r="E98" s="11"/>
      <c r="F98" s="11"/>
      <c r="G98" s="11"/>
      <c r="H98" s="14"/>
      <c r="I98" s="14"/>
      <c r="J98" s="14"/>
      <c r="K98" s="14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33">
        <f t="array" ref="A99">IF(ROWS(A$4:A99)&lt;=$B$2,INDEX(data!C$3:C$16128,SMALL(IF(data!$D$3:$D$16128='Свобода'!$B$1,ROW(data!$A$3:$A$16128)-ROW($A$3)+1),ROWS(A$4:A99))),"")</f>
        <v>46136</v>
      </c>
      <c r="B99" s="19" t="str">
        <f t="array" ref="B99">IF(ROWS(B$4:B99)&lt;=$B$2,INDEX(data!A$3:A$16128,SMALL(IF(data!$D$3:$D$16128='Свобода'!$B$1,ROW(data!$A$3:$A$16128)-ROW($A$3)+1),ROWS(B$4:B99))),"")</f>
        <v>ПОС ДСК Бакалия</v>
      </c>
      <c r="C99" s="19">
        <f t="array" ref="C99">IF(ROWS(C$4:C99)&lt;=$B$2,INDEX(data!B$3:B$16128,SMALL(IF(data!$D$3:$D$16128='Свобода'!$B$1,ROW(data!$A$3:$A$16128)-ROW($A$3)+1),ROWS(C$4:C99))),"")</f>
        <v>-1345.79</v>
      </c>
      <c r="D99" s="7" t="str">
        <f t="array" ref="D99">IF(ROWS(D$4:D99)&lt;=$B$2,INDEX(data!E$3:E$16128,SMALL(IF(data!$D$3:$D$16128='Свобода'!$B$1,ROW(data!$A$3:$A$16128)-ROW($A$3)+1),ROWS(D$4:D99))),"")</f>
        <v/>
      </c>
      <c r="E99" s="11"/>
      <c r="F99" s="11"/>
      <c r="G99" s="11"/>
      <c r="H99" s="14"/>
      <c r="I99" s="14"/>
      <c r="J99" s="14"/>
      <c r="K99" s="14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33">
        <f t="array" ref="A100">IF(ROWS(A$4:A100)&lt;=$B$2,INDEX(data!C$3:C$16128,SMALL(IF(data!$D$3:$D$16128='Свобода'!$B$1,ROW(data!$A$3:$A$16128)-ROW($A$3)+1),ROWS(A$4:A100))),"")</f>
        <v>46139</v>
      </c>
      <c r="B100" s="19" t="str">
        <f t="array" ref="B100">IF(ROWS(B$4:B100)&lt;=$B$2,INDEX(data!A$3:A$16128,SMALL(IF(data!$D$3:$D$16128='Свобода'!$B$1,ROW(data!$A$3:$A$16128)-ROW($A$3)+1),ROWS(B$4:B100))),"")</f>
        <v>MYPOS Бакалия</v>
      </c>
      <c r="C100" s="19">
        <f t="array" ref="C100">IF(ROWS(C$4:C100)&lt;=$B$2,INDEX(data!B$3:B$16128,SMALL(IF(data!$D$3:$D$16128='Свобода'!$B$1,ROW(data!$A$3:$A$16128)-ROW($A$3)+1),ROWS(C$4:C100))),"")</f>
        <v>-5487.42</v>
      </c>
      <c r="D100" s="7" t="str">
        <f t="array" ref="D100">IF(ROWS(D$4:D100)&lt;=$B$2,INDEX(data!E$3:E$16128,SMALL(IF(data!$D$3:$D$16128='Свобода'!$B$1,ROW(data!$A$3:$A$16128)-ROW($A$3)+1),ROWS(D$4:D100))),"")</f>
        <v/>
      </c>
      <c r="E100" s="11"/>
      <c r="F100" s="11"/>
      <c r="G100" s="11"/>
      <c r="H100" s="14"/>
      <c r="I100" s="14"/>
      <c r="J100" s="14"/>
      <c r="K100" s="14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33">
        <f t="array" ref="A101">IF(ROWS(A$4:A101)&lt;=$B$2,INDEX(data!C$3:C$16128,SMALL(IF(data!$D$3:$D$16128='Свобода'!$B$1,ROW(data!$A$3:$A$16128)-ROW($A$3)+1),ROWS(A$4:A101))),"")</f>
        <v>46139</v>
      </c>
      <c r="B101" s="19" t="str">
        <f t="array" ref="B101">IF(ROWS(B$4:B101)&lt;=$B$2,INDEX(data!A$3:A$16128,SMALL(IF(data!$D$3:$D$16128='Свобода'!$B$1,ROW(data!$A$3:$A$16128)-ROW($A$3)+1),ROWS(B$4:B101))),"")</f>
        <v>КАСОВА КНИГА</v>
      </c>
      <c r="C101" s="19">
        <f t="array" ref="C101">IF(ROWS(C$4:C101)&lt;=$B$2,INDEX(data!B$3:B$16128,SMALL(IF(data!$D$3:$D$16128='Свобода'!$B$1,ROW(data!$A$3:$A$16128)-ROW($A$3)+1),ROWS(C$4:C101))),"")</f>
        <v>-1000</v>
      </c>
      <c r="D101" s="7" t="str">
        <f t="array" ref="D101">IF(ROWS(D$4:D101)&lt;=$B$2,INDEX(data!E$3:E$16128,SMALL(IF(data!$D$3:$D$16128='Свобода'!$B$1,ROW(data!$A$3:$A$16128)-ROW($A$3)+1),ROWS(D$4:D101))),"")</f>
        <v/>
      </c>
      <c r="E101" s="11"/>
      <c r="F101" s="11"/>
      <c r="G101" s="11"/>
      <c r="H101" s="14"/>
      <c r="I101" s="14"/>
      <c r="J101" s="14"/>
      <c r="K101" s="14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33">
        <f t="array" ref="A102">IF(ROWS(A$4:A102)&lt;=$B$2,INDEX(data!C$3:C$16128,SMALL(IF(data!$D$3:$D$16128='Свобода'!$B$1,ROW(data!$A$3:$A$16128)-ROW($A$3)+1),ROWS(A$4:A102))),"")</f>
        <v>46143</v>
      </c>
      <c r="B102" s="19" t="str">
        <f t="array" ref="B102">IF(ROWS(B$4:B102)&lt;=$B$2,INDEX(data!A$3:A$16128,SMALL(IF(data!$D$3:$D$16128='Свобода'!$B$1,ROW(data!$A$3:$A$16128)-ROW($A$3)+1),ROWS(B$4:B102))),"")</f>
        <v>КАСОВА КНИГА</v>
      </c>
      <c r="C102" s="19">
        <f t="array" ref="C102">IF(ROWS(C$4:C102)&lt;=$B$2,INDEX(data!B$3:B$16128,SMALL(IF(data!$D$3:$D$16128='Свобода'!$B$1,ROW(data!$A$3:$A$16128)-ROW($A$3)+1),ROWS(C$4:C102))),"")</f>
        <v>-500</v>
      </c>
      <c r="D102" s="7" t="str">
        <f t="array" ref="D102">IF(ROWS(D$4:D102)&lt;=$B$2,INDEX(data!E$3:E$16128,SMALL(IF(data!$D$3:$D$16128='Свобода'!$B$1,ROW(data!$A$3:$A$16128)-ROW($A$3)+1),ROWS(D$4:D102))),"")</f>
        <v/>
      </c>
      <c r="E102" s="11"/>
      <c r="F102" s="11"/>
      <c r="G102" s="11"/>
      <c r="H102" s="14"/>
      <c r="I102" s="14"/>
      <c r="J102" s="14"/>
      <c r="K102" s="14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33">
        <f t="array" ref="A103">IF(ROWS(A$4:A103)&lt;=$B$2,INDEX(data!C$3:C$16128,SMALL(IF(data!$D$3:$D$16128='Свобода'!$B$1,ROW(data!$A$3:$A$16128)-ROW($A$3)+1),ROWS(A$4:A103))),"")</f>
        <v>46146</v>
      </c>
      <c r="B103" s="19" t="str">
        <f t="array" ref="B103">IF(ROWS(B$4:B103)&lt;=$B$2,INDEX(data!A$3:A$16128,SMALL(IF(data!$D$3:$D$16128='Свобода'!$B$1,ROW(data!$A$3:$A$16128)-ROW($A$3)+1),ROWS(B$4:B103))),"")</f>
        <v>MYPOS Бакалия</v>
      </c>
      <c r="C103" s="19">
        <f t="array" ref="C103">IF(ROWS(C$4:C103)&lt;=$B$2,INDEX(data!B$3:B$16128,SMALL(IF(data!$D$3:$D$16128='Свобода'!$B$1,ROW(data!$A$3:$A$16128)-ROW($A$3)+1),ROWS(C$4:C103))),"")</f>
        <v>-5100.04</v>
      </c>
      <c r="D103" s="7" t="str">
        <f t="array" ref="D103">IF(ROWS(D$4:D103)&lt;=$B$2,INDEX(data!E$3:E$16128,SMALL(IF(data!$D$3:$D$16128='Свобода'!$B$1,ROW(data!$A$3:$A$16128)-ROW($A$3)+1),ROWS(D$4:D103))),"")</f>
        <v/>
      </c>
      <c r="E103" s="11"/>
      <c r="F103" s="11"/>
      <c r="G103" s="11"/>
      <c r="H103" s="14"/>
      <c r="I103" s="14"/>
      <c r="J103" s="14"/>
      <c r="K103" s="14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33">
        <f t="array" ref="A104">IF(ROWS(A$4:A104)&lt;=$B$2,INDEX(data!C$3:C$16128,SMALL(IF(data!$D$3:$D$16128='Свобода'!$B$1,ROW(data!$A$3:$A$16128)-ROW($A$3)+1),ROWS(A$4:A104))),"")</f>
        <v>46146</v>
      </c>
      <c r="B104" s="19" t="str">
        <f t="array" ref="B104">IF(ROWS(B$4:B104)&lt;=$B$2,INDEX(data!A$3:A$16128,SMALL(IF(data!$D$3:$D$16128='Свобода'!$B$1,ROW(data!$A$3:$A$16128)-ROW($A$3)+1),ROWS(B$4:B104))),"")</f>
        <v>КАСОВА КНИГА</v>
      </c>
      <c r="C104" s="19">
        <f t="array" ref="C104">IF(ROWS(C$4:C104)&lt;=$B$2,INDEX(data!B$3:B$16128,SMALL(IF(data!$D$3:$D$16128='Свобода'!$B$1,ROW(data!$A$3:$A$16128)-ROW($A$3)+1),ROWS(C$4:C104))),"")</f>
        <v>-500</v>
      </c>
      <c r="D104" s="7" t="str">
        <f t="array" ref="D104">IF(ROWS(D$4:D104)&lt;=$B$2,INDEX(data!E$3:E$16128,SMALL(IF(data!$D$3:$D$16128='Свобода'!$B$1,ROW(data!$A$3:$A$16128)-ROW($A$3)+1),ROWS(D$4:D104))),"")</f>
        <v/>
      </c>
      <c r="E104" s="11"/>
      <c r="F104" s="11"/>
      <c r="G104" s="11"/>
      <c r="H104" s="14"/>
      <c r="I104" s="14"/>
      <c r="J104" s="14"/>
      <c r="K104" s="14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33">
        <f t="array" ref="A105">IF(ROWS(A$4:A105)&lt;=$B$2,INDEX(data!C$3:C$16128,SMALL(IF(data!$D$3:$D$16128='Свобода'!$B$1,ROW(data!$A$3:$A$16128)-ROW($A$3)+1),ROWS(A$4:A105))),"")</f>
        <v>46146</v>
      </c>
      <c r="B105" s="19" t="str">
        <f t="array" ref="B105">IF(ROWS(B$4:B105)&lt;=$B$2,INDEX(data!A$3:A$16128,SMALL(IF(data!$D$3:$D$16128='Свобода'!$B$1,ROW(data!$A$3:$A$16128)-ROW($A$3)+1),ROWS(B$4:B105))),"")</f>
        <v>ПОС ДСК Бакалия</v>
      </c>
      <c r="C105" s="19">
        <f t="array" ref="C105">IF(ROWS(C$4:C105)&lt;=$B$2,INDEX(data!B$3:B$16128,SMALL(IF(data!$D$3:$D$16128='Свобода'!$B$1,ROW(data!$A$3:$A$16128)-ROW($A$3)+1),ROWS(C$4:C105))),"")</f>
        <v>-1342.71</v>
      </c>
      <c r="D105" s="7" t="str">
        <f t="array" ref="D105">IF(ROWS(D$4:D105)&lt;=$B$2,INDEX(data!E$3:E$16128,SMALL(IF(data!$D$3:$D$16128='Свобода'!$B$1,ROW(data!$A$3:$A$16128)-ROW($A$3)+1),ROWS(D$4:D105))),"")</f>
        <v/>
      </c>
      <c r="E105" s="11"/>
      <c r="F105" s="11"/>
      <c r="G105" s="11"/>
      <c r="H105" s="14"/>
      <c r="I105" s="14"/>
      <c r="J105" s="14"/>
      <c r="K105" s="14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33">
        <f t="array" ref="A106">IF(ROWS(A$4:A106)&lt;=$B$2,INDEX(data!C$3:C$16128,SMALL(IF(data!$D$3:$D$16128='Свобода'!$B$1,ROW(data!$A$3:$A$16128)-ROW($A$3)+1),ROWS(A$4:A106))),"")</f>
        <v>46148</v>
      </c>
      <c r="B106" s="19" t="str">
        <f t="array" ref="B106">IF(ROWS(B$4:B106)&lt;=$B$2,INDEX(data!A$3:A$16128,SMALL(IF(data!$D$3:$D$16128='Свобода'!$B$1,ROW(data!$A$3:$A$16128)-ROW($A$3)+1),ROWS(B$4:B106))),"")</f>
        <v>ЗАЕМ</v>
      </c>
      <c r="C106" s="19">
        <f t="array" ref="C106">IF(ROWS(C$4:C106)&lt;=$B$2,INDEX(data!B$3:B$16128,SMALL(IF(data!$D$3:$D$16128='Свобода'!$B$1,ROW(data!$A$3:$A$16128)-ROW($A$3)+1),ROWS(C$4:C106))),"")</f>
        <v>49957.62</v>
      </c>
      <c r="D106" s="7" t="str">
        <f t="array" ref="D106">IF(ROWS(D$4:D106)&lt;=$B$2,INDEX(data!E$3:E$16128,SMALL(IF(data!$D$3:$D$16128='Свобода'!$B$1,ROW(data!$A$3:$A$16128)-ROW($A$3)+1),ROWS(D$4:D106))),"")</f>
        <v>Салдо склад + вътр. п-не</v>
      </c>
      <c r="E106" s="11"/>
      <c r="F106" s="11"/>
      <c r="G106" s="11"/>
      <c r="H106" s="14"/>
      <c r="I106" s="14"/>
      <c r="J106" s="14"/>
      <c r="K106" s="14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33">
        <f t="array" ref="A107">IF(ROWS(A$4:A107)&lt;=$B$2,INDEX(data!C$3:C$16128,SMALL(IF(data!$D$3:$D$16128='Свобода'!$B$1,ROW(data!$A$3:$A$16128)-ROW($A$3)+1),ROWS(A$4:A107))),"")</f>
        <v>46149</v>
      </c>
      <c r="B107" s="19" t="str">
        <f t="array" ref="B107">IF(ROWS(B$4:B107)&lt;=$B$2,INDEX(data!A$3:A$16128,SMALL(IF(data!$D$3:$D$16128='Свобода'!$B$1,ROW(data!$A$3:$A$16128)-ROW($A$3)+1),ROWS(B$4:B107))),"")</f>
        <v>КАСОВА КНИГА</v>
      </c>
      <c r="C107" s="19">
        <f t="array" ref="C107">IF(ROWS(C$4:C107)&lt;=$B$2,INDEX(data!B$3:B$16128,SMALL(IF(data!$D$3:$D$16128='Свобода'!$B$1,ROW(data!$A$3:$A$16128)-ROW($A$3)+1),ROWS(C$4:C107))),"")</f>
        <v>-500</v>
      </c>
      <c r="D107" s="7" t="str">
        <f t="array" ref="D107">IF(ROWS(D$4:D107)&lt;=$B$2,INDEX(data!E$3:E$16128,SMALL(IF(data!$D$3:$D$16128='Свобода'!$B$1,ROW(data!$A$3:$A$16128)-ROW($A$3)+1),ROWS(D$4:D107))),"")</f>
        <v/>
      </c>
      <c r="E107" s="11"/>
      <c r="F107" s="11"/>
      <c r="G107" s="11"/>
      <c r="H107" s="14"/>
      <c r="I107" s="14"/>
      <c r="J107" s="14"/>
      <c r="K107" s="14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33">
        <f t="array" ref="A108">IF(ROWS(A$4:A108)&lt;=$B$2,INDEX(data!C$3:C$16128,SMALL(IF(data!$D$3:$D$16128='Свобода'!$B$1,ROW(data!$A$3:$A$16128)-ROW($A$3)+1),ROWS(A$4:A108))),"")</f>
        <v>46149</v>
      </c>
      <c r="B108" s="19" t="str">
        <f t="array" ref="B108">IF(ROWS(B$4:B108)&lt;=$B$2,INDEX(data!A$3:A$16128,SMALL(IF(data!$D$3:$D$16128='Свобода'!$B$1,ROW(data!$A$3:$A$16128)-ROW($A$3)+1),ROWS(B$4:B108))),"")</f>
        <v>Каса ВАУЧЕРИ</v>
      </c>
      <c r="C108" s="19">
        <f t="array" ref="C108">IF(ROWS(C$4:C108)&lt;=$B$2,INDEX(data!B$3:B$16128,SMALL(IF(data!$D$3:$D$16128='Свобода'!$B$1,ROW(data!$A$3:$A$16128)-ROW($A$3)+1),ROWS(C$4:C108))),"")</f>
        <v>-510.6</v>
      </c>
      <c r="D108" s="7" t="str">
        <f t="array" ref="D108">IF(ROWS(D$4:D108)&lt;=$B$2,INDEX(data!E$3:E$16128,SMALL(IF(data!$D$3:$D$16128='Свобода'!$B$1,ROW(data!$A$3:$A$16128)-ROW($A$3)+1),ROWS(D$4:D108))),"")</f>
        <v>към 20.04</v>
      </c>
      <c r="E108" s="11"/>
      <c r="F108" s="11"/>
      <c r="G108" s="11"/>
      <c r="H108" s="14"/>
      <c r="I108" s="14"/>
      <c r="J108" s="14"/>
      <c r="K108" s="14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33">
        <f t="array" ref="A109">IF(ROWS(A$4:A109)&lt;=$B$2,INDEX(data!C$3:C$16128,SMALL(IF(data!$D$3:$D$16128='Свобода'!$B$1,ROW(data!$A$3:$A$16128)-ROW($A$3)+1),ROWS(A$4:A109))),"")</f>
        <v>46149</v>
      </c>
      <c r="B109" s="19" t="str">
        <f t="array" ref="B109">IF(ROWS(B$4:B109)&lt;=$B$2,INDEX(data!A$3:A$16128,SMALL(IF(data!$D$3:$D$16128='Свобода'!$B$1,ROW(data!$A$3:$A$16128)-ROW($A$3)+1),ROWS(B$4:B109))),"")</f>
        <v>Каса ВАУЧЕРИ</v>
      </c>
      <c r="C109" s="19">
        <f t="array" ref="C109">IF(ROWS(C$4:C109)&lt;=$B$2,INDEX(data!B$3:B$16128,SMALL(IF(data!$D$3:$D$16128='Свобода'!$B$1,ROW(data!$A$3:$A$16128)-ROW($A$3)+1),ROWS(C$4:C109))),"")</f>
        <v>-109</v>
      </c>
      <c r="D109" s="7" t="str">
        <f t="array" ref="D109">IF(ROWS(D$4:D109)&lt;=$B$2,INDEX(data!E$3:E$16128,SMALL(IF(data!$D$3:$D$16128='Свобода'!$B$1,ROW(data!$A$3:$A$16128)-ROW($A$3)+1),ROWS(D$4:D109))),"")</f>
        <v>към 27.04</v>
      </c>
      <c r="E109" s="11"/>
      <c r="F109" s="11"/>
      <c r="G109" s="11"/>
      <c r="H109" s="14"/>
      <c r="I109" s="14"/>
      <c r="J109" s="14"/>
      <c r="K109" s="14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33">
        <f t="array" ref="A110">IF(ROWS(A$4:A110)&lt;=$B$2,INDEX(data!C$3:C$16128,SMALL(IF(data!$D$3:$D$16128='Свобода'!$B$1,ROW(data!$A$3:$A$16128)-ROW($A$3)+1),ROWS(A$4:A110))),"")</f>
        <v>46153</v>
      </c>
      <c r="B110" s="19" t="str">
        <f t="array" ref="B110">IF(ROWS(B$4:B110)&lt;=$B$2,INDEX(data!A$3:A$16128,SMALL(IF(data!$D$3:$D$16128='Свобода'!$B$1,ROW(data!$A$3:$A$16128)-ROW($A$3)+1),ROWS(B$4:B110))),"")</f>
        <v>MYPOS Бакалия</v>
      </c>
      <c r="C110" s="19">
        <f t="array" ref="C110">IF(ROWS(C$4:C110)&lt;=$B$2,INDEX(data!B$3:B$16128,SMALL(IF(data!$D$3:$D$16128='Свобода'!$B$1,ROW(data!$A$3:$A$16128)-ROW($A$3)+1),ROWS(C$4:C110))),"")</f>
        <v>-4574.46</v>
      </c>
      <c r="D110" s="7" t="str">
        <f t="array" ref="D110">IF(ROWS(D$4:D110)&lt;=$B$2,INDEX(data!E$3:E$16128,SMALL(IF(data!$D$3:$D$16128='Свобода'!$B$1,ROW(data!$A$3:$A$16128)-ROW($A$3)+1),ROWS(D$4:D110))),"")</f>
        <v/>
      </c>
      <c r="E110" s="11"/>
      <c r="F110" s="11"/>
      <c r="G110" s="11"/>
      <c r="H110" s="14"/>
      <c r="I110" s="14"/>
      <c r="J110" s="14"/>
      <c r="K110" s="14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33">
        <f t="array" ref="A111">IF(ROWS(A$4:A111)&lt;=$B$2,INDEX(data!C$3:C$16128,SMALL(IF(data!$D$3:$D$16128='Свобода'!$B$1,ROW(data!$A$3:$A$16128)-ROW($A$3)+1),ROWS(A$4:A111))),"")</f>
        <v>46153</v>
      </c>
      <c r="B111" s="19" t="str">
        <f t="array" ref="B111">IF(ROWS(B$4:B111)&lt;=$B$2,INDEX(data!A$3:A$16128,SMALL(IF(data!$D$3:$D$16128='Свобода'!$B$1,ROW(data!$A$3:$A$16128)-ROW($A$3)+1),ROWS(B$4:B111))),"")</f>
        <v>КАСОВА КНИГА</v>
      </c>
      <c r="C111" s="19">
        <f t="array" ref="C111">IF(ROWS(C$4:C111)&lt;=$B$2,INDEX(data!B$3:B$16128,SMALL(IF(data!$D$3:$D$16128='Свобода'!$B$1,ROW(data!$A$3:$A$16128)-ROW($A$3)+1),ROWS(C$4:C111))),"")</f>
        <v>-2000</v>
      </c>
      <c r="D111" s="7" t="str">
        <f t="array" ref="D111">IF(ROWS(D$4:D111)&lt;=$B$2,INDEX(data!E$3:E$16128,SMALL(IF(data!$D$3:$D$16128='Свобода'!$B$1,ROW(data!$A$3:$A$16128)-ROW($A$3)+1),ROWS(D$4:D111))),"")</f>
        <v/>
      </c>
      <c r="E111" s="11"/>
      <c r="F111" s="11"/>
      <c r="G111" s="11"/>
      <c r="H111" s="14"/>
      <c r="I111" s="14"/>
      <c r="J111" s="14"/>
      <c r="K111" s="14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33">
        <f t="array" ref="A112">IF(ROWS(A$4:A112)&lt;=$B$2,INDEX(data!C$3:C$16128,SMALL(IF(data!$D$3:$D$16128='Свобода'!$B$1,ROW(data!$A$3:$A$16128)-ROW($A$3)+1),ROWS(A$4:A112))),"")</f>
        <v>46153</v>
      </c>
      <c r="B112" s="19" t="str">
        <f t="array" ref="B112">IF(ROWS(B$4:B112)&lt;=$B$2,INDEX(data!A$3:A$16128,SMALL(IF(data!$D$3:$D$16128='Свобода'!$B$1,ROW(data!$A$3:$A$16128)-ROW($A$3)+1),ROWS(B$4:B112))),"")</f>
        <v>ПОС ДСК Бакалия</v>
      </c>
      <c r="C112" s="19">
        <f t="array" ref="C112">IF(ROWS(C$4:C112)&lt;=$B$2,INDEX(data!B$3:B$16128,SMALL(IF(data!$D$3:$D$16128='Свобода'!$B$1,ROW(data!$A$3:$A$16128)-ROW($A$3)+1),ROWS(C$4:C112))),"")</f>
        <v>-1723.33</v>
      </c>
      <c r="D112" s="7" t="str">
        <f t="array" ref="D112">IF(ROWS(D$4:D112)&lt;=$B$2,INDEX(data!E$3:E$16128,SMALL(IF(data!$D$3:$D$16128='Свобода'!$B$1,ROW(data!$A$3:$A$16128)-ROW($A$3)+1),ROWS(D$4:D112))),"")</f>
        <v/>
      </c>
      <c r="E112" s="11"/>
      <c r="F112" s="11"/>
      <c r="G112" s="11"/>
      <c r="H112" s="14"/>
      <c r="I112" s="14"/>
      <c r="J112" s="14"/>
      <c r="K112" s="14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33">
        <f t="array" ref="A113">IF(ROWS(A$4:A113)&lt;=$B$2,INDEX(data!C$3:C$16128,SMALL(IF(data!$D$3:$D$16128='Свобода'!$B$1,ROW(data!$A$3:$A$16128)-ROW($A$3)+1),ROWS(A$4:A113))),"")</f>
        <v>46155</v>
      </c>
      <c r="B113" s="19" t="str">
        <f t="array" ref="B113">IF(ROWS(B$4:B113)&lt;=$B$2,INDEX(data!A$3:A$16128,SMALL(IF(data!$D$3:$D$16128='Свобода'!$B$1,ROW(data!$A$3:$A$16128)-ROW($A$3)+1),ROWS(B$4:B113))),"")</f>
        <v>КАСОВА КНИГА</v>
      </c>
      <c r="C113" s="19">
        <f t="array" ref="C113">IF(ROWS(C$4:C113)&lt;=$B$2,INDEX(data!B$3:B$16128,SMALL(IF(data!$D$3:$D$16128='Свобода'!$B$1,ROW(data!$A$3:$A$16128)-ROW($A$3)+1),ROWS(C$4:C113))),"")</f>
        <v>-1000</v>
      </c>
      <c r="D113" s="7" t="str">
        <f t="array" ref="D113">IF(ROWS(D$4:D113)&lt;=$B$2,INDEX(data!E$3:E$16128,SMALL(IF(data!$D$3:$D$16128='Свобода'!$B$1,ROW(data!$A$3:$A$16128)-ROW($A$3)+1),ROWS(D$4:D113))),"")</f>
        <v/>
      </c>
      <c r="E113" s="11"/>
      <c r="F113" s="11"/>
      <c r="G113" s="11"/>
      <c r="H113" s="14"/>
      <c r="I113" s="14"/>
      <c r="J113" s="14"/>
      <c r="K113" s="14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3">
        <f t="array" ref="A114">IF(ROWS(A$4:A114)&lt;=$B$2,INDEX(data!C$3:C$16128,SMALL(IF(data!$D$3:$D$16128='Свобода'!$B$1,ROW(data!$A$3:$A$16128)-ROW($A$3)+1),ROWS(A$4:A114))),"")</f>
        <v>46157</v>
      </c>
      <c r="B114" s="19" t="str">
        <f t="array" ref="B114">IF(ROWS(B$4:B114)&lt;=$B$2,INDEX(data!A$3:A$16128,SMALL(IF(data!$D$3:$D$16128='Свобода'!$B$1,ROW(data!$A$3:$A$16128)-ROW($A$3)+1),ROWS(B$4:B114))),"")</f>
        <v>КАСОВА КНИГА</v>
      </c>
      <c r="C114" s="19">
        <f t="array" ref="C114">IF(ROWS(C$4:C114)&lt;=$B$2,INDEX(data!B$3:B$16128,SMALL(IF(data!$D$3:$D$16128='Свобода'!$B$1,ROW(data!$A$3:$A$16128)-ROW($A$3)+1),ROWS(C$4:C114))),"")</f>
        <v>-500</v>
      </c>
      <c r="D114" s="7" t="str">
        <f t="array" ref="D114">IF(ROWS(D$4:D114)&lt;=$B$2,INDEX(data!E$3:E$16128,SMALL(IF(data!$D$3:$D$16128='Свобода'!$B$1,ROW(data!$A$3:$A$16128)-ROW($A$3)+1),ROWS(D$4:D114))),"")</f>
        <v/>
      </c>
      <c r="E114" s="11"/>
      <c r="F114" s="11"/>
      <c r="G114" s="11"/>
      <c r="H114" s="14"/>
      <c r="I114" s="14"/>
      <c r="J114" s="14"/>
      <c r="K114" s="14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33">
        <f t="array" ref="A115">IF(ROWS(A$4:A115)&lt;=$B$2,INDEX(data!C$3:C$16128,SMALL(IF(data!$D$3:$D$16128='Свобода'!$B$1,ROW(data!$A$3:$A$16128)-ROW($A$3)+1),ROWS(A$4:A115))),"")</f>
        <v>46157</v>
      </c>
      <c r="B115" s="19" t="str">
        <f t="array" ref="B115">IF(ROWS(B$4:B115)&lt;=$B$2,INDEX(data!A$3:A$16128,SMALL(IF(data!$D$3:$D$16128='Свобода'!$B$1,ROW(data!$A$3:$A$16128)-ROW($A$3)+1),ROWS(B$4:B115))),"")</f>
        <v>Каса ВАУЧЕРИ</v>
      </c>
      <c r="C115" s="19">
        <f t="array" ref="C115">IF(ROWS(C$4:C115)&lt;=$B$2,INDEX(data!B$3:B$16128,SMALL(IF(data!$D$3:$D$16128='Свобода'!$B$1,ROW(data!$A$3:$A$16128)-ROW($A$3)+1),ROWS(C$4:C115))),"")</f>
        <v>-186</v>
      </c>
      <c r="D115" s="7" t="str">
        <f t="array" ref="D115">IF(ROWS(D$4:D115)&lt;=$B$2,INDEX(data!E$3:E$16128,SMALL(IF(data!$D$3:$D$16128='Свобода'!$B$1,ROW(data!$A$3:$A$16128)-ROW($A$3)+1),ROWS(D$4:D115))),"")</f>
        <v/>
      </c>
      <c r="E115" s="11"/>
      <c r="F115" s="11"/>
      <c r="G115" s="11"/>
      <c r="H115" s="14"/>
      <c r="I115" s="14"/>
      <c r="J115" s="14"/>
      <c r="K115" s="14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33">
        <f t="array" ref="A116">IF(ROWS(A$4:A116)&lt;=$B$2,INDEX(data!C$3:C$16128,SMALL(IF(data!$D$3:$D$16128='Свобода'!$B$1,ROW(data!$A$3:$A$16128)-ROW($A$3)+1),ROWS(A$4:A116))),"")</f>
        <v>46160</v>
      </c>
      <c r="B116" s="19" t="str">
        <f t="array" ref="B116">IF(ROWS(B$4:B116)&lt;=$B$2,INDEX(data!A$3:A$16128,SMALL(IF(data!$D$3:$D$16128='Свобода'!$B$1,ROW(data!$A$3:$A$16128)-ROW($A$3)+1),ROWS(B$4:B116))),"")</f>
        <v>MYPOS Бакалия</v>
      </c>
      <c r="C116" s="19">
        <f t="array" ref="C116">IF(ROWS(C$4:C116)&lt;=$B$2,INDEX(data!B$3:B$16128,SMALL(IF(data!$D$3:$D$16128='Свобода'!$B$1,ROW(data!$A$3:$A$16128)-ROW($A$3)+1),ROWS(C$4:C116))),"")</f>
        <v>-5340.95</v>
      </c>
      <c r="D116" s="7" t="str">
        <f t="array" ref="D116">IF(ROWS(D$4:D116)&lt;=$B$2,INDEX(data!E$3:E$16128,SMALL(IF(data!$D$3:$D$16128='Свобода'!$B$1,ROW(data!$A$3:$A$16128)-ROW($A$3)+1),ROWS(D$4:D116))),"")</f>
        <v/>
      </c>
      <c r="E116" s="11"/>
      <c r="F116" s="11"/>
      <c r="G116" s="11"/>
      <c r="H116" s="14"/>
      <c r="I116" s="14"/>
      <c r="J116" s="14"/>
      <c r="K116" s="14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33">
        <f t="array" ref="A117">IF(ROWS(A$4:A117)&lt;=$B$2,INDEX(data!C$3:C$16128,SMALL(IF(data!$D$3:$D$16128='Свобода'!$B$1,ROW(data!$A$3:$A$16128)-ROW($A$3)+1),ROWS(A$4:A117))),"")</f>
        <v>46160</v>
      </c>
      <c r="B117" s="19" t="str">
        <f t="array" ref="B117">IF(ROWS(B$4:B117)&lt;=$B$2,INDEX(data!A$3:A$16128,SMALL(IF(data!$D$3:$D$16128='Свобода'!$B$1,ROW(data!$A$3:$A$16128)-ROW($A$3)+1),ROWS(B$4:B117))),"")</f>
        <v>КАСОВА КНИГА</v>
      </c>
      <c r="C117" s="19">
        <f t="array" ref="C117">IF(ROWS(C$4:C117)&lt;=$B$2,INDEX(data!B$3:B$16128,SMALL(IF(data!$D$3:$D$16128='Свобода'!$B$1,ROW(data!$A$3:$A$16128)-ROW($A$3)+1),ROWS(C$4:C117))),"")</f>
        <v>-3000</v>
      </c>
      <c r="D117" s="7" t="str">
        <f t="array" ref="D117">IF(ROWS(D$4:D117)&lt;=$B$2,INDEX(data!E$3:E$16128,SMALL(IF(data!$D$3:$D$16128='Свобода'!$B$1,ROW(data!$A$3:$A$16128)-ROW($A$3)+1),ROWS(D$4:D117))),"")</f>
        <v/>
      </c>
      <c r="E117" s="11"/>
      <c r="F117" s="11"/>
      <c r="G117" s="11"/>
      <c r="H117" s="14"/>
      <c r="I117" s="14"/>
      <c r="J117" s="14"/>
      <c r="K117" s="14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33">
        <f t="array" ref="A118">IF(ROWS(A$4:A118)&lt;=$B$2,INDEX(data!C$3:C$16128,SMALL(IF(data!$D$3:$D$16128='Свобода'!$B$1,ROW(data!$A$3:$A$16128)-ROW($A$3)+1),ROWS(A$4:A118))),"")</f>
        <v>46160</v>
      </c>
      <c r="B118" s="19" t="str">
        <f t="array" ref="B118">IF(ROWS(B$4:B118)&lt;=$B$2,INDEX(data!A$3:A$16128,SMALL(IF(data!$D$3:$D$16128='Свобода'!$B$1,ROW(data!$A$3:$A$16128)-ROW($A$3)+1),ROWS(B$4:B118))),"")</f>
        <v>ПОС ДСК Бакалия</v>
      </c>
      <c r="C118" s="19">
        <f t="array" ref="C118">IF(ROWS(C$4:C118)&lt;=$B$2,INDEX(data!B$3:B$16128,SMALL(IF(data!$D$3:$D$16128='Свобода'!$B$1,ROW(data!$A$3:$A$16128)-ROW($A$3)+1),ROWS(C$4:C118))),"")</f>
        <v>-1459.88</v>
      </c>
      <c r="D118" s="7" t="str">
        <f t="array" ref="D118">IF(ROWS(D$4:D118)&lt;=$B$2,INDEX(data!E$3:E$16128,SMALL(IF(data!$D$3:$D$16128='Свобода'!$B$1,ROW(data!$A$3:$A$16128)-ROW($A$3)+1),ROWS(D$4:D118))),"")</f>
        <v/>
      </c>
      <c r="E118" s="11"/>
      <c r="F118" s="11"/>
      <c r="G118" s="11"/>
      <c r="H118" s="14"/>
      <c r="I118" s="14"/>
      <c r="J118" s="14"/>
      <c r="K118" s="14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33">
        <f t="array" ref="A119">IF(ROWS(A$4:A119)&lt;=$B$2,INDEX(data!C$3:C$16128,SMALL(IF(data!$D$3:$D$16128='Свобода'!$B$1,ROW(data!$A$3:$A$16128)-ROW($A$3)+1),ROWS(A$4:A119))),"")</f>
        <v>46162</v>
      </c>
      <c r="B119" s="19" t="str">
        <f t="array" ref="B119">IF(ROWS(B$4:B119)&lt;=$B$2,INDEX(data!A$3:A$16128,SMALL(IF(data!$D$3:$D$16128='Свобода'!$B$1,ROW(data!$A$3:$A$16128)-ROW($A$3)+1),ROWS(B$4:B119))),"")</f>
        <v>КАСОВА КНИГА</v>
      </c>
      <c r="C119" s="19">
        <f t="array" ref="C119">IF(ROWS(C$4:C119)&lt;=$B$2,INDEX(data!B$3:B$16128,SMALL(IF(data!$D$3:$D$16128='Свобода'!$B$1,ROW(data!$A$3:$A$16128)-ROW($A$3)+1),ROWS(C$4:C119))),"")</f>
        <v>-1000</v>
      </c>
      <c r="D119" s="7" t="str">
        <f t="array" ref="D119">IF(ROWS(D$4:D119)&lt;=$B$2,INDEX(data!E$3:E$16128,SMALL(IF(data!$D$3:$D$16128='Свобода'!$B$1,ROW(data!$A$3:$A$16128)-ROW($A$3)+1),ROWS(D$4:D119))),"")</f>
        <v/>
      </c>
      <c r="E119" s="11"/>
      <c r="F119" s="11"/>
      <c r="G119" s="11"/>
      <c r="H119" s="14"/>
      <c r="I119" s="14"/>
      <c r="J119" s="14"/>
      <c r="K119" s="14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33">
        <f t="array" ref="A120">IF(ROWS(A$4:A120)&lt;=$B$2,INDEX(data!C$3:C$16128,SMALL(IF(data!$D$3:$D$16128='Свобода'!$B$1,ROW(data!$A$3:$A$16128)-ROW($A$3)+1),ROWS(A$4:A120))),"")</f>
        <v>46162</v>
      </c>
      <c r="B120" s="19" t="str">
        <f t="array" ref="B120">IF(ROWS(B$4:B120)&lt;=$B$2,INDEX(data!A$3:A$16128,SMALL(IF(data!$D$3:$D$16128='Свобода'!$B$1,ROW(data!$A$3:$A$16128)-ROW($A$3)+1),ROWS(B$4:B120))),"")</f>
        <v>Каса ВАУЧЕРИ</v>
      </c>
      <c r="C120" s="19">
        <f t="array" ref="C120">IF(ROWS(C$4:C120)&lt;=$B$2,INDEX(data!B$3:B$16128,SMALL(IF(data!$D$3:$D$16128='Свобода'!$B$1,ROW(data!$A$3:$A$16128)-ROW($A$3)+1),ROWS(C$4:C120))),"")</f>
        <v>800</v>
      </c>
      <c r="D120" s="7" t="str">
        <f t="array" ref="D120">IF(ROWS(D$4:D120)&lt;=$B$2,INDEX(data!E$3:E$16128,SMALL(IF(data!$D$3:$D$16128='Свобода'!$B$1,ROW(data!$A$3:$A$16128)-ROW($A$3)+1),ROWS(D$4:D120))),"")</f>
        <v>ваучери персонал</v>
      </c>
      <c r="E120" s="11"/>
      <c r="F120" s="11"/>
      <c r="G120" s="11"/>
      <c r="H120" s="14"/>
      <c r="I120" s="14"/>
      <c r="J120" s="14"/>
      <c r="K120" s="14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33">
        <f t="array" ref="A121">IF(ROWS(A$4:A121)&lt;=$B$2,INDEX(data!C$3:C$16128,SMALL(IF(data!$D$3:$D$16128='Свобода'!$B$1,ROW(data!$A$3:$A$16128)-ROW($A$3)+1),ROWS(A$4:A121))),"")</f>
        <v>46162</v>
      </c>
      <c r="B121" s="19" t="str">
        <f t="array" ref="B121">IF(ROWS(B$4:B121)&lt;=$B$2,INDEX(data!A$3:A$16128,SMALL(IF(data!$D$3:$D$16128='Свобода'!$B$1,ROW(data!$A$3:$A$16128)-ROW($A$3)+1),ROWS(B$4:B121))),"")</f>
        <v>ПОС ДСК Бакалия</v>
      </c>
      <c r="C121" s="19">
        <f t="array" ref="C121">IF(ROWS(C$4:C121)&lt;=$B$2,INDEX(data!B$3:B$16128,SMALL(IF(data!$D$3:$D$16128='Свобода'!$B$1,ROW(data!$A$3:$A$16128)-ROW($A$3)+1),ROWS(C$4:C121))),"")</f>
        <v>-1237.39</v>
      </c>
      <c r="D121" s="7" t="str">
        <f t="array" ref="D121">IF(ROWS(D$4:D121)&lt;=$B$2,INDEX(data!E$3:E$16128,SMALL(IF(data!$D$3:$D$16128='Свобода'!$B$1,ROW(data!$A$3:$A$16128)-ROW($A$3)+1),ROWS(D$4:D121))),"")</f>
        <v>20-26.04</v>
      </c>
      <c r="E121" s="11"/>
      <c r="F121" s="11"/>
      <c r="G121" s="11"/>
      <c r="H121" s="14"/>
      <c r="I121" s="14"/>
      <c r="J121" s="14"/>
      <c r="K121" s="14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33">
        <f t="array" ref="A122">IF(ROWS(A$4:A122)&lt;=$B$2,INDEX(data!C$3:C$16128,SMALL(IF(data!$D$3:$D$16128='Свобода'!$B$1,ROW(data!$A$3:$A$16128)-ROW($A$3)+1),ROWS(A$4:A122))),"")</f>
        <v>46167</v>
      </c>
      <c r="B122" s="19" t="str">
        <f t="array" ref="B122">IF(ROWS(B$4:B122)&lt;=$B$2,INDEX(data!A$3:A$16128,SMALL(IF(data!$D$3:$D$16128='Свобода'!$B$1,ROW(data!$A$3:$A$16128)-ROW($A$3)+1),ROWS(B$4:B122))),"")</f>
        <v>MYPOS Бакалия</v>
      </c>
      <c r="C122" s="19">
        <f t="array" ref="C122">IF(ROWS(C$4:C122)&lt;=$B$2,INDEX(data!B$3:B$16128,SMALL(IF(data!$D$3:$D$16128='Свобода'!$B$1,ROW(data!$A$3:$A$16128)-ROW($A$3)+1),ROWS(C$4:C122))),"")</f>
        <v>-5374.31</v>
      </c>
      <c r="D122" s="7" t="str">
        <f t="array" ref="D122">IF(ROWS(D$4:D122)&lt;=$B$2,INDEX(data!E$3:E$16128,SMALL(IF(data!$D$3:$D$16128='Свобода'!$B$1,ROW(data!$A$3:$A$16128)-ROW($A$3)+1),ROWS(D$4:D122))),"")</f>
        <v/>
      </c>
      <c r="E122" s="11"/>
      <c r="F122" s="11"/>
      <c r="G122" s="11"/>
      <c r="H122" s="14"/>
      <c r="I122" s="14"/>
      <c r="J122" s="14"/>
      <c r="K122" s="14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33">
        <f t="array" ref="A123">IF(ROWS(A$4:A123)&lt;=$B$2,INDEX(data!C$3:C$16128,SMALL(IF(data!$D$3:$D$16128='Свобода'!$B$1,ROW(data!$A$3:$A$16128)-ROW($A$3)+1),ROWS(A$4:A123))),"")</f>
        <v>46168</v>
      </c>
      <c r="B123" s="19" t="str">
        <f t="array" ref="B123">IF(ROWS(B$4:B123)&lt;=$B$2,INDEX(data!A$3:A$16128,SMALL(IF(data!$D$3:$D$16128='Свобода'!$B$1,ROW(data!$A$3:$A$16128)-ROW($A$3)+1),ROWS(B$4:B123))),"")</f>
        <v>КАСОВА КНИГА</v>
      </c>
      <c r="C123" s="19">
        <f t="array" ref="C123">IF(ROWS(C$4:C123)&lt;=$B$2,INDEX(data!B$3:B$16128,SMALL(IF(data!$D$3:$D$16128='Свобода'!$B$1,ROW(data!$A$3:$A$16128)-ROW($A$3)+1),ROWS(C$4:C123))),"")</f>
        <v>-1000</v>
      </c>
      <c r="D123" s="7" t="str">
        <f t="array" ref="D123">IF(ROWS(D$4:D123)&lt;=$B$2,INDEX(data!E$3:E$16128,SMALL(IF(data!$D$3:$D$16128='Свобода'!$B$1,ROW(data!$A$3:$A$16128)-ROW($A$3)+1),ROWS(D$4:D123))),"")</f>
        <v/>
      </c>
      <c r="E123" s="11"/>
      <c r="F123" s="11"/>
      <c r="G123" s="11"/>
      <c r="H123" s="14"/>
      <c r="I123" s="14"/>
      <c r="J123" s="14"/>
      <c r="K123" s="14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33">
        <f t="array" ref="A124">IF(ROWS(A$4:A124)&lt;=$B$2,INDEX(data!C$3:C$16128,SMALL(IF(data!$D$3:$D$16128='Свобода'!$B$1,ROW(data!$A$3:$A$16128)-ROW($A$3)+1),ROWS(A$4:A124))),"")</f>
        <v>46174</v>
      </c>
      <c r="B124" s="19" t="str">
        <f t="array" ref="B124">IF(ROWS(B$4:B124)&lt;=$B$2,INDEX(data!A$3:A$16128,SMALL(IF(data!$D$3:$D$16128='Свобода'!$B$1,ROW(data!$A$3:$A$16128)-ROW($A$3)+1),ROWS(B$4:B124))),"")</f>
        <v>MYPOS Бакалия</v>
      </c>
      <c r="C124" s="19">
        <f t="array" ref="C124">IF(ROWS(C$4:C124)&lt;=$B$2,INDEX(data!B$3:B$16128,SMALL(IF(data!$D$3:$D$16128='Свобода'!$B$1,ROW(data!$A$3:$A$16128)-ROW($A$3)+1),ROWS(C$4:C124))),"")</f>
        <v>-5169.3</v>
      </c>
      <c r="D124" s="7" t="str">
        <f t="array" ref="D124">IF(ROWS(D$4:D124)&lt;=$B$2,INDEX(data!E$3:E$16128,SMALL(IF(data!$D$3:$D$16128='Свобода'!$B$1,ROW(data!$A$3:$A$16128)-ROW($A$3)+1),ROWS(D$4:D124))),"")</f>
        <v/>
      </c>
      <c r="E124" s="11"/>
      <c r="F124" s="11"/>
      <c r="G124" s="11"/>
      <c r="H124" s="14"/>
      <c r="I124" s="14"/>
      <c r="J124" s="14"/>
      <c r="K124" s="14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33">
        <f t="array" ref="A125">IF(ROWS(A$4:A125)&lt;=$B$2,INDEX(data!C$3:C$16128,SMALL(IF(data!$D$3:$D$16128='Свобода'!$B$1,ROW(data!$A$3:$A$16128)-ROW($A$3)+1),ROWS(A$4:A125))),"")</f>
        <v>46174</v>
      </c>
      <c r="B125" s="19" t="str">
        <f t="array" ref="B125">IF(ROWS(B$4:B125)&lt;=$B$2,INDEX(data!A$3:A$16128,SMALL(IF(data!$D$3:$D$16128='Свобода'!$B$1,ROW(data!$A$3:$A$16128)-ROW($A$3)+1),ROWS(B$4:B125))),"")</f>
        <v>КАСОВА КНИГА</v>
      </c>
      <c r="C125" s="19">
        <f t="array" ref="C125">IF(ROWS(C$4:C125)&lt;=$B$2,INDEX(data!B$3:B$16128,SMALL(IF(data!$D$3:$D$16128='Свобода'!$B$1,ROW(data!$A$3:$A$16128)-ROW($A$3)+1),ROWS(C$4:C125))),"")</f>
        <v>-500</v>
      </c>
      <c r="D125" s="7" t="str">
        <f t="array" ref="D125">IF(ROWS(D$4:D125)&lt;=$B$2,INDEX(data!E$3:E$16128,SMALL(IF(data!$D$3:$D$16128='Свобода'!$B$1,ROW(data!$A$3:$A$16128)-ROW($A$3)+1),ROWS(D$4:D125))),"")</f>
        <v/>
      </c>
      <c r="E125" s="11"/>
      <c r="F125" s="11"/>
      <c r="G125" s="11"/>
      <c r="H125" s="14"/>
      <c r="I125" s="14"/>
      <c r="J125" s="14"/>
      <c r="K125" s="14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33">
        <f t="array" ref="A126">IF(ROWS(A$4:A126)&lt;=$B$2,INDEX(data!C$3:C$16128,SMALL(IF(data!$D$3:$D$16128='Свобода'!$B$1,ROW(data!$A$3:$A$16128)-ROW($A$3)+1),ROWS(A$4:A126))),"")</f>
        <v>46175</v>
      </c>
      <c r="B126" s="19" t="str">
        <f t="array" ref="B126">IF(ROWS(B$4:B126)&lt;=$B$2,INDEX(data!A$3:A$16128,SMALL(IF(data!$D$3:$D$16128='Свобода'!$B$1,ROW(data!$A$3:$A$16128)-ROW($A$3)+1),ROWS(B$4:B126))),"")</f>
        <v>ПОС ДСК Бакалия</v>
      </c>
      <c r="C126" s="19">
        <f t="array" ref="C126">IF(ROWS(C$4:C126)&lt;=$B$2,INDEX(data!B$3:B$16128,SMALL(IF(data!$D$3:$D$16128='Свобода'!$B$1,ROW(data!$A$3:$A$16128)-ROW($A$3)+1),ROWS(C$4:C126))),"")</f>
        <v>-1334.38</v>
      </c>
      <c r="D126" s="7" t="str">
        <f t="array" ref="D126">IF(ROWS(D$4:D126)&lt;=$B$2,INDEX(data!E$3:E$16128,SMALL(IF(data!$D$3:$D$16128='Свобода'!$B$1,ROW(data!$A$3:$A$16128)-ROW($A$3)+1),ROWS(D$4:D126))),"")</f>
        <v/>
      </c>
      <c r="E126" s="11"/>
      <c r="F126" s="11"/>
      <c r="G126" s="11"/>
      <c r="H126" s="14"/>
      <c r="I126" s="14"/>
      <c r="J126" s="14"/>
      <c r="K126" s="14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33">
        <f t="array" ref="A127">IF(ROWS(A$4:A127)&lt;=$B$2,INDEX(data!C$3:C$16128,SMALL(IF(data!$D$3:$D$16128='Свобода'!$B$1,ROW(data!$A$3:$A$16128)-ROW($A$3)+1),ROWS(A$4:A127))),"")</f>
        <v>46176</v>
      </c>
      <c r="B127" s="19" t="str">
        <f t="array" ref="B127">IF(ROWS(B$4:B127)&lt;=$B$2,INDEX(data!A$3:A$16128,SMALL(IF(data!$D$3:$D$16128='Свобода'!$B$1,ROW(data!$A$3:$A$16128)-ROW($A$3)+1),ROWS(B$4:B127))),"")</f>
        <v>КАСОВА КНИГА</v>
      </c>
      <c r="C127" s="19">
        <f t="array" ref="C127">IF(ROWS(C$4:C127)&lt;=$B$2,INDEX(data!B$3:B$16128,SMALL(IF(data!$D$3:$D$16128='Свобода'!$B$1,ROW(data!$A$3:$A$16128)-ROW($A$3)+1),ROWS(C$4:C127))),"")</f>
        <v>-500</v>
      </c>
      <c r="D127" s="7" t="str">
        <f t="array" ref="D127">IF(ROWS(D$4:D127)&lt;=$B$2,INDEX(data!E$3:E$16128,SMALL(IF(data!$D$3:$D$16128='Свобода'!$B$1,ROW(data!$A$3:$A$16128)-ROW($A$3)+1),ROWS(D$4:D127))),"")</f>
        <v/>
      </c>
      <c r="E127" s="11"/>
      <c r="F127" s="11"/>
      <c r="G127" s="11"/>
      <c r="H127" s="14"/>
      <c r="I127" s="14"/>
      <c r="J127" s="14"/>
      <c r="K127" s="14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33">
        <f t="array" ref="A128">IF(ROWS(A$4:A128)&lt;=$B$2,INDEX(data!C$3:C$16128,SMALL(IF(data!$D$3:$D$16128='Свобода'!$B$1,ROW(data!$A$3:$A$16128)-ROW($A$3)+1),ROWS(A$4:A128))),"")</f>
        <v>46176</v>
      </c>
      <c r="B128" s="19" t="str">
        <f t="array" ref="B128">IF(ROWS(B$4:B128)&lt;=$B$2,INDEX(data!A$3:A$16128,SMALL(IF(data!$D$3:$D$16128='Свобода'!$B$1,ROW(data!$A$3:$A$16128)-ROW($A$3)+1),ROWS(B$4:B128))),"")</f>
        <v>Каса ВАУЧЕРИ</v>
      </c>
      <c r="C128" s="19">
        <f t="array" ref="C128">IF(ROWS(C$4:C128)&lt;=$B$2,INDEX(data!B$3:B$16128,SMALL(IF(data!$D$3:$D$16128='Свобода'!$B$1,ROW(data!$A$3:$A$16128)-ROW($A$3)+1),ROWS(C$4:C128))),"")</f>
        <v>-499.4</v>
      </c>
      <c r="D128" s="7" t="str">
        <f t="array" ref="D128">IF(ROWS(D$4:D128)&lt;=$B$2,INDEX(data!E$3:E$16128,SMALL(IF(data!$D$3:$D$16128='Свобода'!$B$1,ROW(data!$A$3:$A$16128)-ROW($A$3)+1),ROWS(D$4:D128))),"")</f>
        <v>към 18.05</v>
      </c>
      <c r="E128" s="11"/>
      <c r="F128" s="11"/>
      <c r="G128" s="11"/>
      <c r="H128" s="14"/>
      <c r="I128" s="14"/>
      <c r="J128" s="14"/>
      <c r="K128" s="14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33">
        <f t="array" ref="A129">IF(ROWS(A$4:A129)&lt;=$B$2,INDEX(data!C$3:C$16128,SMALL(IF(data!$D$3:$D$16128='Свобода'!$B$1,ROW(data!$A$3:$A$16128)-ROW($A$3)+1),ROWS(A$4:A129))),"")</f>
        <v>46176</v>
      </c>
      <c r="B129" s="19" t="str">
        <f t="array" ref="B129">IF(ROWS(B$4:B129)&lt;=$B$2,INDEX(data!A$3:A$16128,SMALL(IF(data!$D$3:$D$16128='Свобода'!$B$1,ROW(data!$A$3:$A$16128)-ROW($A$3)+1),ROWS(B$4:B129))),"")</f>
        <v>Каса ВАУЧЕРИ</v>
      </c>
      <c r="C129" s="19">
        <f t="array" ref="C129">IF(ROWS(C$4:C129)&lt;=$B$2,INDEX(data!B$3:B$16128,SMALL(IF(data!$D$3:$D$16128='Свобода'!$B$1,ROW(data!$A$3:$A$16128)-ROW($A$3)+1),ROWS(C$4:C129))),"")</f>
        <v>-144.94</v>
      </c>
      <c r="D129" s="7" t="str">
        <f t="array" ref="D129">IF(ROWS(D$4:D129)&lt;=$B$2,INDEX(data!E$3:E$16128,SMALL(IF(data!$D$3:$D$16128='Свобода'!$B$1,ROW(data!$A$3:$A$16128)-ROW($A$3)+1),ROWS(D$4:D129))),"")</f>
        <v>към 25.05</v>
      </c>
      <c r="E129" s="11"/>
      <c r="F129" s="11"/>
      <c r="G129" s="11"/>
      <c r="H129" s="14"/>
      <c r="I129" s="14"/>
      <c r="J129" s="14"/>
      <c r="K129" s="14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33">
        <f t="array" ref="A130">IF(ROWS(A$4:A130)&lt;=$B$2,INDEX(data!C$3:C$16128,SMALL(IF(data!$D$3:$D$16128='Свобода'!$B$1,ROW(data!$A$3:$A$16128)-ROW($A$3)+1),ROWS(A$4:A130))),"")</f>
        <v>46181</v>
      </c>
      <c r="B130" s="19" t="str">
        <f t="array" ref="B130">IF(ROWS(B$4:B130)&lt;=$B$2,INDEX(data!A$3:A$16128,SMALL(IF(data!$D$3:$D$16128='Свобода'!$B$1,ROW(data!$A$3:$A$16128)-ROW($A$3)+1),ROWS(B$4:B130))),"")</f>
        <v>КАСОВА КНИГА</v>
      </c>
      <c r="C130" s="19">
        <f t="array" ref="C130">IF(ROWS(C$4:C130)&lt;=$B$2,INDEX(data!B$3:B$16128,SMALL(IF(data!$D$3:$D$16128='Свобода'!$B$1,ROW(data!$A$3:$A$16128)-ROW($A$3)+1),ROWS(C$4:C130))),"")</f>
        <v>-2000</v>
      </c>
      <c r="D130" s="7" t="str">
        <f t="array" ref="D130">IF(ROWS(D$4:D130)&lt;=$B$2,INDEX(data!E$3:E$16128,SMALL(IF(data!$D$3:$D$16128='Свобода'!$B$1,ROW(data!$A$3:$A$16128)-ROW($A$3)+1),ROWS(D$4:D130))),"")</f>
        <v/>
      </c>
      <c r="E130" s="11"/>
      <c r="F130" s="11"/>
      <c r="G130" s="11"/>
      <c r="H130" s="14"/>
      <c r="I130" s="14"/>
      <c r="J130" s="14"/>
      <c r="K130" s="14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33">
        <f t="array" ref="A131">IF(ROWS(A$4:A131)&lt;=$B$2,INDEX(data!C$3:C$16128,SMALL(IF(data!$D$3:$D$16128='Свобода'!$B$1,ROW(data!$A$3:$A$16128)-ROW($A$3)+1),ROWS(A$4:A131))),"")</f>
        <v>46182</v>
      </c>
      <c r="B131" s="19" t="str">
        <f t="array" ref="B131">IF(ROWS(B$4:B131)&lt;=$B$2,INDEX(data!A$3:A$16128,SMALL(IF(data!$D$3:$D$16128='Свобода'!$B$1,ROW(data!$A$3:$A$16128)-ROW($A$3)+1),ROWS(B$4:B131))),"")</f>
        <v>каса ФИКТИВНА</v>
      </c>
      <c r="C131" s="19">
        <f t="array" ref="C131">IF(ROWS(C$4:C131)&lt;=$B$2,INDEX(data!B$3:B$16128,SMALL(IF(data!$D$3:$D$16128='Свобода'!$B$1,ROW(data!$A$3:$A$16128)-ROW($A$3)+1),ROWS(C$4:C131))),"")</f>
        <v>-210.44</v>
      </c>
      <c r="D131" s="7" t="str">
        <f t="array" ref="D131">IF(ROWS(D$4:D131)&lt;=$B$2,INDEX(data!E$3:E$16128,SMALL(IF(data!$D$3:$D$16128='Свобода'!$B$1,ROW(data!$A$3:$A$16128)-ROW($A$3)+1),ROWS(D$4:D131))),"")</f>
        <v>пазар ТБ</v>
      </c>
      <c r="E131" s="11"/>
      <c r="F131" s="11"/>
      <c r="G131" s="11"/>
      <c r="H131" s="14"/>
      <c r="I131" s="14"/>
      <c r="J131" s="14"/>
      <c r="K131" s="14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33">
        <f t="array" ref="A132">IF(ROWS(A$4:A132)&lt;=$B$2,INDEX(data!C$3:C$16128,SMALL(IF(data!$D$3:$D$16128='Свобода'!$B$1,ROW(data!$A$3:$A$16128)-ROW($A$3)+1),ROWS(A$4:A132))),"")</f>
        <v>46182</v>
      </c>
      <c r="B132" s="19" t="str">
        <f t="array" ref="B132">IF(ROWS(B$4:B132)&lt;=$B$2,INDEX(data!A$3:A$16128,SMALL(IF(data!$D$3:$D$16128='Свобода'!$B$1,ROW(data!$A$3:$A$16128)-ROW($A$3)+1),ROWS(B$4:B132))),"")</f>
        <v>MYPOS Бакалия</v>
      </c>
      <c r="C132" s="19">
        <f t="array" ref="C132">IF(ROWS(C$4:C132)&lt;=$B$2,INDEX(data!B$3:B$16128,SMALL(IF(data!$D$3:$D$16128='Свобода'!$B$1,ROW(data!$A$3:$A$16128)-ROW($A$3)+1),ROWS(C$4:C132))),"")</f>
        <v>-4953.96</v>
      </c>
      <c r="D132" s="7" t="str">
        <f t="array" ref="D132">IF(ROWS(D$4:D132)&lt;=$B$2,INDEX(data!E$3:E$16128,SMALL(IF(data!$D$3:$D$16128='Свобода'!$B$1,ROW(data!$A$3:$A$16128)-ROW($A$3)+1),ROWS(D$4:D132))),"")</f>
        <v/>
      </c>
      <c r="E132" s="11"/>
      <c r="F132" s="11"/>
      <c r="G132" s="11"/>
      <c r="H132" s="14"/>
      <c r="I132" s="14"/>
      <c r="J132" s="14"/>
      <c r="K132" s="14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3">
        <f t="array" ref="A133">IF(ROWS(A$4:A133)&lt;=$B$2,INDEX(data!C$3:C$16128,SMALL(IF(data!$D$3:$D$16128='Свобода'!$B$1,ROW(data!$A$3:$A$16128)-ROW($A$3)+1),ROWS(A$4:A133))),"")</f>
        <v>46182</v>
      </c>
      <c r="B133" s="19" t="str">
        <f t="array" ref="B133">IF(ROWS(B$4:B133)&lt;=$B$2,INDEX(data!A$3:A$16128,SMALL(IF(data!$D$3:$D$16128='Свобода'!$B$1,ROW(data!$A$3:$A$16128)-ROW($A$3)+1),ROWS(B$4:B133))),"")</f>
        <v>ПОС ДСК Бакалия</v>
      </c>
      <c r="C133" s="19">
        <f t="array" ref="C133">IF(ROWS(C$4:C133)&lt;=$B$2,INDEX(data!B$3:B$16128,SMALL(IF(data!$D$3:$D$16128='Свобода'!$B$1,ROW(data!$A$3:$A$16128)-ROW($A$3)+1),ROWS(C$4:C133))),"")</f>
        <v>-2974.39</v>
      </c>
      <c r="D133" s="7" t="str">
        <f t="array" ref="D133">IF(ROWS(D$4:D133)&lt;=$B$2,INDEX(data!E$3:E$16128,SMALL(IF(data!$D$3:$D$16128='Свобода'!$B$1,ROW(data!$A$3:$A$16128)-ROW($A$3)+1),ROWS(D$4:D133))),"")</f>
        <v/>
      </c>
      <c r="E133" s="11"/>
      <c r="F133" s="11"/>
      <c r="G133" s="11"/>
      <c r="H133" s="14"/>
      <c r="I133" s="14"/>
      <c r="J133" s="14"/>
      <c r="K133" s="14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33">
        <f t="array" ref="A134">IF(ROWS(A$4:A134)&lt;=$B$2,INDEX(data!C$3:C$16128,SMALL(IF(data!$D$3:$D$16128='Свобода'!$B$1,ROW(data!$A$3:$A$16128)-ROW($A$3)+1),ROWS(A$4:A134))),"")</f>
        <v>46183</v>
      </c>
      <c r="B134" s="19" t="str">
        <f t="array" ref="B134">IF(ROWS(B$4:B134)&lt;=$B$2,INDEX(data!A$3:A$16128,SMALL(IF(data!$D$3:$D$16128='Свобода'!$B$1,ROW(data!$A$3:$A$16128)-ROW($A$3)+1),ROWS(B$4:B134))),"")</f>
        <v>ПОС ДСК Бакалия</v>
      </c>
      <c r="C134" s="19">
        <f t="array" ref="C134">IF(ROWS(C$4:C134)&lt;=$B$2,INDEX(data!B$3:B$16128,SMALL(IF(data!$D$3:$D$16128='Свобода'!$B$1,ROW(data!$A$3:$A$16128)-ROW($A$3)+1),ROWS(C$4:C134))),"")</f>
        <v>1334.38</v>
      </c>
      <c r="D134" s="7" t="str">
        <f t="array" ref="D134">IF(ROWS(D$4:D134)&lt;=$B$2,INDEX(data!E$3:E$16128,SMALL(IF(data!$D$3:$D$16128='Свобода'!$B$1,ROW(data!$A$3:$A$16128)-ROW($A$3)+1),ROWS(D$4:D134))),"")</f>
        <v>с обратен знак дубл пос 25-31,04</v>
      </c>
      <c r="E134" s="11"/>
      <c r="F134" s="11"/>
      <c r="G134" s="11"/>
      <c r="H134" s="14"/>
      <c r="I134" s="14"/>
      <c r="J134" s="14"/>
      <c r="K134" s="14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33">
        <f t="array" ref="A135">IF(ROWS(A$4:A135)&lt;=$B$2,INDEX(data!C$3:C$16128,SMALL(IF(data!$D$3:$D$16128='Свобода'!$B$1,ROW(data!$A$3:$A$16128)-ROW($A$3)+1),ROWS(A$4:A135))),"")</f>
        <v>46183</v>
      </c>
      <c r="B135" s="19" t="str">
        <f t="array" ref="B135">IF(ROWS(B$4:B135)&lt;=$B$2,INDEX(data!A$3:A$16128,SMALL(IF(data!$D$3:$D$16128='Свобода'!$B$1,ROW(data!$A$3:$A$16128)-ROW($A$3)+1),ROWS(B$4:B135))),"")</f>
        <v>ПОС ДСК Бакалия</v>
      </c>
      <c r="C135" s="19">
        <f t="array" ref="C135">IF(ROWS(C$4:C135)&lt;=$B$2,INDEX(data!B$3:B$16128,SMALL(IF(data!$D$3:$D$16128='Свобода'!$B$1,ROW(data!$A$3:$A$16128)-ROW($A$3)+1),ROWS(C$4:C135))),"")</f>
        <v>-1713.64</v>
      </c>
      <c r="D135" s="7" t="str">
        <f t="array" ref="D135">IF(ROWS(D$4:D135)&lt;=$B$2,INDEX(data!E$3:E$16128,SMALL(IF(data!$D$3:$D$16128='Свобода'!$B$1,ROW(data!$A$3:$A$16128)-ROW($A$3)+1),ROWS(D$4:D135))),"")</f>
        <v>18-24,05</v>
      </c>
      <c r="E135" s="11"/>
      <c r="F135" s="11"/>
      <c r="G135" s="11"/>
      <c r="H135" s="14"/>
      <c r="I135" s="14"/>
      <c r="J135" s="14"/>
      <c r="K135" s="14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33">
        <f t="array" ref="A136">IF(ROWS(A$4:A136)&lt;=$B$2,INDEX(data!C$3:C$16128,SMALL(IF(data!$D$3:$D$16128='Свобода'!$B$1,ROW(data!$A$3:$A$16128)-ROW($A$3)+1),ROWS(A$4:A136))),"")</f>
        <v>46183</v>
      </c>
      <c r="B136" s="19" t="str">
        <f t="array" ref="B136">IF(ROWS(B$4:B136)&lt;=$B$2,INDEX(data!A$3:A$16128,SMALL(IF(data!$D$3:$D$16128='Свобода'!$B$1,ROW(data!$A$3:$A$16128)-ROW($A$3)+1),ROWS(B$4:B136))),"")</f>
        <v>КАСОВА КНИГА</v>
      </c>
      <c r="C136" s="19">
        <f t="array" ref="C136">IF(ROWS(C$4:C136)&lt;=$B$2,INDEX(data!B$3:B$16128,SMALL(IF(data!$D$3:$D$16128='Свобода'!$B$1,ROW(data!$A$3:$A$16128)-ROW($A$3)+1),ROWS(C$4:C136))),"")</f>
        <v>-500</v>
      </c>
      <c r="D136" s="7" t="str">
        <f t="array" ref="D136">IF(ROWS(D$4:D136)&lt;=$B$2,INDEX(data!E$3:E$16128,SMALL(IF(data!$D$3:$D$16128='Свобода'!$B$1,ROW(data!$A$3:$A$16128)-ROW($A$3)+1),ROWS(D$4:D136))),"")</f>
        <v/>
      </c>
      <c r="E136" s="11"/>
      <c r="F136" s="11"/>
      <c r="G136" s="11"/>
      <c r="H136" s="14"/>
      <c r="I136" s="14"/>
      <c r="J136" s="14"/>
      <c r="K136" s="14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33">
        <f t="array" ref="A137">IF(ROWS(A$4:A137)&lt;=$B$2,INDEX(data!C$3:C$16128,SMALL(IF(data!$D$3:$D$16128='Свобода'!$B$1,ROW(data!$A$3:$A$16128)-ROW($A$3)+1),ROWS(A$4:A137))),"")</f>
        <v>46185</v>
      </c>
      <c r="B137" s="19" t="str">
        <f t="array" ref="B137">IF(ROWS(B$4:B137)&lt;=$B$2,INDEX(data!A$3:A$16128,SMALL(IF(data!$D$3:$D$16128='Свобода'!$B$1,ROW(data!$A$3:$A$16128)-ROW($A$3)+1),ROWS(B$4:B137))),"")</f>
        <v>каса ФИКТИВНА</v>
      </c>
      <c r="C137" s="19">
        <f t="array" ref="C137">IF(ROWS(C$4:C137)&lt;=$B$2,INDEX(data!B$3:B$16128,SMALL(IF(data!$D$3:$D$16128='Свобода'!$B$1,ROW(data!$A$3:$A$16128)-ROW($A$3)+1),ROWS(C$4:C137))),"")</f>
        <v>-25.45</v>
      </c>
      <c r="D137" s="7" t="str">
        <f t="array" ref="D137">IF(ROWS(D$4:D137)&lt;=$B$2,INDEX(data!E$3:E$16128,SMALL(IF(data!$D$3:$D$16128='Свобода'!$B$1,ROW(data!$A$3:$A$16128)-ROW($A$3)+1),ROWS(D$4:D137))),"")</f>
        <v>пазар шефа</v>
      </c>
      <c r="E137" s="11"/>
      <c r="F137" s="11"/>
      <c r="G137" s="11"/>
      <c r="H137" s="14"/>
      <c r="I137" s="14"/>
      <c r="J137" s="14"/>
      <c r="K137" s="14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33">
        <f t="array" ref="A138">IF(ROWS(A$4:A138)&lt;=$B$2,INDEX(data!C$3:C$16128,SMALL(IF(data!$D$3:$D$16128='Свобода'!$B$1,ROW(data!$A$3:$A$16128)-ROW($A$3)+1),ROWS(A$4:A138))),"")</f>
        <v>46188</v>
      </c>
      <c r="B138" s="19" t="str">
        <f t="array" ref="B138">IF(ROWS(B$4:B138)&lt;=$B$2,INDEX(data!A$3:A$16128,SMALL(IF(data!$D$3:$D$16128='Свобода'!$B$1,ROW(data!$A$3:$A$16128)-ROW($A$3)+1),ROWS(B$4:B138))),"")</f>
        <v>MYPOS Бакалия</v>
      </c>
      <c r="C138" s="19">
        <f t="array" ref="C138">IF(ROWS(C$4:C138)&lt;=$B$2,INDEX(data!B$3:B$16128,SMALL(IF(data!$D$3:$D$16128='Свобода'!$B$1,ROW(data!$A$3:$A$16128)-ROW($A$3)+1),ROWS(C$4:C138))),"")</f>
        <v>-6794.82</v>
      </c>
      <c r="D138" s="7" t="str">
        <f t="array" ref="D138">IF(ROWS(D$4:D138)&lt;=$B$2,INDEX(data!E$3:E$16128,SMALL(IF(data!$D$3:$D$16128='Свобода'!$B$1,ROW(data!$A$3:$A$16128)-ROW($A$3)+1),ROWS(D$4:D138))),"")</f>
        <v/>
      </c>
      <c r="E138" s="11"/>
      <c r="F138" s="11"/>
      <c r="G138" s="11"/>
      <c r="H138" s="14"/>
      <c r="I138" s="14"/>
      <c r="J138" s="14"/>
      <c r="K138" s="14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33">
        <f t="array" ref="A139">IF(ROWS(A$4:A139)&lt;=$B$2,INDEX(data!C$3:C$16128,SMALL(IF(data!$D$3:$D$16128='Свобода'!$B$1,ROW(data!$A$3:$A$16128)-ROW($A$3)+1),ROWS(A$4:A139))),"")</f>
        <v>46188</v>
      </c>
      <c r="B139" s="19" t="str">
        <f t="array" ref="B139">IF(ROWS(B$4:B139)&lt;=$B$2,INDEX(data!A$3:A$16128,SMALL(IF(data!$D$3:$D$16128='Свобода'!$B$1,ROW(data!$A$3:$A$16128)-ROW($A$3)+1),ROWS(B$4:B139))),"")</f>
        <v>КАСОВА КНИГА</v>
      </c>
      <c r="C139" s="19">
        <f t="array" ref="C139">IF(ROWS(C$4:C139)&lt;=$B$2,INDEX(data!B$3:B$16128,SMALL(IF(data!$D$3:$D$16128='Свобода'!$B$1,ROW(data!$A$3:$A$16128)-ROW($A$3)+1),ROWS(C$4:C139))),"")</f>
        <v>-2000</v>
      </c>
      <c r="D139" s="7" t="str">
        <f t="array" ref="D139">IF(ROWS(D$4:D139)&lt;=$B$2,INDEX(data!E$3:E$16128,SMALL(IF(data!$D$3:$D$16128='Свобода'!$B$1,ROW(data!$A$3:$A$16128)-ROW($A$3)+1),ROWS(D$4:D139))),"")</f>
        <v/>
      </c>
      <c r="E139" s="11"/>
      <c r="F139" s="11"/>
      <c r="G139" s="11"/>
      <c r="H139" s="14"/>
      <c r="I139" s="14"/>
      <c r="J139" s="14"/>
      <c r="K139" s="14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33">
        <f t="array" ref="A140">IF(ROWS(A$4:A140)&lt;=$B$2,INDEX(data!C$3:C$16128,SMALL(IF(data!$D$3:$D$16128='Свобода'!$B$1,ROW(data!$A$3:$A$16128)-ROW($A$3)+1),ROWS(A$4:A140))),"")</f>
        <v>46188</v>
      </c>
      <c r="B140" s="19" t="str">
        <f t="array" ref="B140">IF(ROWS(B$4:B140)&lt;=$B$2,INDEX(data!A$3:A$16128,SMALL(IF(data!$D$3:$D$16128='Свобода'!$B$1,ROW(data!$A$3:$A$16128)-ROW($A$3)+1),ROWS(B$4:B140))),"")</f>
        <v>ПОС ДСК Бакалия</v>
      </c>
      <c r="C140" s="19">
        <f t="array" ref="C140">IF(ROWS(C$4:C140)&lt;=$B$2,INDEX(data!B$3:B$16128,SMALL(IF(data!$D$3:$D$16128='Свобода'!$B$1,ROW(data!$A$3:$A$16128)-ROW($A$3)+1),ROWS(C$4:C140))),"")</f>
        <v>-1756.63</v>
      </c>
      <c r="D140" s="7" t="str">
        <f t="array" ref="D140">IF(ROWS(D$4:D140)&lt;=$B$2,INDEX(data!E$3:E$16128,SMALL(IF(data!$D$3:$D$16128='Свобода'!$B$1,ROW(data!$A$3:$A$16128)-ROW($A$3)+1),ROWS(D$4:D140))),"")</f>
        <v/>
      </c>
      <c r="E140" s="11"/>
      <c r="F140" s="11"/>
      <c r="G140" s="11"/>
      <c r="H140" s="14"/>
      <c r="I140" s="14"/>
      <c r="J140" s="14"/>
      <c r="K140" s="14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33">
        <f t="array" ref="A141">IF(ROWS(A$4:A141)&lt;=$B$2,INDEX(data!C$3:C$16128,SMALL(IF(data!$D$3:$D$16128='Свобода'!$B$1,ROW(data!$A$3:$A$16128)-ROW($A$3)+1),ROWS(A$4:A141))),"")</f>
        <v>46188</v>
      </c>
      <c r="B141" s="19" t="str">
        <f t="array" ref="B141">IF(ROWS(B$4:B141)&lt;=$B$2,INDEX(data!A$3:A$16128,SMALL(IF(data!$D$3:$D$16128='Свобода'!$B$1,ROW(data!$A$3:$A$16128)-ROW($A$3)+1),ROWS(B$4:B141))),"")</f>
        <v>ЗАЕМ</v>
      </c>
      <c r="C141" s="19">
        <f t="array" ref="C141">IF(ROWS(C$4:C141)&lt;=$B$2,INDEX(data!B$3:B$16128,SMALL(IF(data!$D$3:$D$16128='Свобода'!$B$1,ROW(data!$A$3:$A$16128)-ROW($A$3)+1),ROWS(C$4:C141))),"")</f>
        <v>57273.11</v>
      </c>
      <c r="D141" s="7" t="str">
        <f t="array" ref="D141">IF(ROWS(D$4:D141)&lt;=$B$2,INDEX(data!E$3:E$16128,SMALL(IF(data!$D$3:$D$16128='Свобода'!$B$1,ROW(data!$A$3:$A$16128)-ROW($A$3)+1),ROWS(D$4:D141))),"")</f>
        <v>Салдо склад + вътр. п-не</v>
      </c>
      <c r="E141" s="11"/>
      <c r="F141" s="11"/>
      <c r="G141" s="11"/>
      <c r="H141" s="14"/>
      <c r="I141" s="14"/>
      <c r="J141" s="14"/>
      <c r="K141" s="14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33">
        <f t="array" ref="A142">IF(ROWS(A$4:A142)&lt;=$B$2,INDEX(data!C$3:C$16128,SMALL(IF(data!$D$3:$D$16128='Свобода'!$B$1,ROW(data!$A$3:$A$16128)-ROW($A$3)+1),ROWS(A$4:A142))),"")</f>
        <v>46190</v>
      </c>
      <c r="B142" s="19" t="str">
        <f t="array" ref="B142">IF(ROWS(B$4:B142)&lt;=$B$2,INDEX(data!A$3:A$16128,SMALL(IF(data!$D$3:$D$16128='Свобода'!$B$1,ROW(data!$A$3:$A$16128)-ROW($A$3)+1),ROWS(B$4:B142))),"")</f>
        <v>КАСОВА КНИГА</v>
      </c>
      <c r="C142" s="19">
        <f t="array" ref="C142">IF(ROWS(C$4:C142)&lt;=$B$2,INDEX(data!B$3:B$16128,SMALL(IF(data!$D$3:$D$16128='Свобода'!$B$1,ROW(data!$A$3:$A$16128)-ROW($A$3)+1),ROWS(C$4:C142))),"")</f>
        <v>-1000</v>
      </c>
      <c r="D142" s="7" t="str">
        <f t="array" ref="D142">IF(ROWS(D$4:D142)&lt;=$B$2,INDEX(data!E$3:E$16128,SMALL(IF(data!$D$3:$D$16128='Свобода'!$B$1,ROW(data!$A$3:$A$16128)-ROW($A$3)+1),ROWS(D$4:D142))),"")</f>
        <v/>
      </c>
      <c r="E142" s="11"/>
      <c r="F142" s="11"/>
      <c r="G142" s="11"/>
      <c r="H142" s="14"/>
      <c r="I142" s="14"/>
      <c r="J142" s="14"/>
      <c r="K142" s="14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33">
        <f t="array" ref="A143">IF(ROWS(A$4:A143)&lt;=$B$2,INDEX(data!C$3:C$16128,SMALL(IF(data!$D$3:$D$16128='Свобода'!$B$1,ROW(data!$A$3:$A$16128)-ROW($A$3)+1),ROWS(A$4:A143))),"")</f>
        <v>46190</v>
      </c>
      <c r="B143" s="19" t="str">
        <f t="array" ref="B143">IF(ROWS(B$4:B143)&lt;=$B$2,INDEX(data!A$3:A$16128,SMALL(IF(data!$D$3:$D$16128='Свобода'!$B$1,ROW(data!$A$3:$A$16128)-ROW($A$3)+1),ROWS(B$4:B143))),"")</f>
        <v>Каса ВАУЧЕРИ</v>
      </c>
      <c r="C143" s="19">
        <f t="array" ref="C143">IF(ROWS(C$4:C143)&lt;=$B$2,INDEX(data!B$3:B$16128,SMALL(IF(data!$D$3:$D$16128='Свобода'!$B$1,ROW(data!$A$3:$A$16128)-ROW($A$3)+1),ROWS(C$4:C143))),"")</f>
        <v>-321.91</v>
      </c>
      <c r="D143" s="7" t="str">
        <f t="array" ref="D143">IF(ROWS(D$4:D143)&lt;=$B$2,INDEX(data!E$3:E$16128,SMALL(IF(data!$D$3:$D$16128='Свобода'!$B$1,ROW(data!$A$3:$A$16128)-ROW($A$3)+1),ROWS(D$4:D143))),"")</f>
        <v>за 01-07.06</v>
      </c>
      <c r="E143" s="11"/>
      <c r="F143" s="11"/>
      <c r="G143" s="11"/>
      <c r="H143" s="14"/>
      <c r="I143" s="14"/>
      <c r="J143" s="14"/>
      <c r="K143" s="14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33">
        <f t="array" ref="A144">IF(ROWS(A$4:A144)&lt;=$B$2,INDEX(data!C$3:C$16128,SMALL(IF(data!$D$3:$D$16128='Свобода'!$B$1,ROW(data!$A$3:$A$16128)-ROW($A$3)+1),ROWS(A$4:A144))),"")</f>
        <v>46192</v>
      </c>
      <c r="B144" s="19" t="str">
        <f t="array" ref="B144">IF(ROWS(B$4:B144)&lt;=$B$2,INDEX(data!A$3:A$16128,SMALL(IF(data!$D$3:$D$16128='Свобода'!$B$1,ROW(data!$A$3:$A$16128)-ROW($A$3)+1),ROWS(B$4:B144))),"")</f>
        <v>Каса ВАУЧЕРИ</v>
      </c>
      <c r="C144" s="19">
        <f t="array" ref="C144">IF(ROWS(C$4:C144)&lt;=$B$2,INDEX(data!B$3:B$16128,SMALL(IF(data!$D$3:$D$16128='Свобода'!$B$1,ROW(data!$A$3:$A$16128)-ROW($A$3)+1),ROWS(C$4:C144))),"")</f>
        <v>800</v>
      </c>
      <c r="D144" s="7" t="str">
        <f t="array" ref="D144">IF(ROWS(D$4:D144)&lt;=$B$2,INDEX(data!E$3:E$16128,SMALL(IF(data!$D$3:$D$16128='Свобода'!$B$1,ROW(data!$A$3:$A$16128)-ROW($A$3)+1),ROWS(D$4:D144))),"")</f>
        <v>ваучери персонал</v>
      </c>
      <c r="E144" s="11"/>
      <c r="F144" s="11"/>
      <c r="G144" s="11"/>
      <c r="H144" s="14"/>
      <c r="I144" s="14"/>
      <c r="J144" s="14"/>
      <c r="K144" s="14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33">
        <f t="array" ref="A145">IF(ROWS(A$4:A145)&lt;=$B$2,INDEX(data!C$3:C$16128,SMALL(IF(data!$D$3:$D$16128='Свобода'!$B$1,ROW(data!$A$3:$A$16128)-ROW($A$3)+1),ROWS(A$4:A145))),"")</f>
        <v>46195</v>
      </c>
      <c r="B145" s="19" t="str">
        <f t="array" ref="B145">IF(ROWS(B$4:B145)&lt;=$B$2,INDEX(data!A$3:A$16128,SMALL(IF(data!$D$3:$D$16128='Свобода'!$B$1,ROW(data!$A$3:$A$16128)-ROW($A$3)+1),ROWS(B$4:B145))),"")</f>
        <v>MYPOS Бакалия</v>
      </c>
      <c r="C145" s="19">
        <f t="array" ref="C145">IF(ROWS(C$4:C145)&lt;=$B$2,INDEX(data!B$3:B$16128,SMALL(IF(data!$D$3:$D$16128='Свобода'!$B$1,ROW(data!$A$3:$A$16128)-ROW($A$3)+1),ROWS(C$4:C145))),"")</f>
        <v>-5365.7</v>
      </c>
      <c r="D145" s="7" t="str">
        <f t="array" ref="D145">IF(ROWS(D$4:D145)&lt;=$B$2,INDEX(data!E$3:E$16128,SMALL(IF(data!$D$3:$D$16128='Свобода'!$B$1,ROW(data!$A$3:$A$16128)-ROW($A$3)+1),ROWS(D$4:D145))),"")</f>
        <v/>
      </c>
      <c r="E145" s="11"/>
      <c r="F145" s="11"/>
      <c r="G145" s="11"/>
      <c r="H145" s="14"/>
      <c r="I145" s="14"/>
      <c r="J145" s="14"/>
      <c r="K145" s="14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33">
        <f t="array" ref="A146">IF(ROWS(A$4:A146)&lt;=$B$2,INDEX(data!C$3:C$16128,SMALL(IF(data!$D$3:$D$16128='Свобода'!$B$1,ROW(data!$A$3:$A$16128)-ROW($A$3)+1),ROWS(A$4:A146))),"")</f>
        <v>46195</v>
      </c>
      <c r="B146" s="19" t="str">
        <f t="array" ref="B146">IF(ROWS(B$4:B146)&lt;=$B$2,INDEX(data!A$3:A$16128,SMALL(IF(data!$D$3:$D$16128='Свобода'!$B$1,ROW(data!$A$3:$A$16128)-ROW($A$3)+1),ROWS(B$4:B146))),"")</f>
        <v>КАСОВА КНИГА</v>
      </c>
      <c r="C146" s="19">
        <f t="array" ref="C146">IF(ROWS(C$4:C146)&lt;=$B$2,INDEX(data!B$3:B$16128,SMALL(IF(data!$D$3:$D$16128='Свобода'!$B$1,ROW(data!$A$3:$A$16128)-ROW($A$3)+1),ROWS(C$4:C146))),"")</f>
        <v>-1500</v>
      </c>
      <c r="D146" s="7" t="str">
        <f t="array" ref="D146">IF(ROWS(D$4:D146)&lt;=$B$2,INDEX(data!E$3:E$16128,SMALL(IF(data!$D$3:$D$16128='Свобода'!$B$1,ROW(data!$A$3:$A$16128)-ROW($A$3)+1),ROWS(D$4:D146))),"")</f>
        <v/>
      </c>
      <c r="E146" s="11"/>
      <c r="F146" s="11"/>
      <c r="G146" s="11"/>
      <c r="H146" s="14"/>
      <c r="I146" s="14"/>
      <c r="J146" s="14"/>
      <c r="K146" s="14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33">
        <f t="array" ref="A147">IF(ROWS(A$4:A147)&lt;=$B$2,INDEX(data!C$3:C$16128,SMALL(IF(data!$D$3:$D$16128='Свобода'!$B$1,ROW(data!$A$3:$A$16128)-ROW($A$3)+1),ROWS(A$4:A147))),"")</f>
        <v>46195</v>
      </c>
      <c r="B147" s="19" t="str">
        <f t="array" ref="B147">IF(ROWS(B$4:B147)&lt;=$B$2,INDEX(data!A$3:A$16128,SMALL(IF(data!$D$3:$D$16128='Свобода'!$B$1,ROW(data!$A$3:$A$16128)-ROW($A$3)+1),ROWS(B$4:B147))),"")</f>
        <v>ПОС ДСК Бакалия</v>
      </c>
      <c r="C147" s="19">
        <f t="array" ref="C147">IF(ROWS(C$4:C147)&lt;=$B$2,INDEX(data!B$3:B$16128,SMALL(IF(data!$D$3:$D$16128='Свобода'!$B$1,ROW(data!$A$3:$A$16128)-ROW($A$3)+1),ROWS(C$4:C147))),"")</f>
        <v>-1454.58</v>
      </c>
      <c r="D147" s="7" t="str">
        <f t="array" ref="D147">IF(ROWS(D$4:D147)&lt;=$B$2,INDEX(data!E$3:E$16128,SMALL(IF(data!$D$3:$D$16128='Свобода'!$B$1,ROW(data!$A$3:$A$16128)-ROW($A$3)+1),ROWS(D$4:D147))),"")</f>
        <v/>
      </c>
      <c r="E147" s="11"/>
      <c r="F147" s="11"/>
      <c r="G147" s="11"/>
      <c r="H147" s="14"/>
      <c r="I147" s="14"/>
      <c r="J147" s="14"/>
      <c r="K147" s="14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33">
        <f t="array" ref="A148">IF(ROWS(A$4:A148)&lt;=$B$2,INDEX(data!C$3:C$16128,SMALL(IF(data!$D$3:$D$16128='Свобода'!$B$1,ROW(data!$A$3:$A$16128)-ROW($A$3)+1),ROWS(A$4:A148))),"")</f>
        <v>46195</v>
      </c>
      <c r="B148" s="19" t="str">
        <f t="array" ref="B148">IF(ROWS(B$4:B148)&lt;=$B$2,INDEX(data!A$3:A$16128,SMALL(IF(data!$D$3:$D$16128='Свобода'!$B$1,ROW(data!$A$3:$A$16128)-ROW($A$3)+1),ROWS(B$4:B148))),"")</f>
        <v>каса ФИКТИВНА</v>
      </c>
      <c r="C148" s="19">
        <f t="array" ref="C148">IF(ROWS(C$4:C148)&lt;=$B$2,INDEX(data!B$3:B$16128,SMALL(IF(data!$D$3:$D$16128='Свобода'!$B$1,ROW(data!$A$3:$A$16128)-ROW($A$3)+1),ROWS(C$4:C148))),"")</f>
        <v>-300</v>
      </c>
      <c r="D148" s="7" t="str">
        <f t="array" ref="D148">IF(ROWS(D$4:D148)&lt;=$B$2,INDEX(data!E$3:E$16128,SMALL(IF(data!$D$3:$D$16128='Свобода'!$B$1,ROW(data!$A$3:$A$16128)-ROW($A$3)+1),ROWS(D$4:D148))),"")</f>
        <v>Цеци от премиите</v>
      </c>
      <c r="E148" s="11"/>
      <c r="F148" s="11"/>
      <c r="G148" s="11"/>
      <c r="H148" s="14"/>
      <c r="I148" s="14"/>
      <c r="J148" s="14"/>
      <c r="K148" s="14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33">
        <f t="array" ref="A149">IF(ROWS(A$4:A149)&lt;=$B$2,INDEX(data!C$3:C$16128,SMALL(IF(data!$D$3:$D$16128='Свобода'!$B$1,ROW(data!$A$3:$A$16128)-ROW($A$3)+1),ROWS(A$4:A149))),"")</f>
        <v>46197</v>
      </c>
      <c r="B149" s="19" t="str">
        <f t="array" ref="B149">IF(ROWS(B$4:B149)&lt;=$B$2,INDEX(data!A$3:A$16128,SMALL(IF(data!$D$3:$D$16128='Свобода'!$B$1,ROW(data!$A$3:$A$16128)-ROW($A$3)+1),ROWS(B$4:B149))),"")</f>
        <v>КАСОВА КНИГА</v>
      </c>
      <c r="C149" s="19">
        <f t="array" ref="C149">IF(ROWS(C$4:C149)&lt;=$B$2,INDEX(data!B$3:B$16128,SMALL(IF(data!$D$3:$D$16128='Свобода'!$B$1,ROW(data!$A$3:$A$16128)-ROW($A$3)+1),ROWS(C$4:C149))),"")</f>
        <v>-500</v>
      </c>
      <c r="D149" s="7" t="str">
        <f t="array" ref="D149">IF(ROWS(D$4:D149)&lt;=$B$2,INDEX(data!E$3:E$16128,SMALL(IF(data!$D$3:$D$16128='Свобода'!$B$1,ROW(data!$A$3:$A$16128)-ROW($A$3)+1),ROWS(D$4:D149))),"")</f>
        <v/>
      </c>
      <c r="E149" s="11"/>
      <c r="F149" s="11"/>
      <c r="G149" s="11"/>
      <c r="H149" s="14"/>
      <c r="I149" s="14"/>
      <c r="J149" s="14"/>
      <c r="K149" s="14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33">
        <f t="array" ref="A150">IF(ROWS(A$4:A150)&lt;=$B$2,INDEX(data!C$3:C$16128,SMALL(IF(data!$D$3:$D$16128='Свобода'!$B$1,ROW(data!$A$3:$A$16128)-ROW($A$3)+1),ROWS(A$4:A150))),"")</f>
        <v>46197</v>
      </c>
      <c r="B150" s="19" t="str">
        <f t="array" ref="B150">IF(ROWS(B$4:B150)&lt;=$B$2,INDEX(data!A$3:A$16128,SMALL(IF(data!$D$3:$D$16128='Свобода'!$B$1,ROW(data!$A$3:$A$16128)-ROW($A$3)+1),ROWS(B$4:B150))),"")</f>
        <v>Каса ВАУЧЕРИ</v>
      </c>
      <c r="C150" s="19">
        <f t="array" ref="C150">IF(ROWS(C$4:C150)&lt;=$B$2,INDEX(data!B$3:B$16128,SMALL(IF(data!$D$3:$D$16128='Свобода'!$B$1,ROW(data!$A$3:$A$16128)-ROW($A$3)+1),ROWS(C$4:C150))),"")</f>
        <v>-417.48</v>
      </c>
      <c r="D150" s="7" t="str">
        <f t="array" ref="D150">IF(ROWS(D$4:D150)&lt;=$B$2,INDEX(data!E$3:E$16128,SMALL(IF(data!$D$3:$D$16128='Свобода'!$B$1,ROW(data!$A$3:$A$16128)-ROW($A$3)+1),ROWS(D$4:D150))),"")</f>
        <v/>
      </c>
      <c r="E150" s="11"/>
      <c r="F150" s="11"/>
      <c r="G150" s="11"/>
      <c r="H150" s="14"/>
      <c r="I150" s="14"/>
      <c r="J150" s="14"/>
      <c r="K150" s="14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3">
        <f t="array" ref="A151">IF(ROWS(A$4:A151)&lt;=$B$2,INDEX(data!C$3:C$16128,SMALL(IF(data!$D$3:$D$16128='Свобода'!$B$1,ROW(data!$A$3:$A$16128)-ROW($A$3)+1),ROWS(A$4:A151))),"")</f>
        <v>46202</v>
      </c>
      <c r="B151" s="19" t="str">
        <f t="array" ref="B151">IF(ROWS(B$4:B151)&lt;=$B$2,INDEX(data!A$3:A$16128,SMALL(IF(data!$D$3:$D$16128='Свобода'!$B$1,ROW(data!$A$3:$A$16128)-ROW($A$3)+1),ROWS(B$4:B151))),"")</f>
        <v>MYPOS Бакалия</v>
      </c>
      <c r="C151" s="19">
        <f t="array" ref="C151">IF(ROWS(C$4:C151)&lt;=$B$2,INDEX(data!B$3:B$16128,SMALL(IF(data!$D$3:$D$16128='Свобода'!$B$1,ROW(data!$A$3:$A$16128)-ROW($A$3)+1),ROWS(C$4:C151))),"")</f>
        <v>-6389.25</v>
      </c>
      <c r="D151" s="7" t="str">
        <f t="array" ref="D151">IF(ROWS(D$4:D151)&lt;=$B$2,INDEX(data!E$3:E$16128,SMALL(IF(data!$D$3:$D$16128='Свобода'!$B$1,ROW(data!$A$3:$A$16128)-ROW($A$3)+1),ROWS(D$4:D151))),"")</f>
        <v/>
      </c>
      <c r="E151" s="11"/>
      <c r="F151" s="11"/>
      <c r="G151" s="11"/>
      <c r="H151" s="14"/>
      <c r="I151" s="14"/>
      <c r="J151" s="14"/>
      <c r="K151" s="14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33">
        <f t="array" ref="A152">IF(ROWS(A$4:A152)&lt;=$B$2,INDEX(data!C$3:C$16128,SMALL(IF(data!$D$3:$D$16128='Свобода'!$B$1,ROW(data!$A$3:$A$16128)-ROW($A$3)+1),ROWS(A$4:A152))),"")</f>
        <v>46202</v>
      </c>
      <c r="B152" s="19" t="str">
        <f t="array" ref="B152">IF(ROWS(B$4:B152)&lt;=$B$2,INDEX(data!A$3:A$16128,SMALL(IF(data!$D$3:$D$16128='Свобода'!$B$1,ROW(data!$A$3:$A$16128)-ROW($A$3)+1),ROWS(B$4:B152))),"")</f>
        <v>КАСОВА КНИГА</v>
      </c>
      <c r="C152" s="19">
        <f t="array" ref="C152">IF(ROWS(C$4:C152)&lt;=$B$2,INDEX(data!B$3:B$16128,SMALL(IF(data!$D$3:$D$16128='Свобода'!$B$1,ROW(data!$A$3:$A$16128)-ROW($A$3)+1),ROWS(C$4:C152))),"")</f>
        <v>-1000</v>
      </c>
      <c r="D152" s="7" t="str">
        <f t="array" ref="D152">IF(ROWS(D$4:D152)&lt;=$B$2,INDEX(data!E$3:E$16128,SMALL(IF(data!$D$3:$D$16128='Свобода'!$B$1,ROW(data!$A$3:$A$16128)-ROW($A$3)+1),ROWS(D$4:D152))),"")</f>
        <v/>
      </c>
      <c r="E152" s="11"/>
      <c r="F152" s="11"/>
      <c r="G152" s="11"/>
      <c r="H152" s="14"/>
      <c r="I152" s="14"/>
      <c r="J152" s="14"/>
      <c r="K152" s="14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33">
        <f t="array" ref="A153">IF(ROWS(A$4:A153)&lt;=$B$2,INDEX(data!C$3:C$16128,SMALL(IF(data!$D$3:$D$16128='Свобода'!$B$1,ROW(data!$A$3:$A$16128)-ROW($A$3)+1),ROWS(A$4:A153))),"")</f>
        <v>46202</v>
      </c>
      <c r="B153" s="19" t="str">
        <f t="array" ref="B153">IF(ROWS(B$4:B153)&lt;=$B$2,INDEX(data!A$3:A$16128,SMALL(IF(data!$D$3:$D$16128='Свобода'!$B$1,ROW(data!$A$3:$A$16128)-ROW($A$3)+1),ROWS(B$4:B153))),"")</f>
        <v>ПОС ДСК Бакалия</v>
      </c>
      <c r="C153" s="19">
        <f t="array" ref="C153">IF(ROWS(C$4:C153)&lt;=$B$2,INDEX(data!B$3:B$16128,SMALL(IF(data!$D$3:$D$16128='Свобода'!$B$1,ROW(data!$A$3:$A$16128)-ROW($A$3)+1),ROWS(C$4:C153))),"")</f>
        <v>-553.71</v>
      </c>
      <c r="D153" s="7" t="str">
        <f t="array" ref="D153">IF(ROWS(D$4:D153)&lt;=$B$2,INDEX(data!E$3:E$16128,SMALL(IF(data!$D$3:$D$16128='Свобода'!$B$1,ROW(data!$A$3:$A$16128)-ROW($A$3)+1),ROWS(D$4:D153))),"")</f>
        <v/>
      </c>
      <c r="E153" s="11"/>
      <c r="F153" s="11"/>
      <c r="G153" s="11"/>
      <c r="H153" s="14"/>
      <c r="I153" s="14"/>
      <c r="J153" s="14"/>
      <c r="K153" s="14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33">
        <f t="array" ref="A154">IF(ROWS(A$4:A154)&lt;=$B$2,INDEX(data!C$3:C$16128,SMALL(IF(data!$D$3:$D$16128='Свобода'!$B$1,ROW(data!$A$3:$A$16128)-ROW($A$3)+1),ROWS(A$4:A154))),"")</f>
        <v>46204</v>
      </c>
      <c r="B154" s="19" t="str">
        <f t="array" ref="B154">IF(ROWS(B$4:B154)&lt;=$B$2,INDEX(data!A$3:A$16128,SMALL(IF(data!$D$3:$D$16128='Свобода'!$B$1,ROW(data!$A$3:$A$16128)-ROW($A$3)+1),ROWS(B$4:B154))),"")</f>
        <v>КАСОВА КНИГА</v>
      </c>
      <c r="C154" s="19">
        <f t="array" ref="C154">IF(ROWS(C$4:C154)&lt;=$B$2,INDEX(data!B$3:B$16128,SMALL(IF(data!$D$3:$D$16128='Свобода'!$B$1,ROW(data!$A$3:$A$16128)-ROW($A$3)+1),ROWS(C$4:C154))),"")</f>
        <v>-500</v>
      </c>
      <c r="D154" s="7" t="str">
        <f t="array" ref="D154">IF(ROWS(D$4:D154)&lt;=$B$2,INDEX(data!E$3:E$16128,SMALL(IF(data!$D$3:$D$16128='Свобода'!$B$1,ROW(data!$A$3:$A$16128)-ROW($A$3)+1),ROWS(D$4:D154))),"")</f>
        <v/>
      </c>
      <c r="E154" s="11"/>
      <c r="F154" s="11"/>
      <c r="G154" s="11"/>
      <c r="H154" s="14"/>
      <c r="I154" s="14"/>
      <c r="J154" s="14"/>
      <c r="K154" s="14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33">
        <f t="array" ref="A155">IF(ROWS(A$4:A155)&lt;=$B$2,INDEX(data!C$3:C$16128,SMALL(IF(data!$D$3:$D$16128='Свобода'!$B$1,ROW(data!$A$3:$A$16128)-ROW($A$3)+1),ROWS(A$4:A155))),"")</f>
        <v>46209</v>
      </c>
      <c r="B155" s="19" t="str">
        <f t="array" ref="B155">IF(ROWS(B$4:B155)&lt;=$B$2,INDEX(data!A$3:A$16128,SMALL(IF(data!$D$3:$D$16128='Свобода'!$B$1,ROW(data!$A$3:$A$16128)-ROW($A$3)+1),ROWS(B$4:B155))),"")</f>
        <v>MYPOS Бакалия</v>
      </c>
      <c r="C155" s="19">
        <f t="array" ref="C155">IF(ROWS(C$4:C155)&lt;=$B$2,INDEX(data!B$3:B$16128,SMALL(IF(data!$D$3:$D$16128='Свобода'!$B$1,ROW(data!$A$3:$A$16128)-ROW($A$3)+1),ROWS(C$4:C155))),"")</f>
        <v>-6510.3</v>
      </c>
      <c r="D155" s="7" t="str">
        <f t="array" ref="D155">IF(ROWS(D$4:D155)&lt;=$B$2,INDEX(data!E$3:E$16128,SMALL(IF(data!$D$3:$D$16128='Свобода'!$B$1,ROW(data!$A$3:$A$16128)-ROW($A$3)+1),ROWS(D$4:D155))),"")</f>
        <v/>
      </c>
      <c r="E155" s="11"/>
      <c r="F155" s="11"/>
      <c r="G155" s="11"/>
      <c r="H155" s="14"/>
      <c r="I155" s="14"/>
      <c r="J155" s="14"/>
      <c r="K155" s="14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33">
        <f t="array" ref="A156">IF(ROWS(A$4:A156)&lt;=$B$2,INDEX(data!C$3:C$16128,SMALL(IF(data!$D$3:$D$16128='Свобода'!$B$1,ROW(data!$A$3:$A$16128)-ROW($A$3)+1),ROWS(A$4:A156))),"")</f>
        <v>46209</v>
      </c>
      <c r="B156" s="19" t="str">
        <f t="array" ref="B156">IF(ROWS(B$4:B156)&lt;=$B$2,INDEX(data!A$3:A$16128,SMALL(IF(data!$D$3:$D$16128='Свобода'!$B$1,ROW(data!$A$3:$A$16128)-ROW($A$3)+1),ROWS(B$4:B156))),"")</f>
        <v>КАСОВА КНИГА</v>
      </c>
      <c r="C156" s="19">
        <f t="array" ref="C156">IF(ROWS(C$4:C156)&lt;=$B$2,INDEX(data!B$3:B$16128,SMALL(IF(data!$D$3:$D$16128='Свобода'!$B$1,ROW(data!$A$3:$A$16128)-ROW($A$3)+1),ROWS(C$4:C156))),"")</f>
        <v>-1000</v>
      </c>
      <c r="D156" s="7" t="str">
        <f t="array" ref="D156">IF(ROWS(D$4:D156)&lt;=$B$2,INDEX(data!E$3:E$16128,SMALL(IF(data!$D$3:$D$16128='Свобода'!$B$1,ROW(data!$A$3:$A$16128)-ROW($A$3)+1),ROWS(D$4:D156))),"")</f>
        <v/>
      </c>
      <c r="E156" s="11"/>
      <c r="F156" s="11"/>
      <c r="G156" s="11"/>
      <c r="H156" s="14"/>
      <c r="I156" s="14"/>
      <c r="J156" s="14"/>
      <c r="K156" s="14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33">
        <f t="array" ref="A157">IF(ROWS(A$4:A157)&lt;=$B$2,INDEX(data!C$3:C$16128,SMALL(IF(data!$D$3:$D$16128='Свобода'!$B$1,ROW(data!$A$3:$A$16128)-ROW($A$3)+1),ROWS(A$4:A157))),"")</f>
        <v>46209</v>
      </c>
      <c r="B157" s="19" t="str">
        <f t="array" ref="B157">IF(ROWS(B$4:B157)&lt;=$B$2,INDEX(data!A$3:A$16128,SMALL(IF(data!$D$3:$D$16128='Свобода'!$B$1,ROW(data!$A$3:$A$16128)-ROW($A$3)+1),ROWS(B$4:B157))),"")</f>
        <v>Каса ВАУЧЕРИ</v>
      </c>
      <c r="C157" s="19">
        <f t="array" ref="C157">IF(ROWS(C$4:C157)&lt;=$B$2,INDEX(data!B$3:B$16128,SMALL(IF(data!$D$3:$D$16128='Свобода'!$B$1,ROW(data!$A$3:$A$16128)-ROW($A$3)+1),ROWS(C$4:C157))),"")</f>
        <v>-70</v>
      </c>
      <c r="D157" s="7" t="str">
        <f t="array" ref="D157">IF(ROWS(D$4:D157)&lt;=$B$2,INDEX(data!E$3:E$16128,SMALL(IF(data!$D$3:$D$16128='Свобода'!$B$1,ROW(data!$A$3:$A$16128)-ROW($A$3)+1),ROWS(D$4:D157))),"")</f>
        <v>към 22.06</v>
      </c>
      <c r="E157" s="11"/>
      <c r="F157" s="11"/>
      <c r="G157" s="11"/>
      <c r="H157" s="14"/>
      <c r="I157" s="14"/>
      <c r="J157" s="14"/>
      <c r="K157" s="14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33">
        <f t="array" ref="A158">IF(ROWS(A$4:A158)&lt;=$B$2,INDEX(data!C$3:C$16128,SMALL(IF(data!$D$3:$D$16128='Свобода'!$B$1,ROW(data!$A$3:$A$16128)-ROW($A$3)+1),ROWS(A$4:A158))),"")</f>
        <v>46211</v>
      </c>
      <c r="B158" s="19" t="str">
        <f t="array" ref="B158">IF(ROWS(B$4:B158)&lt;=$B$2,INDEX(data!A$3:A$16128,SMALL(IF(data!$D$3:$D$16128='Свобода'!$B$1,ROW(data!$A$3:$A$16128)-ROW($A$3)+1),ROWS(B$4:B158))),"")</f>
        <v>КАСОВА КНИГА</v>
      </c>
      <c r="C158" s="19">
        <f t="array" ref="C158">IF(ROWS(C$4:C158)&lt;=$B$2,INDEX(data!B$3:B$16128,SMALL(IF(data!$D$3:$D$16128='Свобода'!$B$1,ROW(data!$A$3:$A$16128)-ROW($A$3)+1),ROWS(C$4:C158))),"")</f>
        <v>-500</v>
      </c>
      <c r="D158" s="7" t="str">
        <f t="array" ref="D158">IF(ROWS(D$4:D158)&lt;=$B$2,INDEX(data!E$3:E$16128,SMALL(IF(data!$D$3:$D$16128='Свобода'!$B$1,ROW(data!$A$3:$A$16128)-ROW($A$3)+1),ROWS(D$4:D158))),"")</f>
        <v/>
      </c>
      <c r="E158" s="11"/>
      <c r="F158" s="11"/>
      <c r="G158" s="11"/>
      <c r="H158" s="14"/>
      <c r="I158" s="14"/>
      <c r="J158" s="14"/>
      <c r="K158" s="14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33">
        <f t="array" ref="A159">IF(ROWS(A$4:A159)&lt;=$B$2,INDEX(data!C$3:C$16128,SMALL(IF(data!$D$3:$D$16128='Свобода'!$B$1,ROW(data!$A$3:$A$16128)-ROW($A$3)+1),ROWS(A$4:A159))),"")</f>
        <v>46211</v>
      </c>
      <c r="B159" s="19" t="str">
        <f t="array" ref="B159">IF(ROWS(B$4:B159)&lt;=$B$2,INDEX(data!A$3:A$16128,SMALL(IF(data!$D$3:$D$16128='Свобода'!$B$1,ROW(data!$A$3:$A$16128)-ROW($A$3)+1),ROWS(B$4:B159))),"")</f>
        <v>каса ФИКТИВНА</v>
      </c>
      <c r="C159" s="19">
        <f t="array" ref="C159">IF(ROWS(C$4:C159)&lt;=$B$2,INDEX(data!B$3:B$16128,SMALL(IF(data!$D$3:$D$16128='Свобода'!$B$1,ROW(data!$A$3:$A$16128)-ROW($A$3)+1),ROWS(C$4:C159))),"")</f>
        <v>-170</v>
      </c>
      <c r="D159" s="7" t="str">
        <f t="array" ref="D159">IF(ROWS(D$4:D159)&lt;=$B$2,INDEX(data!E$3:E$16128,SMALL(IF(data!$D$3:$D$16128='Свобода'!$B$1,ROW(data!$A$3:$A$16128)-ROW($A$3)+1),ROWS(D$4:D159))),"")</f>
        <v>посуда непалци</v>
      </c>
      <c r="E159" s="11"/>
      <c r="F159" s="11"/>
      <c r="G159" s="11"/>
      <c r="H159" s="14"/>
      <c r="I159" s="14"/>
      <c r="J159" s="14"/>
      <c r="K159" s="14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33">
        <f t="array" ref="A160">IF(ROWS(A$4:A160)&lt;=$B$2,INDEX(data!C$3:C$16128,SMALL(IF(data!$D$3:$D$16128='Свобода'!$B$1,ROW(data!$A$3:$A$16128)-ROW($A$3)+1),ROWS(A$4:A160))),"")</f>
        <v>46213</v>
      </c>
      <c r="B160" s="19" t="str">
        <f t="array" ref="B160">IF(ROWS(B$4:B160)&lt;=$B$2,INDEX(data!A$3:A$16128,SMALL(IF(data!$D$3:$D$16128='Свобода'!$B$1,ROW(data!$A$3:$A$16128)-ROW($A$3)+1),ROWS(B$4:B160))),"")</f>
        <v>КАСОВА КНИГА</v>
      </c>
      <c r="C160" s="19">
        <f t="array" ref="C160">IF(ROWS(C$4:C160)&lt;=$B$2,INDEX(data!B$3:B$16128,SMALL(IF(data!$D$3:$D$16128='Свобода'!$B$1,ROW(data!$A$3:$A$16128)-ROW($A$3)+1),ROWS(C$4:C160))),"")</f>
        <v>-500</v>
      </c>
      <c r="D160" s="7" t="str">
        <f t="array" ref="D160">IF(ROWS(D$4:D160)&lt;=$B$2,INDEX(data!E$3:E$16128,SMALL(IF(data!$D$3:$D$16128='Свобода'!$B$1,ROW(data!$A$3:$A$16128)-ROW($A$3)+1),ROWS(D$4:D160))),"")</f>
        <v/>
      </c>
      <c r="E160" s="11"/>
      <c r="F160" s="11"/>
      <c r="G160" s="11"/>
      <c r="H160" s="14"/>
      <c r="I160" s="14"/>
      <c r="J160" s="14"/>
      <c r="K160" s="14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3">
        <f t="array" ref="A161">IF(ROWS(A$4:A161)&lt;=$B$2,INDEX(data!C$3:C$16128,SMALL(IF(data!$D$3:$D$16128='Свобода'!$B$1,ROW(data!$A$3:$A$16128)-ROW($A$3)+1),ROWS(A$4:A161))),"")</f>
        <v>46213</v>
      </c>
      <c r="B161" s="19" t="str">
        <f t="array" ref="B161">IF(ROWS(B$4:B161)&lt;=$B$2,INDEX(data!A$3:A$16128,SMALL(IF(data!$D$3:$D$16128='Свобода'!$B$1,ROW(data!$A$3:$A$16128)-ROW($A$3)+1),ROWS(B$4:B161))),"")</f>
        <v>каса ФИКТИВНА</v>
      </c>
      <c r="C161" s="19">
        <f t="array" ref="C161">IF(ROWS(C$4:C161)&lt;=$B$2,INDEX(data!B$3:B$16128,SMALL(IF(data!$D$3:$D$16128='Свобода'!$B$1,ROW(data!$A$3:$A$16128)-ROW($A$3)+1),ROWS(C$4:C161))),"")</f>
        <v>-450</v>
      </c>
      <c r="D161" s="7" t="str">
        <f t="array" ref="D161">IF(ROWS(D$4:D161)&lt;=$B$2,INDEX(data!E$3:E$16128,SMALL(IF(data!$D$3:$D$16128='Свобода'!$B$1,ROW(data!$A$3:$A$16128)-ROW($A$3)+1),ROWS(D$4:D161))),"")</f>
        <v>Цеци от премиите</v>
      </c>
      <c r="E161" s="11"/>
      <c r="F161" s="11"/>
      <c r="G161" s="11"/>
      <c r="H161" s="14"/>
      <c r="I161" s="14"/>
      <c r="J161" s="14"/>
      <c r="K161" s="14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33">
        <f t="array" ref="A162">IF(ROWS(A$4:A162)&lt;=$B$2,INDEX(data!C$3:C$16128,SMALL(IF(data!$D$3:$D$16128='Свобода'!$B$1,ROW(data!$A$3:$A$16128)-ROW($A$3)+1),ROWS(A$4:A162))),"")</f>
        <v>46216</v>
      </c>
      <c r="B162" s="19" t="str">
        <f t="array" ref="B162">IF(ROWS(B$4:B162)&lt;=$B$2,INDEX(data!A$3:A$16128,SMALL(IF(data!$D$3:$D$16128='Свобода'!$B$1,ROW(data!$A$3:$A$16128)-ROW($A$3)+1),ROWS(B$4:B162))),"")</f>
        <v>КАСОВА КНИГА</v>
      </c>
      <c r="C162" s="19">
        <f t="array" ref="C162">IF(ROWS(C$4:C162)&lt;=$B$2,INDEX(data!B$3:B$16128,SMALL(IF(data!$D$3:$D$16128='Свобода'!$B$1,ROW(data!$A$3:$A$16128)-ROW($A$3)+1),ROWS(C$4:C162))),"")</f>
        <v>-1000</v>
      </c>
      <c r="D162" s="7" t="str">
        <f t="array" ref="D162">IF(ROWS(D$4:D162)&lt;=$B$2,INDEX(data!E$3:E$16128,SMALL(IF(data!$D$3:$D$16128='Свобода'!$B$1,ROW(data!$A$3:$A$16128)-ROW($A$3)+1),ROWS(D$4:D162))),"")</f>
        <v/>
      </c>
      <c r="E162" s="11"/>
      <c r="F162" s="11"/>
      <c r="G162" s="11"/>
      <c r="H162" s="14"/>
      <c r="I162" s="14"/>
      <c r="J162" s="14"/>
      <c r="K162" s="14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33">
        <f t="array" ref="A163">IF(ROWS(A$4:A163)&lt;=$B$2,INDEX(data!C$3:C$16128,SMALL(IF(data!$D$3:$D$16128='Свобода'!$B$1,ROW(data!$A$3:$A$16128)-ROW($A$3)+1),ROWS(A$4:A163))),"")</f>
        <v>46216</v>
      </c>
      <c r="B163" s="19" t="str">
        <f t="array" ref="B163">IF(ROWS(B$4:B163)&lt;=$B$2,INDEX(data!A$3:A$16128,SMALL(IF(data!$D$3:$D$16128='Свобода'!$B$1,ROW(data!$A$3:$A$16128)-ROW($A$3)+1),ROWS(B$4:B163))),"")</f>
        <v>каса ФИКТИВНА</v>
      </c>
      <c r="C163" s="19">
        <f t="array" ref="C163">IF(ROWS(C$4:C163)&lt;=$B$2,INDEX(data!B$3:B$16128,SMALL(IF(data!$D$3:$D$16128='Свобода'!$B$1,ROW(data!$A$3:$A$16128)-ROW($A$3)+1),ROWS(C$4:C163))),"")</f>
        <v>-22.58</v>
      </c>
      <c r="D163" s="7" t="str">
        <f t="array" ref="D163">IF(ROWS(D$4:D163)&lt;=$B$2,INDEX(data!E$3:E$16128,SMALL(IF(data!$D$3:$D$16128='Свобода'!$B$1,ROW(data!$A$3:$A$16128)-ROW($A$3)+1),ROWS(D$4:D163))),"")</f>
        <v>пазар шефа</v>
      </c>
      <c r="E163" s="11"/>
      <c r="F163" s="11"/>
      <c r="G163" s="11"/>
      <c r="H163" s="14"/>
      <c r="I163" s="14"/>
      <c r="J163" s="14"/>
      <c r="K163" s="14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33">
        <f t="array" ref="A164">IF(ROWS(A$4:A164)&lt;=$B$2,INDEX(data!C$3:C$16128,SMALL(IF(data!$D$3:$D$16128='Свобода'!$B$1,ROW(data!$A$3:$A$16128)-ROW($A$3)+1),ROWS(A$4:A164))),"")</f>
        <v>46218</v>
      </c>
      <c r="B164" s="19" t="str">
        <f t="array" ref="B164">IF(ROWS(B$4:B164)&lt;=$B$2,INDEX(data!A$3:A$16128,SMALL(IF(data!$D$3:$D$16128='Свобода'!$B$1,ROW(data!$A$3:$A$16128)-ROW($A$3)+1),ROWS(B$4:B164))),"")</f>
        <v>КАСОВА КНИГА</v>
      </c>
      <c r="C164" s="19">
        <f t="array" ref="C164">IF(ROWS(C$4:C164)&lt;=$B$2,INDEX(data!B$3:B$16128,SMALL(IF(data!$D$3:$D$16128='Свобода'!$B$1,ROW(data!$A$3:$A$16128)-ROW($A$3)+1),ROWS(C$4:C164))),"")</f>
        <v>-500</v>
      </c>
      <c r="D164" s="7" t="str">
        <f t="array" ref="D164">IF(ROWS(D$4:D164)&lt;=$B$2,INDEX(data!E$3:E$16128,SMALL(IF(data!$D$3:$D$16128='Свобода'!$B$1,ROW(data!$A$3:$A$16128)-ROW($A$3)+1),ROWS(D$4:D164))),"")</f>
        <v/>
      </c>
      <c r="E164" s="11"/>
      <c r="F164" s="11"/>
      <c r="G164" s="11"/>
      <c r="H164" s="14"/>
      <c r="I164" s="14"/>
      <c r="J164" s="14"/>
      <c r="K164" s="14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33">
        <f t="array" ref="A165">IF(ROWS(A$4:A165)&lt;=$B$2,INDEX(data!C$3:C$16128,SMALL(IF(data!$D$3:$D$16128='Свобода'!$B$1,ROW(data!$A$3:$A$16128)-ROW($A$3)+1),ROWS(A$4:A165))),"")</f>
        <v>46219</v>
      </c>
      <c r="B165" s="19" t="str">
        <f t="array" ref="B165">IF(ROWS(B$4:B165)&lt;=$B$2,INDEX(data!A$3:A$16128,SMALL(IF(data!$D$3:$D$16128='Свобода'!$B$1,ROW(data!$A$3:$A$16128)-ROW($A$3)+1),ROWS(B$4:B165))),"")</f>
        <v>Каса ВАУЧЕРИ</v>
      </c>
      <c r="C165" s="19">
        <f t="array" ref="C165">IF(ROWS(C$4:C165)&lt;=$B$2,INDEX(data!B$3:B$16128,SMALL(IF(data!$D$3:$D$16128='Свобода'!$B$1,ROW(data!$A$3:$A$16128)-ROW($A$3)+1),ROWS(C$4:C165))),"")</f>
        <v>-35</v>
      </c>
      <c r="D165" s="7" t="str">
        <f t="array" ref="D165">IF(ROWS(D$4:D165)&lt;=$B$2,INDEX(data!E$3:E$16128,SMALL(IF(data!$D$3:$D$16128='Свобода'!$B$1,ROW(data!$A$3:$A$16128)-ROW($A$3)+1),ROWS(D$4:D165))),"")</f>
        <v>за 22-28.06</v>
      </c>
      <c r="E165" s="11"/>
      <c r="F165" s="11"/>
      <c r="G165" s="11"/>
      <c r="H165" s="14"/>
      <c r="I165" s="14"/>
      <c r="J165" s="14"/>
      <c r="K165" s="14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3">
        <f t="array" ref="A166">IF(ROWS(A$4:A166)&lt;=$B$2,INDEX(data!C$3:C$16128,SMALL(IF(data!$D$3:$D$16128='Свобода'!$B$1,ROW(data!$A$3:$A$16128)-ROW($A$3)+1),ROWS(A$4:A166))),"")</f>
        <v>46219</v>
      </c>
      <c r="B166" s="19" t="str">
        <f t="array" ref="B166">IF(ROWS(B$4:B166)&lt;=$B$2,INDEX(data!A$3:A$16128,SMALL(IF(data!$D$3:$D$16128='Свобода'!$B$1,ROW(data!$A$3:$A$16128)-ROW($A$3)+1),ROWS(B$4:B166))),"")</f>
        <v>каса ФИКТИВНА</v>
      </c>
      <c r="C166" s="19">
        <f t="array" ref="C166">IF(ROWS(C$4:C166)&lt;=$B$2,INDEX(data!B$3:B$16128,SMALL(IF(data!$D$3:$D$16128='Свобода'!$B$1,ROW(data!$A$3:$A$16128)-ROW($A$3)+1),ROWS(C$4:C166))),"")</f>
        <v>-100</v>
      </c>
      <c r="D166" s="7" t="str">
        <f t="array" ref="D166">IF(ROWS(D$4:D166)&lt;=$B$2,INDEX(data!E$3:E$16128,SMALL(IF(data!$D$3:$D$16128='Свобода'!$B$1,ROW(data!$A$3:$A$16128)-ROW($A$3)+1),ROWS(D$4:D166))),"")</f>
        <v>Ния от заплатата</v>
      </c>
      <c r="E166" s="11"/>
      <c r="F166" s="11"/>
      <c r="G166" s="11"/>
      <c r="H166" s="14"/>
      <c r="I166" s="14"/>
      <c r="J166" s="14"/>
      <c r="K166" s="14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33">
        <f t="array" ref="A167">IF(ROWS(A$4:A167)&lt;=$B$2,INDEX(data!C$3:C$16128,SMALL(IF(data!$D$3:$D$16128='Свобода'!$B$1,ROW(data!$A$3:$A$16128)-ROW($A$3)+1),ROWS(A$4:A167))),"")</f>
        <v>46223</v>
      </c>
      <c r="B167" s="19" t="str">
        <f t="array" ref="B167">IF(ROWS(B$4:B167)&lt;=$B$2,INDEX(data!A$3:A$16128,SMALL(IF(data!$D$3:$D$16128='Свобода'!$B$1,ROW(data!$A$3:$A$16128)-ROW($A$3)+1),ROWS(B$4:B167))),"")</f>
        <v>КАСОВА КНИГА</v>
      </c>
      <c r="C167" s="19">
        <f t="array" ref="C167">IF(ROWS(C$4:C167)&lt;=$B$2,INDEX(data!B$3:B$16128,SMALL(IF(data!$D$3:$D$16128='Свобода'!$B$1,ROW(data!$A$3:$A$16128)-ROW($A$3)+1),ROWS(C$4:C167))),"")</f>
        <v>-2000</v>
      </c>
      <c r="D167" s="7" t="str">
        <f t="array" ref="D167">IF(ROWS(D$4:D167)&lt;=$B$2,INDEX(data!E$3:E$16128,SMALL(IF(data!$D$3:$D$16128='Свобода'!$B$1,ROW(data!$A$3:$A$16128)-ROW($A$3)+1),ROWS(D$4:D167))),"")</f>
        <v/>
      </c>
      <c r="E167" s="11"/>
      <c r="F167" s="11"/>
      <c r="G167" s="11"/>
      <c r="H167" s="14"/>
      <c r="I167" s="14"/>
      <c r="J167" s="14"/>
      <c r="K167" s="14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33">
        <f t="array" ref="A168">IF(ROWS(A$4:A168)&lt;=$B$2,INDEX(data!C$3:C$16128,SMALL(IF(data!$D$3:$D$16128='Свобода'!$B$1,ROW(data!$A$3:$A$16128)-ROW($A$3)+1),ROWS(A$4:A168))),"")</f>
        <v>46223</v>
      </c>
      <c r="B168" s="19" t="str">
        <f t="array" ref="B168">IF(ROWS(B$4:B168)&lt;=$B$2,INDEX(data!A$3:A$16128,SMALL(IF(data!$D$3:$D$16128='Свобода'!$B$1,ROW(data!$A$3:$A$16128)-ROW($A$3)+1),ROWS(B$4:B168))),"")</f>
        <v>Каса ВАУЧЕРИ</v>
      </c>
      <c r="C168" s="19">
        <f t="array" ref="C168">IF(ROWS(C$4:C168)&lt;=$B$2,INDEX(data!B$3:B$16128,SMALL(IF(data!$D$3:$D$16128='Свобода'!$B$1,ROW(data!$A$3:$A$16128)-ROW($A$3)+1),ROWS(C$4:C168))),"")</f>
        <v>800</v>
      </c>
      <c r="D168" s="7" t="str">
        <f t="array" ref="D168">IF(ROWS(D$4:D168)&lt;=$B$2,INDEX(data!E$3:E$16128,SMALL(IF(data!$D$3:$D$16128='Свобода'!$B$1,ROW(data!$A$3:$A$16128)-ROW($A$3)+1),ROWS(D$4:D168))),"")</f>
        <v>ваучери персонал</v>
      </c>
      <c r="E168" s="11"/>
      <c r="F168" s="11"/>
      <c r="G168" s="11"/>
      <c r="H168" s="14"/>
      <c r="I168" s="14"/>
      <c r="J168" s="14"/>
      <c r="K168" s="14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33">
        <f t="array" ref="A169">IF(ROWS(A$4:A169)&lt;=$B$2,INDEX(data!C$3:C$16128,SMALL(IF(data!$D$3:$D$16128='Свобода'!$B$1,ROW(data!$A$3:$A$16128)-ROW($A$3)+1),ROWS(A$4:A169))),"")</f>
        <v>46223</v>
      </c>
      <c r="B169" s="19" t="str">
        <f t="array" ref="B169">IF(ROWS(B$4:B169)&lt;=$B$2,INDEX(data!A$3:A$16128,SMALL(IF(data!$D$3:$D$16128='Свобода'!$B$1,ROW(data!$A$3:$A$16128)-ROW($A$3)+1),ROWS(B$4:B169))),"")</f>
        <v>MYPOS Бакалия</v>
      </c>
      <c r="C169" s="19">
        <f t="array" ref="C169">IF(ROWS(C$4:C169)&lt;=$B$2,INDEX(data!B$3:B$16128,SMALL(IF(data!$D$3:$D$16128='Свобода'!$B$1,ROW(data!$A$3:$A$16128)-ROW($A$3)+1),ROWS(C$4:C169))),"")</f>
        <v>-12532.47</v>
      </c>
      <c r="D169" s="7" t="str">
        <f t="array" ref="D169">IF(ROWS(D$4:D169)&lt;=$B$2,INDEX(data!E$3:E$16128,SMALL(IF(data!$D$3:$D$16128='Свобода'!$B$1,ROW(data!$A$3:$A$16128)-ROW($A$3)+1),ROWS(D$4:D169))),"")</f>
        <v/>
      </c>
      <c r="E169" s="11"/>
      <c r="F169" s="11"/>
      <c r="G169" s="11"/>
      <c r="H169" s="14"/>
      <c r="I169" s="14"/>
      <c r="J169" s="14"/>
      <c r="K169" s="14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33">
        <f t="array" ref="A170">IF(ROWS(A$4:A170)&lt;=$B$2,INDEX(data!C$3:C$16128,SMALL(IF(data!$D$3:$D$16128='Свобода'!$B$1,ROW(data!$A$3:$A$16128)-ROW($A$3)+1),ROWS(A$4:A170))),"")</f>
        <v>46224</v>
      </c>
      <c r="B170" s="19" t="str">
        <f t="array" ref="B170">IF(ROWS(B$4:B170)&lt;=$B$2,INDEX(data!A$3:A$16128,SMALL(IF(data!$D$3:$D$16128='Свобода'!$B$1,ROW(data!$A$3:$A$16128)-ROW($A$3)+1),ROWS(B$4:B170))),"")</f>
        <v>ЗАЕМ</v>
      </c>
      <c r="C170" s="19">
        <f t="array" ref="C170">IF(ROWS(C$4:C170)&lt;=$B$2,INDEX(data!B$3:B$16128,SMALL(IF(data!$D$3:$D$16128='Свобода'!$B$1,ROW(data!$A$3:$A$16128)-ROW($A$3)+1),ROWS(C$4:C170))),"")</f>
        <v>50901.53</v>
      </c>
      <c r="D170" s="7" t="str">
        <f t="array" ref="D170">IF(ROWS(D$4:D170)&lt;=$B$2,INDEX(data!E$3:E$16128,SMALL(IF(data!$D$3:$D$16128='Свобода'!$B$1,ROW(data!$A$3:$A$16128)-ROW($A$3)+1),ROWS(D$4:D170))),"")</f>
        <v>Салдо склад + вътр. п-не</v>
      </c>
      <c r="E170" s="11"/>
      <c r="F170" s="11"/>
      <c r="G170" s="11"/>
      <c r="H170" s="14"/>
      <c r="I170" s="14"/>
      <c r="J170" s="14"/>
      <c r="K170" s="14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33">
        <f t="array" ref="A171">IF(ROWS(A$4:A171)&lt;=$B$2,INDEX(data!C$3:C$16128,SMALL(IF(data!$D$3:$D$16128='Свобода'!$B$1,ROW(data!$A$3:$A$16128)-ROW($A$3)+1),ROWS(A$4:A171))),"")</f>
        <v>46225</v>
      </c>
      <c r="B171" s="19" t="str">
        <f t="array" ref="B171">IF(ROWS(B$4:B171)&lt;=$B$2,INDEX(data!A$3:A$16128,SMALL(IF(data!$D$3:$D$16128='Свобода'!$B$1,ROW(data!$A$3:$A$16128)-ROW($A$3)+1),ROWS(B$4:B171))),"")</f>
        <v>КАСОВА КНИГА</v>
      </c>
      <c r="C171" s="19">
        <f t="array" ref="C171">IF(ROWS(C$4:C171)&lt;=$B$2,INDEX(data!B$3:B$16128,SMALL(IF(data!$D$3:$D$16128='Свобода'!$B$1,ROW(data!$A$3:$A$16128)-ROW($A$3)+1),ROWS(C$4:C171))),"")</f>
        <v>-500</v>
      </c>
      <c r="D171" s="7" t="str">
        <f t="array" ref="D171">IF(ROWS(D$4:D171)&lt;=$B$2,INDEX(data!E$3:E$16128,SMALL(IF(data!$D$3:$D$16128='Свобода'!$B$1,ROW(data!$A$3:$A$16128)-ROW($A$3)+1),ROWS(D$4:D171))),"")</f>
        <v/>
      </c>
      <c r="E171" s="11"/>
      <c r="F171" s="11"/>
      <c r="G171" s="11"/>
      <c r="H171" s="14"/>
      <c r="I171" s="14"/>
      <c r="J171" s="14"/>
      <c r="K171" s="14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33">
        <f t="array" ref="A172">IF(ROWS(A$4:A172)&lt;=$B$2,INDEX(data!C$3:C$16128,SMALL(IF(data!$D$3:$D$16128='Свобода'!$B$1,ROW(data!$A$3:$A$16128)-ROW($A$3)+1),ROWS(A$4:A172))),"")</f>
        <v>46226</v>
      </c>
      <c r="B172" s="19" t="str">
        <f t="array" ref="B172">IF(ROWS(B$4:B172)&lt;=$B$2,INDEX(data!A$3:A$16128,SMALL(IF(data!$D$3:$D$16128='Свобода'!$B$1,ROW(data!$A$3:$A$16128)-ROW($A$3)+1),ROWS(B$4:B172))),"")</f>
        <v>Каса ВАУЧЕРИ</v>
      </c>
      <c r="C172" s="19">
        <f t="array" ref="C172">IF(ROWS(C$4:C172)&lt;=$B$2,INDEX(data!B$3:B$16128,SMALL(IF(data!$D$3:$D$16128='Свобода'!$B$1,ROW(data!$A$3:$A$16128)-ROW($A$3)+1),ROWS(C$4:C172))),"")</f>
        <v>-408</v>
      </c>
      <c r="D172" s="7" t="str">
        <f t="array" ref="D172">IF(ROWS(D$4:D172)&lt;=$B$2,INDEX(data!E$3:E$16128,SMALL(IF(data!$D$3:$D$16128='Свобода'!$B$1,ROW(data!$A$3:$A$16128)-ROW($A$3)+1),ROWS(D$4:D172))),"")</f>
        <v>към 13.07</v>
      </c>
      <c r="E172" s="11"/>
      <c r="F172" s="11"/>
      <c r="G172" s="11"/>
      <c r="H172" s="14"/>
      <c r="I172" s="14"/>
      <c r="J172" s="14"/>
      <c r="K172" s="14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33">
        <f t="array" ref="A173">IF(ROWS(A$4:A173)&lt;=$B$2,INDEX(data!C$3:C$16128,SMALL(IF(data!$D$3:$D$16128='Свобода'!$B$1,ROW(data!$A$3:$A$16128)-ROW($A$3)+1),ROWS(A$4:A173))),"")</f>
        <v>46230</v>
      </c>
      <c r="B173" s="19" t="str">
        <f t="array" ref="B173">IF(ROWS(B$4:B173)&lt;=$B$2,INDEX(data!A$3:A$16128,SMALL(IF(data!$D$3:$D$16128='Свобода'!$B$1,ROW(data!$A$3:$A$16128)-ROW($A$3)+1),ROWS(B$4:B173))),"")</f>
        <v>КАСОВА КНИГА</v>
      </c>
      <c r="C173" s="19">
        <f t="array" ref="C173">IF(ROWS(C$4:C173)&lt;=$B$2,INDEX(data!B$3:B$16128,SMALL(IF(data!$D$3:$D$16128='Свобода'!$B$1,ROW(data!$A$3:$A$16128)-ROW($A$3)+1),ROWS(C$4:C173))),"")</f>
        <v>-1500</v>
      </c>
      <c r="D173" s="7" t="str">
        <f t="array" ref="D173">IF(ROWS(D$4:D173)&lt;=$B$2,INDEX(data!E$3:E$16128,SMALL(IF(data!$D$3:$D$16128='Свобода'!$B$1,ROW(data!$A$3:$A$16128)-ROW($A$3)+1),ROWS(D$4:D173))),"")</f>
        <v/>
      </c>
      <c r="E173" s="11"/>
      <c r="F173" s="11"/>
      <c r="G173" s="11"/>
      <c r="H173" s="14"/>
      <c r="I173" s="14"/>
      <c r="J173" s="14"/>
      <c r="K173" s="14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33">
        <f t="array" ref="A174">IF(ROWS(A$4:A174)&lt;=$B$2,INDEX(data!C$3:C$16128,SMALL(IF(data!$D$3:$D$16128='Свобода'!$B$1,ROW(data!$A$3:$A$16128)-ROW($A$3)+1),ROWS(A$4:A174))),"")</f>
        <v>46231</v>
      </c>
      <c r="B174" s="19" t="str">
        <f t="array" ref="B174">IF(ROWS(B$4:B174)&lt;=$B$2,INDEX(data!A$3:A$16128,SMALL(IF(data!$D$3:$D$16128='Свобода'!$B$1,ROW(data!$A$3:$A$16128)-ROW($A$3)+1),ROWS(B$4:B174))),"")</f>
        <v>MYPOS Бакалия</v>
      </c>
      <c r="C174" s="19">
        <f t="array" ref="C174">IF(ROWS(C$4:C174)&lt;=$B$2,INDEX(data!B$3:B$16128,SMALL(IF(data!$D$3:$D$16128='Свобода'!$B$1,ROW(data!$A$3:$A$16128)-ROW($A$3)+1),ROWS(C$4:C174))),"")</f>
        <v>-6801</v>
      </c>
      <c r="D174" s="7" t="str">
        <f t="array" ref="D174">IF(ROWS(D$4:D174)&lt;=$B$2,INDEX(data!E$3:E$16128,SMALL(IF(data!$D$3:$D$16128='Свобода'!$B$1,ROW(data!$A$3:$A$16128)-ROW($A$3)+1),ROWS(D$4:D174))),"")</f>
        <v/>
      </c>
      <c r="E174" s="11"/>
      <c r="F174" s="11"/>
      <c r="G174" s="11"/>
      <c r="H174" s="14"/>
      <c r="I174" s="14"/>
      <c r="J174" s="14"/>
      <c r="K174" s="14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33">
        <f t="array" ref="A175">IF(ROWS(A$4:A175)&lt;=$B$2,INDEX(data!C$3:C$16128,SMALL(IF(data!$D$3:$D$16128='Свобода'!$B$1,ROW(data!$A$3:$A$16128)-ROW($A$3)+1),ROWS(A$4:A175))),"")</f>
        <v>46232</v>
      </c>
      <c r="B175" s="19" t="str">
        <f t="array" ref="B175">IF(ROWS(B$4:B175)&lt;=$B$2,INDEX(data!A$3:A$16128,SMALL(IF(data!$D$3:$D$16128='Свобода'!$B$1,ROW(data!$A$3:$A$16128)-ROW($A$3)+1),ROWS(B$4:B175))),"")</f>
        <v>КАСОВА КНИГА</v>
      </c>
      <c r="C175" s="19">
        <f t="array" ref="C175">IF(ROWS(C$4:C175)&lt;=$B$2,INDEX(data!B$3:B$16128,SMALL(IF(data!$D$3:$D$16128='Свобода'!$B$1,ROW(data!$A$3:$A$16128)-ROW($A$3)+1),ROWS(C$4:C175))),"")</f>
        <v>-1000</v>
      </c>
      <c r="D175" s="7" t="str">
        <f t="array" ref="D175">IF(ROWS(D$4:D175)&lt;=$B$2,INDEX(data!E$3:E$16128,SMALL(IF(data!$D$3:$D$16128='Свобода'!$B$1,ROW(data!$A$3:$A$16128)-ROW($A$3)+1),ROWS(D$4:D175))),"")</f>
        <v/>
      </c>
      <c r="E175" s="11"/>
      <c r="F175" s="11"/>
      <c r="G175" s="11"/>
      <c r="H175" s="14"/>
      <c r="I175" s="14"/>
      <c r="J175" s="14"/>
      <c r="K175" s="14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3">
        <f t="array" ref="A176">IF(ROWS(A$4:A176)&lt;=$B$2,INDEX(data!C$3:C$16128,SMALL(IF(data!$D$3:$D$16128='Свобода'!$B$1,ROW(data!$A$3:$A$16128)-ROW($A$3)+1),ROWS(A$4:A176))),"")</f>
        <v>46234</v>
      </c>
      <c r="B176" s="19" t="str">
        <f t="array" ref="B176">IF(ROWS(B$4:B176)&lt;=$B$2,INDEX(data!A$3:A$16128,SMALL(IF(data!$D$3:$D$16128='Свобода'!$B$1,ROW(data!$A$3:$A$16128)-ROW($A$3)+1),ROWS(B$4:B176))),"")</f>
        <v>Каса ВАУЧЕРИ</v>
      </c>
      <c r="C176" s="19">
        <f t="array" ref="C176">IF(ROWS(C$4:C176)&lt;=$B$2,INDEX(data!B$3:B$16128,SMALL(IF(data!$D$3:$D$16128='Свобода'!$B$1,ROW(data!$A$3:$A$16128)-ROW($A$3)+1),ROWS(C$4:C176))),"")</f>
        <v>-401.5</v>
      </c>
      <c r="D176" s="7" t="str">
        <f t="array" ref="D176">IF(ROWS(D$4:D176)&lt;=$B$2,INDEX(data!E$3:E$16128,SMALL(IF(data!$D$3:$D$16128='Свобода'!$B$1,ROW(data!$A$3:$A$16128)-ROW($A$3)+1),ROWS(D$4:D176))),"")</f>
        <v/>
      </c>
      <c r="E176" s="11"/>
      <c r="F176" s="11"/>
      <c r="G176" s="11"/>
      <c r="H176" s="14"/>
      <c r="I176" s="14"/>
      <c r="J176" s="14"/>
      <c r="K176" s="14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33">
        <f t="array" ref="A177">IF(ROWS(A$4:A177)&lt;=$B$2,INDEX(data!C$3:C$16128,SMALL(IF(data!$D$3:$D$16128='Свобода'!$B$1,ROW(data!$A$3:$A$16128)-ROW($A$3)+1),ROWS(A$4:A177))),"")</f>
        <v>46237</v>
      </c>
      <c r="B177" s="19" t="str">
        <f t="array" ref="B177">IF(ROWS(B$4:B177)&lt;=$B$2,INDEX(data!A$3:A$16128,SMALL(IF(data!$D$3:$D$16128='Свобода'!$B$1,ROW(data!$A$3:$A$16128)-ROW($A$3)+1),ROWS(B$4:B177))),"")</f>
        <v>MYPOS Бакалия</v>
      </c>
      <c r="C177" s="19">
        <f t="array" ref="C177">IF(ROWS(C$4:C177)&lt;=$B$2,INDEX(data!B$3:B$16128,SMALL(IF(data!$D$3:$D$16128='Свобода'!$B$1,ROW(data!$A$3:$A$16128)-ROW($A$3)+1),ROWS(C$4:C177))),"")</f>
        <v>-4306.88</v>
      </c>
      <c r="D177" s="7" t="str">
        <f t="array" ref="D177">IF(ROWS(D$4:D177)&lt;=$B$2,INDEX(data!E$3:E$16128,SMALL(IF(data!$D$3:$D$16128='Свобода'!$B$1,ROW(data!$A$3:$A$16128)-ROW($A$3)+1),ROWS(D$4:D177))),"")</f>
        <v/>
      </c>
      <c r="E177" s="11"/>
      <c r="F177" s="11"/>
      <c r="G177" s="11"/>
      <c r="H177" s="14"/>
      <c r="I177" s="14"/>
      <c r="J177" s="14"/>
      <c r="K177" s="14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33">
        <f t="array" ref="A178">IF(ROWS(A$4:A178)&lt;=$B$2,INDEX(data!C$3:C$16128,SMALL(IF(data!$D$3:$D$16128='Свобода'!$B$1,ROW(data!$A$3:$A$16128)-ROW($A$3)+1),ROWS(A$4:A178))),"")</f>
        <v>46237</v>
      </c>
      <c r="B178" s="19" t="str">
        <f t="array" ref="B178">IF(ROWS(B$4:B178)&lt;=$B$2,INDEX(data!A$3:A$16128,SMALL(IF(data!$D$3:$D$16128='Свобода'!$B$1,ROW(data!$A$3:$A$16128)-ROW($A$3)+1),ROWS(B$4:B178))),"")</f>
        <v>КАСОВА КНИГА</v>
      </c>
      <c r="C178" s="19">
        <f t="array" ref="C178">IF(ROWS(C$4:C178)&lt;=$B$2,INDEX(data!B$3:B$16128,SMALL(IF(data!$D$3:$D$16128='Свобода'!$B$1,ROW(data!$A$3:$A$16128)-ROW($A$3)+1),ROWS(C$4:C178))),"")</f>
        <v>-1000</v>
      </c>
      <c r="D178" s="7" t="str">
        <f t="array" ref="D178">IF(ROWS(D$4:D178)&lt;=$B$2,INDEX(data!E$3:E$16128,SMALL(IF(data!$D$3:$D$16128='Свобода'!$B$1,ROW(data!$A$3:$A$16128)-ROW($A$3)+1),ROWS(D$4:D178))),"")</f>
        <v/>
      </c>
      <c r="E178" s="11"/>
      <c r="F178" s="11"/>
      <c r="G178" s="11"/>
      <c r="H178" s="14"/>
      <c r="I178" s="14"/>
      <c r="J178" s="14"/>
      <c r="K178" s="14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33">
        <f t="array" ref="A179">IF(ROWS(A$4:A179)&lt;=$B$2,INDEX(data!C$3:C$16128,SMALL(IF(data!$D$3:$D$16128='Свобода'!$B$1,ROW(data!$A$3:$A$16128)-ROW($A$3)+1),ROWS(A$4:A179))),"")</f>
        <v>46239</v>
      </c>
      <c r="B179" s="19" t="str">
        <f t="array" ref="B179">IF(ROWS(B$4:B179)&lt;=$B$2,INDEX(data!A$3:A$16128,SMALL(IF(data!$D$3:$D$16128='Свобода'!$B$1,ROW(data!$A$3:$A$16128)-ROW($A$3)+1),ROWS(B$4:B179))),"")</f>
        <v>КАСОВА КНИГА</v>
      </c>
      <c r="C179" s="19">
        <f t="array" ref="C179">IF(ROWS(C$4:C179)&lt;=$B$2,INDEX(data!B$3:B$16128,SMALL(IF(data!$D$3:$D$16128='Свобода'!$B$1,ROW(data!$A$3:$A$16128)-ROW($A$3)+1),ROWS(C$4:C179))),"")</f>
        <v>-500</v>
      </c>
      <c r="D179" s="7" t="str">
        <f t="array" ref="D179">IF(ROWS(D$4:D179)&lt;=$B$2,INDEX(data!E$3:E$16128,SMALL(IF(data!$D$3:$D$16128='Свобода'!$B$1,ROW(data!$A$3:$A$16128)-ROW($A$3)+1),ROWS(D$4:D179))),"")</f>
        <v/>
      </c>
      <c r="E179" s="11"/>
      <c r="F179" s="11"/>
      <c r="G179" s="11"/>
      <c r="H179" s="14"/>
      <c r="I179" s="14"/>
      <c r="J179" s="14"/>
      <c r="K179" s="14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33">
        <f t="array" ref="A180">IF(ROWS(A$4:A180)&lt;=$B$2,INDEX(data!C$3:C$16128,SMALL(IF(data!$D$3:$D$16128='Свобода'!$B$1,ROW(data!$A$3:$A$16128)-ROW($A$3)+1),ROWS(A$4:A180))),"")</f>
        <v>46240</v>
      </c>
      <c r="B180" s="19" t="str">
        <f t="array" ref="B180">IF(ROWS(B$4:B180)&lt;=$B$2,INDEX(data!A$3:A$16128,SMALL(IF(data!$D$3:$D$16128='Свобода'!$B$1,ROW(data!$A$3:$A$16128)-ROW($A$3)+1),ROWS(B$4:B180))),"")</f>
        <v>ПОС ДСК Бакалия</v>
      </c>
      <c r="C180" s="19">
        <f t="array" ref="C180">IF(ROWS(C$4:C180)&lt;=$B$2,INDEX(data!B$3:B$16128,SMALL(IF(data!$D$3:$D$16128='Свобода'!$B$1,ROW(data!$A$3:$A$16128)-ROW($A$3)+1),ROWS(C$4:C180))),"")</f>
        <v>-1648.44</v>
      </c>
      <c r="D180" s="7" t="str">
        <f t="array" ref="D180">IF(ROWS(D$4:D180)&lt;=$B$2,INDEX(data!E$3:E$16128,SMALL(IF(data!$D$3:$D$16128='Свобода'!$B$1,ROW(data!$A$3:$A$16128)-ROW($A$3)+1),ROWS(D$4:D180))),"")</f>
        <v/>
      </c>
      <c r="E180" s="11"/>
      <c r="F180" s="11"/>
      <c r="G180" s="11"/>
      <c r="H180" s="14"/>
      <c r="I180" s="14"/>
      <c r="J180" s="14"/>
      <c r="K180" s="14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33">
        <f t="array" ref="A181">IF(ROWS(A$4:A181)&lt;=$B$2,INDEX(data!C$3:C$16128,SMALL(IF(data!$D$3:$D$16128='Свобода'!$B$1,ROW(data!$A$3:$A$16128)-ROW($A$3)+1),ROWS(A$4:A181))),"")</f>
        <v>46241</v>
      </c>
      <c r="B181" s="19" t="str">
        <f t="array" ref="B181">IF(ROWS(B$4:B181)&lt;=$B$2,INDEX(data!A$3:A$16128,SMALL(IF(data!$D$3:$D$16128='Свобода'!$B$1,ROW(data!$A$3:$A$16128)-ROW($A$3)+1),ROWS(B$4:B181))),"")</f>
        <v>каса ФИКТИВНА</v>
      </c>
      <c r="C181" s="19">
        <f t="array" ref="C181">IF(ROWS(C$4:C181)&lt;=$B$2,INDEX(data!B$3:B$16128,SMALL(IF(data!$D$3:$D$16128='Свобода'!$B$1,ROW(data!$A$3:$A$16128)-ROW($A$3)+1),ROWS(C$4:C181))),"")</f>
        <v>-5.28</v>
      </c>
      <c r="D181" s="7" t="str">
        <f t="array" ref="D181">IF(ROWS(D$4:D181)&lt;=$B$2,INDEX(data!E$3:E$16128,SMALL(IF(data!$D$3:$D$16128='Свобода'!$B$1,ROW(data!$A$3:$A$16128)-ROW($A$3)+1),ROWS(D$4:D181))),"")</f>
        <v>пазар Ния</v>
      </c>
      <c r="E181" s="11"/>
      <c r="F181" s="11"/>
      <c r="G181" s="11"/>
      <c r="H181" s="14"/>
      <c r="I181" s="14"/>
      <c r="J181" s="14"/>
      <c r="K181" s="14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33">
        <f t="array" ref="A182">IF(ROWS(A$4:A182)&lt;=$B$2,INDEX(data!C$3:C$16128,SMALL(IF(data!$D$3:$D$16128='Свобода'!$B$1,ROW(data!$A$3:$A$16128)-ROW($A$3)+1),ROWS(A$4:A182))),"")</f>
        <v>46244</v>
      </c>
      <c r="B182" s="19" t="str">
        <f t="array" ref="B182">IF(ROWS(B$4:B182)&lt;=$B$2,INDEX(data!A$3:A$16128,SMALL(IF(data!$D$3:$D$16128='Свобода'!$B$1,ROW(data!$A$3:$A$16128)-ROW($A$3)+1),ROWS(B$4:B182))),"")</f>
        <v>MYPOS Бакалия</v>
      </c>
      <c r="C182" s="19">
        <f t="array" ref="C182">IF(ROWS(C$4:C182)&lt;=$B$2,INDEX(data!B$3:B$16128,SMALL(IF(data!$D$3:$D$16128='Свобода'!$B$1,ROW(data!$A$3:$A$16128)-ROW($A$3)+1),ROWS(C$4:C182))),"")</f>
        <v>-6553.67</v>
      </c>
      <c r="D182" s="7" t="str">
        <f t="array" ref="D182">IF(ROWS(D$4:D182)&lt;=$B$2,INDEX(data!E$3:E$16128,SMALL(IF(data!$D$3:$D$16128='Свобода'!$B$1,ROW(data!$A$3:$A$16128)-ROW($A$3)+1),ROWS(D$4:D182))),"")</f>
        <v/>
      </c>
      <c r="E182" s="11"/>
      <c r="F182" s="11"/>
      <c r="G182" s="11"/>
      <c r="H182" s="14"/>
      <c r="I182" s="14"/>
      <c r="J182" s="14"/>
      <c r="K182" s="14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33">
        <f t="array" ref="A183">IF(ROWS(A$4:A183)&lt;=$B$2,INDEX(data!C$3:C$16128,SMALL(IF(data!$D$3:$D$16128='Свобода'!$B$1,ROW(data!$A$3:$A$16128)-ROW($A$3)+1),ROWS(A$4:A183))),"")</f>
        <v>46244</v>
      </c>
      <c r="B183" s="19" t="str">
        <f t="array" ref="B183">IF(ROWS(B$4:B183)&lt;=$B$2,INDEX(data!A$3:A$16128,SMALL(IF(data!$D$3:$D$16128='Свобода'!$B$1,ROW(data!$A$3:$A$16128)-ROW($A$3)+1),ROWS(B$4:B183))),"")</f>
        <v>КАСОВА КНИГА</v>
      </c>
      <c r="C183" s="19">
        <f t="array" ref="C183">IF(ROWS(C$4:C183)&lt;=$B$2,INDEX(data!B$3:B$16128,SMALL(IF(data!$D$3:$D$16128='Свобода'!$B$1,ROW(data!$A$3:$A$16128)-ROW($A$3)+1),ROWS(C$4:C183))),"")</f>
        <v>-1000</v>
      </c>
      <c r="D183" s="7" t="str">
        <f t="array" ref="D183">IF(ROWS(D$4:D183)&lt;=$B$2,INDEX(data!E$3:E$16128,SMALL(IF(data!$D$3:$D$16128='Свобода'!$B$1,ROW(data!$A$3:$A$16128)-ROW($A$3)+1),ROWS(D$4:D183))),"")</f>
        <v/>
      </c>
      <c r="E183" s="11"/>
      <c r="F183" s="11"/>
      <c r="G183" s="11"/>
      <c r="H183" s="14"/>
      <c r="I183" s="14"/>
      <c r="J183" s="14"/>
      <c r="K183" s="14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33">
        <f t="array" ref="A184">IF(ROWS(A$4:A184)&lt;=$B$2,INDEX(data!C$3:C$16128,SMALL(IF(data!$D$3:$D$16128='Свобода'!$B$1,ROW(data!$A$3:$A$16128)-ROW($A$3)+1),ROWS(A$4:A184))),"")</f>
        <v>46246</v>
      </c>
      <c r="B184" s="19" t="str">
        <f t="array" ref="B184">IF(ROWS(B$4:B184)&lt;=$B$2,INDEX(data!A$3:A$16128,SMALL(IF(data!$D$3:$D$16128='Свобода'!$B$1,ROW(data!$A$3:$A$16128)-ROW($A$3)+1),ROWS(B$4:B184))),"")</f>
        <v>КАСОВА КНИГА</v>
      </c>
      <c r="C184" s="19">
        <f t="array" ref="C184">IF(ROWS(C$4:C184)&lt;=$B$2,INDEX(data!B$3:B$16128,SMALL(IF(data!$D$3:$D$16128='Свобода'!$B$1,ROW(data!$A$3:$A$16128)-ROW($A$3)+1),ROWS(C$4:C184))),"")</f>
        <v>-1000</v>
      </c>
      <c r="D184" s="7" t="str">
        <f t="array" ref="D184">IF(ROWS(D$4:D184)&lt;=$B$2,INDEX(data!E$3:E$16128,SMALL(IF(data!$D$3:$D$16128='Свобода'!$B$1,ROW(data!$A$3:$A$16128)-ROW($A$3)+1),ROWS(D$4:D184))),"")</f>
        <v/>
      </c>
      <c r="E184" s="11"/>
      <c r="F184" s="11"/>
      <c r="G184" s="11"/>
      <c r="H184" s="14"/>
      <c r="I184" s="14"/>
      <c r="J184" s="14"/>
      <c r="K184" s="14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33">
        <f t="array" ref="A185">IF(ROWS(A$4:A185)&lt;=$B$2,INDEX(data!C$3:C$16128,SMALL(IF(data!$D$3:$D$16128='Свобода'!$B$1,ROW(data!$A$3:$A$16128)-ROW($A$3)+1),ROWS(A$4:A185))),"")</f>
        <v>46248</v>
      </c>
      <c r="B185" s="19" t="str">
        <f t="array" ref="B185">IF(ROWS(B$4:B185)&lt;=$B$2,INDEX(data!A$3:A$16128,SMALL(IF(data!$D$3:$D$16128='Свобода'!$B$1,ROW(data!$A$3:$A$16128)-ROW($A$3)+1),ROWS(B$4:B185))),"")</f>
        <v>Каса ВАУЧЕРИ</v>
      </c>
      <c r="C185" s="19">
        <f t="array" ref="C185">IF(ROWS(C$4:C185)&lt;=$B$2,INDEX(data!B$3:B$16128,SMALL(IF(data!$D$3:$D$16128='Свобода'!$B$1,ROW(data!$A$3:$A$16128)-ROW($A$3)+1),ROWS(C$4:C185))),"")</f>
        <v>-324.44</v>
      </c>
      <c r="D185" s="7" t="str">
        <f t="array" ref="D185">IF(ROWS(D$4:D185)&lt;=$B$2,INDEX(data!E$3:E$16128,SMALL(IF(data!$D$3:$D$16128='Свобода'!$B$1,ROW(data!$A$3:$A$16128)-ROW($A$3)+1),ROWS(D$4:D185))),"")</f>
        <v>към 29.07</v>
      </c>
      <c r="E185" s="11"/>
      <c r="F185" s="11"/>
      <c r="G185" s="11"/>
      <c r="H185" s="14"/>
      <c r="I185" s="14"/>
      <c r="J185" s="14"/>
      <c r="K185" s="14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33">
        <f t="array" ref="A186">IF(ROWS(A$4:A186)&lt;=$B$2,INDEX(data!C$3:C$16128,SMALL(IF(data!$D$3:$D$16128='Свобода'!$B$1,ROW(data!$A$3:$A$16128)-ROW($A$3)+1),ROWS(A$4:A186))),"")</f>
        <v>46251</v>
      </c>
      <c r="B186" s="19" t="str">
        <f t="array" ref="B186">IF(ROWS(B$4:B186)&lt;=$B$2,INDEX(data!A$3:A$16128,SMALL(IF(data!$D$3:$D$16128='Свобода'!$B$1,ROW(data!$A$3:$A$16128)-ROW($A$3)+1),ROWS(B$4:B186))),"")</f>
        <v>MYPOS Бакалия</v>
      </c>
      <c r="C186" s="19">
        <f t="array" ref="C186">IF(ROWS(C$4:C186)&lt;=$B$2,INDEX(data!B$3:B$16128,SMALL(IF(data!$D$3:$D$16128='Свобода'!$B$1,ROW(data!$A$3:$A$16128)-ROW($A$3)+1),ROWS(C$4:C186))),"")</f>
        <v>-6124.92</v>
      </c>
      <c r="D186" s="7" t="str">
        <f t="array" ref="D186">IF(ROWS(D$4:D186)&lt;=$B$2,INDEX(data!E$3:E$16128,SMALL(IF(data!$D$3:$D$16128='Свобода'!$B$1,ROW(data!$A$3:$A$16128)-ROW($A$3)+1),ROWS(D$4:D186))),"")</f>
        <v/>
      </c>
      <c r="E186" s="11"/>
      <c r="F186" s="11"/>
      <c r="G186" s="11"/>
      <c r="H186" s="14"/>
      <c r="I186" s="14"/>
      <c r="J186" s="14"/>
      <c r="K186" s="14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33">
        <f t="array" ref="A187">IF(ROWS(A$4:A187)&lt;=$B$2,INDEX(data!C$3:C$16128,SMALL(IF(data!$D$3:$D$16128='Свобода'!$B$1,ROW(data!$A$3:$A$16128)-ROW($A$3)+1),ROWS(A$4:A187))),"")</f>
        <v>46251</v>
      </c>
      <c r="B187" s="19" t="str">
        <f t="array" ref="B187">IF(ROWS(B$4:B187)&lt;=$B$2,INDEX(data!A$3:A$16128,SMALL(IF(data!$D$3:$D$16128='Свобода'!$B$1,ROW(data!$A$3:$A$16128)-ROW($A$3)+1),ROWS(B$4:B187))),"")</f>
        <v>КАСОВА КНИГА</v>
      </c>
      <c r="C187" s="19">
        <f t="array" ref="C187">IF(ROWS(C$4:C187)&lt;=$B$2,INDEX(data!B$3:B$16128,SMALL(IF(data!$D$3:$D$16128='Свобода'!$B$1,ROW(data!$A$3:$A$16128)-ROW($A$3)+1),ROWS(C$4:C187))),"")</f>
        <v>-1500</v>
      </c>
      <c r="D187" s="7" t="str">
        <f t="array" ref="D187">IF(ROWS(D$4:D187)&lt;=$B$2,INDEX(data!E$3:E$16128,SMALL(IF(data!$D$3:$D$16128='Свобода'!$B$1,ROW(data!$A$3:$A$16128)-ROW($A$3)+1),ROWS(D$4:D187))),"")</f>
        <v/>
      </c>
      <c r="E187" s="11"/>
      <c r="F187" s="11"/>
      <c r="G187" s="11"/>
      <c r="H187" s="14"/>
      <c r="I187" s="14"/>
      <c r="J187" s="14"/>
      <c r="K187" s="14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33">
        <f t="array" ref="A188">IF(ROWS(A$4:A188)&lt;=$B$2,INDEX(data!C$3:C$16128,SMALL(IF(data!$D$3:$D$16128='Свобода'!$B$1,ROW(data!$A$3:$A$16128)-ROW($A$3)+1),ROWS(A$4:A188))),"")</f>
        <v>46251</v>
      </c>
      <c r="B188" s="19" t="str">
        <f t="array" ref="B188">IF(ROWS(B$4:B188)&lt;=$B$2,INDEX(data!A$3:A$16128,SMALL(IF(data!$D$3:$D$16128='Свобода'!$B$1,ROW(data!$A$3:$A$16128)-ROW($A$3)+1),ROWS(B$4:B188))),"")</f>
        <v>КАСОВА КНИГА</v>
      </c>
      <c r="C188" s="19">
        <f t="array" ref="C188">IF(ROWS(C$4:C188)&lt;=$B$2,INDEX(data!B$3:B$16128,SMALL(IF(data!$D$3:$D$16128='Свобода'!$B$1,ROW(data!$A$3:$A$16128)-ROW($A$3)+1),ROWS(C$4:C188))),"")</f>
        <v>-40</v>
      </c>
      <c r="D188" s="7" t="str">
        <f t="array" ref="D188">IF(ROWS(D$4:D188)&lt;=$B$2,INDEX(data!E$3:E$16128,SMALL(IF(data!$D$3:$D$16128='Свобода'!$B$1,ROW(data!$A$3:$A$16128)-ROW($A$3)+1),ROWS(D$4:D188))),"")</f>
        <v>Мимето от заплатата</v>
      </c>
      <c r="E188" s="11"/>
      <c r="F188" s="11"/>
      <c r="G188" s="11"/>
      <c r="H188" s="14"/>
      <c r="I188" s="14"/>
      <c r="J188" s="14"/>
      <c r="K188" s="14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33">
        <f t="array" ref="A189">IF(ROWS(A$4:A189)&lt;=$B$2,INDEX(data!C$3:C$16128,SMALL(IF(data!$D$3:$D$16128='Свобода'!$B$1,ROW(data!$A$3:$A$16128)-ROW($A$3)+1),ROWS(A$4:A189))),"")</f>
        <v>46253</v>
      </c>
      <c r="B189" s="19" t="str">
        <f t="array" ref="B189">IF(ROWS(B$4:B189)&lt;=$B$2,INDEX(data!A$3:A$16128,SMALL(IF(data!$D$3:$D$16128='Свобода'!$B$1,ROW(data!$A$3:$A$16128)-ROW($A$3)+1),ROWS(B$4:B189))),"")</f>
        <v>КАСОВА КНИГА</v>
      </c>
      <c r="C189" s="19">
        <f t="array" ref="C189">IF(ROWS(C$4:C189)&lt;=$B$2,INDEX(data!B$3:B$16128,SMALL(IF(data!$D$3:$D$16128='Свобода'!$B$1,ROW(data!$A$3:$A$16128)-ROW($A$3)+1),ROWS(C$4:C189))),"")</f>
        <v>-2000</v>
      </c>
      <c r="D189" s="7" t="str">
        <f t="array" ref="D189">IF(ROWS(D$4:D189)&lt;=$B$2,INDEX(data!E$3:E$16128,SMALL(IF(data!$D$3:$D$16128='Свобода'!$B$1,ROW(data!$A$3:$A$16128)-ROW($A$3)+1),ROWS(D$4:D189))),"")</f>
        <v/>
      </c>
      <c r="E189" s="11"/>
      <c r="F189" s="11"/>
      <c r="G189" s="11"/>
      <c r="H189" s="14"/>
      <c r="I189" s="14"/>
      <c r="J189" s="14"/>
      <c r="K189" s="14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3">
        <f t="array" ref="A190">IF(ROWS(A$4:A190)&lt;=$B$2,INDEX(data!C$3:C$16128,SMALL(IF(data!$D$3:$D$16128='Свобода'!$B$1,ROW(data!$A$3:$A$16128)-ROW($A$3)+1),ROWS(A$4:A190))),"")</f>
        <v>46254</v>
      </c>
      <c r="B190" s="19" t="str">
        <f t="array" ref="B190">IF(ROWS(B$4:B190)&lt;=$B$2,INDEX(data!A$3:A$16128,SMALL(IF(data!$D$3:$D$16128='Свобода'!$B$1,ROW(data!$A$3:$A$16128)-ROW($A$3)+1),ROWS(B$4:B190))),"")</f>
        <v>Каса ВАУЧЕРИ</v>
      </c>
      <c r="C190" s="19">
        <f t="array" ref="C190">IF(ROWS(C$4:C190)&lt;=$B$2,INDEX(data!B$3:B$16128,SMALL(IF(data!$D$3:$D$16128='Свобода'!$B$1,ROW(data!$A$3:$A$16128)-ROW($A$3)+1),ROWS(C$4:C190))),"")</f>
        <v>-206.72</v>
      </c>
      <c r="D190" s="7" t="str">
        <f t="array" ref="D190">IF(ROWS(D$4:D190)&lt;=$B$2,INDEX(data!E$3:E$16128,SMALL(IF(data!$D$3:$D$16128='Свобода'!$B$1,ROW(data!$A$3:$A$16128)-ROW($A$3)+1),ROWS(D$4:D190))),"")</f>
        <v/>
      </c>
      <c r="E190" s="11"/>
      <c r="F190" s="11"/>
      <c r="G190" s="11"/>
      <c r="H190" s="14"/>
      <c r="I190" s="14"/>
      <c r="J190" s="14"/>
      <c r="K190" s="14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33">
        <f t="array" ref="A191">IF(ROWS(A$4:A191)&lt;=$B$2,INDEX(data!C$3:C$16128,SMALL(IF(data!$D$3:$D$16128='Свобода'!$B$1,ROW(data!$A$3:$A$16128)-ROW($A$3)+1),ROWS(A$4:A191))),"")</f>
        <v>46255</v>
      </c>
      <c r="B191" s="19" t="str">
        <f t="array" ref="B191">IF(ROWS(B$4:B191)&lt;=$B$2,INDEX(data!A$3:A$16128,SMALL(IF(data!$D$3:$D$16128='Свобода'!$B$1,ROW(data!$A$3:$A$16128)-ROW($A$3)+1),ROWS(B$4:B191))),"")</f>
        <v>КАСОВА КНИГА</v>
      </c>
      <c r="C191" s="19">
        <f t="array" ref="C191">IF(ROWS(C$4:C191)&lt;=$B$2,INDEX(data!B$3:B$16128,SMALL(IF(data!$D$3:$D$16128='Свобода'!$B$1,ROW(data!$A$3:$A$16128)-ROW($A$3)+1),ROWS(C$4:C191))),"")</f>
        <v>-1000</v>
      </c>
      <c r="D191" s="7" t="str">
        <f t="array" ref="D191">IF(ROWS(D$4:D191)&lt;=$B$2,INDEX(data!E$3:E$16128,SMALL(IF(data!$D$3:$D$16128='Свобода'!$B$1,ROW(data!$A$3:$A$16128)-ROW($A$3)+1),ROWS(D$4:D191))),"")</f>
        <v/>
      </c>
      <c r="E191" s="11"/>
      <c r="F191" s="11"/>
      <c r="G191" s="11"/>
      <c r="H191" s="14"/>
      <c r="I191" s="14"/>
      <c r="J191" s="14"/>
      <c r="K191" s="14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33">
        <f t="array" ref="A192">IF(ROWS(A$4:A192)&lt;=$B$2,INDEX(data!C$3:C$16128,SMALL(IF(data!$D$3:$D$16128='Свобода'!$B$1,ROW(data!$A$3:$A$16128)-ROW($A$3)+1),ROWS(A$4:A192))),"")</f>
        <v>46255</v>
      </c>
      <c r="B192" s="19" t="str">
        <f t="array" ref="B192">IF(ROWS(B$4:B192)&lt;=$B$2,INDEX(data!A$3:A$16128,SMALL(IF(data!$D$3:$D$16128='Свобода'!$B$1,ROW(data!$A$3:$A$16128)-ROW($A$3)+1),ROWS(B$4:B192))),"")</f>
        <v>Каса ВАУЧЕРИ</v>
      </c>
      <c r="C192" s="19">
        <f t="array" ref="C192">IF(ROWS(C$4:C192)&lt;=$B$2,INDEX(data!B$3:B$16128,SMALL(IF(data!$D$3:$D$16128='Свобода'!$B$1,ROW(data!$A$3:$A$16128)-ROW($A$3)+1),ROWS(C$4:C192))),"")</f>
        <v>800</v>
      </c>
      <c r="D192" s="7" t="str">
        <f t="array" ref="D192">IF(ROWS(D$4:D192)&lt;=$B$2,INDEX(data!E$3:E$16128,SMALL(IF(data!$D$3:$D$16128='Свобода'!$B$1,ROW(data!$A$3:$A$16128)-ROW($A$3)+1),ROWS(D$4:D192))),"")</f>
        <v>ваучери персонал</v>
      </c>
      <c r="E192" s="11"/>
      <c r="F192" s="11"/>
      <c r="G192" s="11"/>
      <c r="H192" s="14"/>
      <c r="I192" s="14"/>
      <c r="J192" s="14"/>
      <c r="K192" s="14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33">
        <f t="array" ref="A193">IF(ROWS(A$4:A193)&lt;=$B$2,INDEX(data!C$3:C$16128,SMALL(IF(data!$D$3:$D$16128='Свобода'!$B$1,ROW(data!$A$3:$A$16128)-ROW($A$3)+1),ROWS(A$4:A193))),"")</f>
        <v>46258</v>
      </c>
      <c r="B193" s="19" t="str">
        <f t="array" ref="B193">IF(ROWS(B$4:B193)&lt;=$B$2,INDEX(data!A$3:A$16128,SMALL(IF(data!$D$3:$D$16128='Свобода'!$B$1,ROW(data!$A$3:$A$16128)-ROW($A$3)+1),ROWS(B$4:B193))),"")</f>
        <v>MYPOS Бакалия</v>
      </c>
      <c r="C193" s="19">
        <f t="array" ref="C193">IF(ROWS(C$4:C193)&lt;=$B$2,INDEX(data!B$3:B$16128,SMALL(IF(data!$D$3:$D$16128='Свобода'!$B$1,ROW(data!$A$3:$A$16128)-ROW($A$3)+1),ROWS(C$4:C193))),"")</f>
        <v>-5197.58</v>
      </c>
      <c r="D193" s="7" t="str">
        <f t="array" ref="D193">IF(ROWS(D$4:D193)&lt;=$B$2,INDEX(data!E$3:E$16128,SMALL(IF(data!$D$3:$D$16128='Свобода'!$B$1,ROW(data!$A$3:$A$16128)-ROW($A$3)+1),ROWS(D$4:D193))),"")</f>
        <v/>
      </c>
      <c r="E193" s="11"/>
      <c r="F193" s="11"/>
      <c r="G193" s="11"/>
      <c r="H193" s="14"/>
      <c r="I193" s="14"/>
      <c r="J193" s="14"/>
      <c r="K193" s="14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33">
        <f t="array" ref="A194">IF(ROWS(A$4:A194)&lt;=$B$2,INDEX(data!C$3:C$16128,SMALL(IF(data!$D$3:$D$16128='Свобода'!$B$1,ROW(data!$A$3:$A$16128)-ROW($A$3)+1),ROWS(A$4:A194))),"")</f>
        <v>46258</v>
      </c>
      <c r="B194" s="19" t="str">
        <f t="array" ref="B194">IF(ROWS(B$4:B194)&lt;=$B$2,INDEX(data!A$3:A$16128,SMALL(IF(data!$D$3:$D$16128='Свобода'!$B$1,ROW(data!$A$3:$A$16128)-ROW($A$3)+1),ROWS(B$4:B194))),"")</f>
        <v>КАСОВА КНИГА</v>
      </c>
      <c r="C194" s="19">
        <f t="array" ref="C194">IF(ROWS(C$4:C194)&lt;=$B$2,INDEX(data!B$3:B$16128,SMALL(IF(data!$D$3:$D$16128='Свобода'!$B$1,ROW(data!$A$3:$A$16128)-ROW($A$3)+1),ROWS(C$4:C194))),"")</f>
        <v>-2000</v>
      </c>
      <c r="D194" s="7" t="str">
        <f t="array" ref="D194">IF(ROWS(D$4:D194)&lt;=$B$2,INDEX(data!E$3:E$16128,SMALL(IF(data!$D$3:$D$16128='Свобода'!$B$1,ROW(data!$A$3:$A$16128)-ROW($A$3)+1),ROWS(D$4:D194))),"")</f>
        <v/>
      </c>
      <c r="E194" s="11"/>
      <c r="F194" s="11"/>
      <c r="G194" s="11"/>
      <c r="H194" s="14"/>
      <c r="I194" s="14"/>
      <c r="J194" s="14"/>
      <c r="K194" s="14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33" t="str">
        <f t="array" ref="A195">IF(ROWS(A$4:A195)&lt;=$B$2,INDEX(data!C$3:C$16128,SMALL(IF(data!$D$3:$D$16128='Свобода'!$B$1,ROW(data!$A$3:$A$16128)-ROW($A$3)+1),ROWS(A$4:A195))),"")</f>
        <v/>
      </c>
      <c r="B195" s="19" t="str">
        <f t="array" ref="B195">IF(ROWS(B$4:B195)&lt;=$B$2,INDEX(data!A$3:A$16128,SMALL(IF(data!$D$3:$D$16128='Свобода'!$B$1,ROW(data!$A$3:$A$16128)-ROW($A$3)+1),ROWS(B$4:B195))),"")</f>
        <v/>
      </c>
      <c r="C195" s="19" t="str">
        <f t="array" ref="C195">IF(ROWS(C$4:C195)&lt;=$B$2,INDEX(data!B$3:B$16128,SMALL(IF(data!$D$3:$D$16128='Свобода'!$B$1,ROW(data!$A$3:$A$16128)-ROW($A$3)+1),ROWS(C$4:C195))),"")</f>
        <v/>
      </c>
      <c r="D195" s="7" t="str">
        <f t="array" ref="D195">IF(ROWS(D$4:D195)&lt;=$B$2,INDEX(data!E$3:E$16128,SMALL(IF(data!$D$3:$D$16128='Свобода'!$B$1,ROW(data!$A$3:$A$16128)-ROW($A$3)+1),ROWS(D$4:D195))),"")</f>
        <v/>
      </c>
      <c r="E195" s="11"/>
      <c r="F195" s="11"/>
      <c r="G195" s="11"/>
      <c r="H195" s="14"/>
      <c r="I195" s="14"/>
      <c r="J195" s="14"/>
      <c r="K195" s="14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33" t="str">
        <f t="array" ref="A196">IF(ROWS(A$4:A196)&lt;=$B$2,INDEX(data!C$3:C$16128,SMALL(IF(data!$D$3:$D$16128='Свобода'!$B$1,ROW(data!$A$3:$A$16128)-ROW($A$3)+1),ROWS(A$4:A196))),"")</f>
        <v/>
      </c>
      <c r="B196" s="19" t="str">
        <f t="array" ref="B196">IF(ROWS(B$4:B196)&lt;=$B$2,INDEX(data!A$3:A$16128,SMALL(IF(data!$D$3:$D$16128='Свобода'!$B$1,ROW(data!$A$3:$A$16128)-ROW($A$3)+1),ROWS(B$4:B196))),"")</f>
        <v/>
      </c>
      <c r="C196" s="19" t="str">
        <f t="array" ref="C196">IF(ROWS(C$4:C196)&lt;=$B$2,INDEX(data!B$3:B$16128,SMALL(IF(data!$D$3:$D$16128='Свобода'!$B$1,ROW(data!$A$3:$A$16128)-ROW($A$3)+1),ROWS(C$4:C196))),"")</f>
        <v/>
      </c>
      <c r="D196" s="7" t="str">
        <f t="array" ref="D196">IF(ROWS(D$4:D196)&lt;=$B$2,INDEX(data!E$3:E$16128,SMALL(IF(data!$D$3:$D$16128='Свобода'!$B$1,ROW(data!$A$3:$A$16128)-ROW($A$3)+1),ROWS(D$4:D196))),"")</f>
        <v/>
      </c>
      <c r="E196" s="11"/>
      <c r="F196" s="11"/>
      <c r="G196" s="11"/>
      <c r="H196" s="14"/>
      <c r="I196" s="14"/>
      <c r="J196" s="14"/>
      <c r="K196" s="14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33" t="str">
        <f t="array" ref="A197">IF(ROWS(A$4:A197)&lt;=$B$2,INDEX(data!C$3:C$16128,SMALL(IF(data!$D$3:$D$16128='Свобода'!$B$1,ROW(data!$A$3:$A$16128)-ROW($A$3)+1),ROWS(A$4:A197))),"")</f>
        <v/>
      </c>
      <c r="B197" s="19" t="str">
        <f t="array" ref="B197">IF(ROWS(B$4:B197)&lt;=$B$2,INDEX(data!A$3:A$16128,SMALL(IF(data!$D$3:$D$16128='Свобода'!$B$1,ROW(data!$A$3:$A$16128)-ROW($A$3)+1),ROWS(B$4:B197))),"")</f>
        <v/>
      </c>
      <c r="C197" s="19" t="str">
        <f t="array" ref="C197">IF(ROWS(C$4:C197)&lt;=$B$2,INDEX(data!B$3:B$16128,SMALL(IF(data!$D$3:$D$16128='Свобода'!$B$1,ROW(data!$A$3:$A$16128)-ROW($A$3)+1),ROWS(C$4:C197))),"")</f>
        <v/>
      </c>
      <c r="D197" s="7" t="str">
        <f t="array" ref="D197">IF(ROWS(D$4:D197)&lt;=$B$2,INDEX(data!E$3:E$16128,SMALL(IF(data!$D$3:$D$16128='Свобода'!$B$1,ROW(data!$A$3:$A$16128)-ROW($A$3)+1),ROWS(D$4:D197))),"")</f>
        <v/>
      </c>
      <c r="E197" s="11"/>
      <c r="F197" s="11"/>
      <c r="G197" s="11"/>
      <c r="H197" s="14"/>
      <c r="I197" s="14"/>
      <c r="J197" s="14"/>
      <c r="K197" s="14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33" t="str">
        <f t="array" ref="A198">IF(ROWS(A$4:A198)&lt;=$B$2,INDEX(data!C$3:C$16128,SMALL(IF(data!$D$3:$D$16128='Свобода'!$B$1,ROW(data!$A$3:$A$16128)-ROW($A$3)+1),ROWS(A$4:A198))),"")</f>
        <v/>
      </c>
      <c r="B198" s="19" t="str">
        <f t="array" ref="B198">IF(ROWS(B$4:B198)&lt;=$B$2,INDEX(data!A$3:A$16128,SMALL(IF(data!$D$3:$D$16128='Свобода'!$B$1,ROW(data!$A$3:$A$16128)-ROW($A$3)+1),ROWS(B$4:B198))),"")</f>
        <v/>
      </c>
      <c r="C198" s="19" t="str">
        <f t="array" ref="C198">IF(ROWS(C$4:C198)&lt;=$B$2,INDEX(data!B$3:B$16128,SMALL(IF(data!$D$3:$D$16128='Свобода'!$B$1,ROW(data!$A$3:$A$16128)-ROW($A$3)+1),ROWS(C$4:C198))),"")</f>
        <v/>
      </c>
      <c r="D198" s="7" t="str">
        <f t="array" ref="D198">IF(ROWS(D$4:D198)&lt;=$B$2,INDEX(data!E$3:E$16128,SMALL(IF(data!$D$3:$D$16128='Свобода'!$B$1,ROW(data!$A$3:$A$16128)-ROW($A$3)+1),ROWS(D$4:D198))),"")</f>
        <v/>
      </c>
      <c r="E198" s="11"/>
      <c r="F198" s="11"/>
      <c r="G198" s="11"/>
      <c r="H198" s="14"/>
      <c r="I198" s="14"/>
      <c r="J198" s="14"/>
      <c r="K198" s="14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33" t="str">
        <f t="array" ref="A199">IF(ROWS(A$4:A199)&lt;=$B$2,INDEX(data!C$3:C$16128,SMALL(IF(data!$D$3:$D$16128='Свобода'!$B$1,ROW(data!$A$3:$A$16128)-ROW($A$3)+1),ROWS(A$4:A199))),"")</f>
        <v/>
      </c>
      <c r="B199" s="19" t="str">
        <f t="array" ref="B199">IF(ROWS(B$4:B199)&lt;=$B$2,INDEX(data!A$3:A$16128,SMALL(IF(data!$D$3:$D$16128='Свобода'!$B$1,ROW(data!$A$3:$A$16128)-ROW($A$3)+1),ROWS(B$4:B199))),"")</f>
        <v/>
      </c>
      <c r="C199" s="19" t="str">
        <f t="array" ref="C199">IF(ROWS(C$4:C199)&lt;=$B$2,INDEX(data!B$3:B$16128,SMALL(IF(data!$D$3:$D$16128='Свобода'!$B$1,ROW(data!$A$3:$A$16128)-ROW($A$3)+1),ROWS(C$4:C199))),"")</f>
        <v/>
      </c>
      <c r="D199" s="7" t="str">
        <f t="array" ref="D199">IF(ROWS(D$4:D199)&lt;=$B$2,INDEX(data!E$3:E$16128,SMALL(IF(data!$D$3:$D$16128='Свобода'!$B$1,ROW(data!$A$3:$A$16128)-ROW($A$3)+1),ROWS(D$4:D199))),"")</f>
        <v/>
      </c>
      <c r="E199" s="11"/>
      <c r="F199" s="11"/>
      <c r="G199" s="11"/>
      <c r="H199" s="14"/>
      <c r="I199" s="14"/>
      <c r="J199" s="14"/>
      <c r="K199" s="14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33" t="str">
        <f t="array" ref="A200">IF(ROWS(A$4:A200)&lt;=$B$2,INDEX(data!C$3:C$16128,SMALL(IF(data!$D$3:$D$16128='Свобода'!$B$1,ROW(data!$A$3:$A$16128)-ROW($A$3)+1),ROWS(A$4:A200))),"")</f>
        <v/>
      </c>
      <c r="B200" s="19" t="str">
        <f t="array" ref="B200">IF(ROWS(B$4:B200)&lt;=$B$2,INDEX(data!A$3:A$16128,SMALL(IF(data!$D$3:$D$16128='Свобода'!$B$1,ROW(data!$A$3:$A$16128)-ROW($A$3)+1),ROWS(B$4:B200))),"")</f>
        <v/>
      </c>
      <c r="C200" s="19" t="str">
        <f t="array" ref="C200">IF(ROWS(C$4:C200)&lt;=$B$2,INDEX(data!B$3:B$16128,SMALL(IF(data!$D$3:$D$16128='Свобода'!$B$1,ROW(data!$A$3:$A$16128)-ROW($A$3)+1),ROWS(C$4:C200))),"")</f>
        <v/>
      </c>
      <c r="D200" s="7" t="str">
        <f t="array" ref="D200">IF(ROWS(D$4:D200)&lt;=$B$2,INDEX(data!E$3:E$16128,SMALL(IF(data!$D$3:$D$16128='Свобода'!$B$1,ROW(data!$A$3:$A$16128)-ROW($A$3)+1),ROWS(D$4:D200))),"")</f>
        <v/>
      </c>
      <c r="E200" s="11"/>
      <c r="F200" s="11"/>
      <c r="G200" s="11"/>
      <c r="H200" s="14"/>
      <c r="I200" s="14"/>
      <c r="J200" s="14"/>
      <c r="K200" s="14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33" t="str">
        <f t="array" ref="A201">IF(ROWS(A$4:A201)&lt;=$B$2,INDEX(data!C$3:C$16128,SMALL(IF(data!$D$3:$D$16128='Свобода'!$B$1,ROW(data!$A$3:$A$16128)-ROW($A$3)+1),ROWS(A$4:A201))),"")</f>
        <v/>
      </c>
      <c r="B201" s="19" t="str">
        <f t="array" ref="B201">IF(ROWS(B$4:B201)&lt;=$B$2,INDEX(data!A$3:A$16128,SMALL(IF(data!$D$3:$D$16128='Свобода'!$B$1,ROW(data!$A$3:$A$16128)-ROW($A$3)+1),ROWS(B$4:B201))),"")</f>
        <v/>
      </c>
      <c r="C201" s="19" t="str">
        <f t="array" ref="C201">IF(ROWS(C$4:C201)&lt;=$B$2,INDEX(data!B$3:B$16128,SMALL(IF(data!$D$3:$D$16128='Свобода'!$B$1,ROW(data!$A$3:$A$16128)-ROW($A$3)+1),ROWS(C$4:C201))),"")</f>
        <v/>
      </c>
      <c r="D201" s="7" t="str">
        <f t="array" ref="D201">IF(ROWS(D$4:D201)&lt;=$B$2,INDEX(data!E$3:E$16128,SMALL(IF(data!$D$3:$D$16128='Свобода'!$B$1,ROW(data!$A$3:$A$16128)-ROW($A$3)+1),ROWS(D$4:D201))),"")</f>
        <v/>
      </c>
      <c r="E201" s="11"/>
      <c r="F201" s="11"/>
      <c r="G201" s="11"/>
      <c r="H201" s="14"/>
      <c r="I201" s="14"/>
      <c r="J201" s="14"/>
      <c r="K201" s="14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33" t="str">
        <f t="array" ref="A202">IF(ROWS(A$4:A202)&lt;=$B$2,INDEX(data!C$3:C$16128,SMALL(IF(data!$D$3:$D$16128='Свобода'!$B$1,ROW(data!$A$3:$A$16128)-ROW($A$3)+1),ROWS(A$4:A202))),"")</f>
        <v/>
      </c>
      <c r="B202" s="19" t="str">
        <f t="array" ref="B202">IF(ROWS(B$4:B202)&lt;=$B$2,INDEX(data!A$3:A$16128,SMALL(IF(data!$D$3:$D$16128='Свобода'!$B$1,ROW(data!$A$3:$A$16128)-ROW($A$3)+1),ROWS(B$4:B202))),"")</f>
        <v/>
      </c>
      <c r="C202" s="19" t="str">
        <f t="array" ref="C202">IF(ROWS(C$4:C202)&lt;=$B$2,INDEX(data!B$3:B$16128,SMALL(IF(data!$D$3:$D$16128='Свобода'!$B$1,ROW(data!$A$3:$A$16128)-ROW($A$3)+1),ROWS(C$4:C202))),"")</f>
        <v/>
      </c>
      <c r="D202" s="7" t="str">
        <f t="array" ref="D202">IF(ROWS(D$4:D202)&lt;=$B$2,INDEX(data!E$3:E$16128,SMALL(IF(data!$D$3:$D$16128='Свобода'!$B$1,ROW(data!$A$3:$A$16128)-ROW($A$3)+1),ROWS(D$4:D202))),"")</f>
        <v/>
      </c>
      <c r="E202" s="11"/>
      <c r="F202" s="11"/>
      <c r="G202" s="11"/>
      <c r="H202" s="14"/>
      <c r="I202" s="14"/>
      <c r="J202" s="14"/>
      <c r="K202" s="14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33" t="str">
        <f t="array" ref="A203">IF(ROWS(A$4:A203)&lt;=$B$2,INDEX(data!C$3:C$16128,SMALL(IF(data!$D$3:$D$16128='Свобода'!$B$1,ROW(data!$A$3:$A$16128)-ROW($A$3)+1),ROWS(A$4:A203))),"")</f>
        <v/>
      </c>
      <c r="B203" s="19" t="str">
        <f t="array" ref="B203">IF(ROWS(B$4:B203)&lt;=$B$2,INDEX(data!A$3:A$16128,SMALL(IF(data!$D$3:$D$16128='Свобода'!$B$1,ROW(data!$A$3:$A$16128)-ROW($A$3)+1),ROWS(B$4:B203))),"")</f>
        <v/>
      </c>
      <c r="C203" s="19" t="str">
        <f t="array" ref="C203">IF(ROWS(C$4:C203)&lt;=$B$2,INDEX(data!B$3:B$16128,SMALL(IF(data!$D$3:$D$16128='Свобода'!$B$1,ROW(data!$A$3:$A$16128)-ROW($A$3)+1),ROWS(C$4:C203))),"")</f>
        <v/>
      </c>
      <c r="D203" s="7" t="str">
        <f t="array" ref="D203">IF(ROWS(D$4:D203)&lt;=$B$2,INDEX(data!E$3:E$16128,SMALL(IF(data!$D$3:$D$16128='Свобода'!$B$1,ROW(data!$A$3:$A$16128)-ROW($A$3)+1),ROWS(D$4:D203))),"")</f>
        <v/>
      </c>
      <c r="E203" s="11"/>
      <c r="F203" s="11"/>
      <c r="G203" s="11"/>
      <c r="H203" s="14"/>
      <c r="I203" s="14"/>
      <c r="J203" s="14"/>
      <c r="K203" s="14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3" t="str">
        <f t="array" ref="A204">IF(ROWS(A$4:A204)&lt;=$B$2,INDEX(data!C$3:C$16128,SMALL(IF(data!$D$3:$D$16128='Свобода'!$B$1,ROW(data!$A$3:$A$16128)-ROW($A$3)+1),ROWS(A$4:A204))),"")</f>
        <v/>
      </c>
      <c r="B204" s="19" t="str">
        <f t="array" ref="B204">IF(ROWS(B$4:B204)&lt;=$B$2,INDEX(data!A$3:A$16128,SMALL(IF(data!$D$3:$D$16128='Свобода'!$B$1,ROW(data!$A$3:$A$16128)-ROW($A$3)+1),ROWS(B$4:B204))),"")</f>
        <v/>
      </c>
      <c r="C204" s="19" t="str">
        <f t="array" ref="C204">IF(ROWS(C$4:C204)&lt;=$B$2,INDEX(data!B$3:B$16128,SMALL(IF(data!$D$3:$D$16128='Свобода'!$B$1,ROW(data!$A$3:$A$16128)-ROW($A$3)+1),ROWS(C$4:C204))),"")</f>
        <v/>
      </c>
      <c r="D204" s="7" t="str">
        <f t="array" ref="D204">IF(ROWS(D$4:D204)&lt;=$B$2,INDEX(data!E$3:E$16128,SMALL(IF(data!$D$3:$D$16128='Свобода'!$B$1,ROW(data!$A$3:$A$16128)-ROW($A$3)+1),ROWS(D$4:D204))),"")</f>
        <v/>
      </c>
      <c r="E204" s="11"/>
      <c r="F204" s="11"/>
      <c r="G204" s="11"/>
      <c r="H204" s="14"/>
      <c r="I204" s="14"/>
      <c r="J204" s="14"/>
      <c r="K204" s="14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33" t="str">
        <f t="array" ref="A205">IF(ROWS(A$4:A205)&lt;=$B$2,INDEX(data!C$3:C$16128,SMALL(IF(data!$D$3:$D$16128='Свобода'!$B$1,ROW(data!$A$3:$A$16128)-ROW($A$3)+1),ROWS(A$4:A205))),"")</f>
        <v/>
      </c>
      <c r="B205" s="19" t="str">
        <f t="array" ref="B205">IF(ROWS(B$4:B205)&lt;=$B$2,INDEX(data!A$3:A$16128,SMALL(IF(data!$D$3:$D$16128='Свобода'!$B$1,ROW(data!$A$3:$A$16128)-ROW($A$3)+1),ROWS(B$4:B205))),"")</f>
        <v/>
      </c>
      <c r="C205" s="19" t="str">
        <f t="array" ref="C205">IF(ROWS(C$4:C205)&lt;=$B$2,INDEX(data!B$3:B$16128,SMALL(IF(data!$D$3:$D$16128='Свобода'!$B$1,ROW(data!$A$3:$A$16128)-ROW($A$3)+1),ROWS(C$4:C205))),"")</f>
        <v/>
      </c>
      <c r="D205" s="7" t="str">
        <f t="array" ref="D205">IF(ROWS(D$4:D205)&lt;=$B$2,INDEX(data!E$3:E$16128,SMALL(IF(data!$D$3:$D$16128='Свобода'!$B$1,ROW(data!$A$3:$A$16128)-ROW($A$3)+1),ROWS(D$4:D205))),"")</f>
        <v/>
      </c>
      <c r="E205" s="11"/>
      <c r="F205" s="11"/>
      <c r="G205" s="11"/>
      <c r="H205" s="14"/>
      <c r="I205" s="14"/>
      <c r="J205" s="14"/>
      <c r="K205" s="14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33" t="str">
        <f t="array" ref="A206">IF(ROWS(A$4:A206)&lt;=$B$2,INDEX(data!C$3:C$16128,SMALL(IF(data!$D$3:$D$16128='Свобода'!$B$1,ROW(data!$A$3:$A$16128)-ROW($A$3)+1),ROWS(A$4:A206))),"")</f>
        <v/>
      </c>
      <c r="B206" s="19" t="str">
        <f t="array" ref="B206">IF(ROWS(B$4:B206)&lt;=$B$2,INDEX(data!A$3:A$16128,SMALL(IF(data!$D$3:$D$16128='Свобода'!$B$1,ROW(data!$A$3:$A$16128)-ROW($A$3)+1),ROWS(B$4:B206))),"")</f>
        <v/>
      </c>
      <c r="C206" s="19" t="str">
        <f t="array" ref="C206">IF(ROWS(C$4:C206)&lt;=$B$2,INDEX(data!B$3:B$16128,SMALL(IF(data!$D$3:$D$16128='Свобода'!$B$1,ROW(data!$A$3:$A$16128)-ROW($A$3)+1),ROWS(C$4:C206))),"")</f>
        <v/>
      </c>
      <c r="D206" s="7" t="str">
        <f t="array" ref="D206">IF(ROWS(D$4:D206)&lt;=$B$2,INDEX(data!E$3:E$16128,SMALL(IF(data!$D$3:$D$16128='Свобода'!$B$1,ROW(data!$A$3:$A$16128)-ROW($A$3)+1),ROWS(D$4:D206))),"")</f>
        <v/>
      </c>
      <c r="E206" s="11"/>
      <c r="F206" s="11"/>
      <c r="G206" s="11"/>
      <c r="H206" s="14"/>
      <c r="I206" s="14"/>
      <c r="J206" s="14"/>
      <c r="K206" s="14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33" t="str">
        <f t="array" ref="A207">IF(ROWS(A$4:A207)&lt;=$B$2,INDEX(data!C$3:C$16128,SMALL(IF(data!$D$3:$D$16128='Свобода'!$B$1,ROW(data!$A$3:$A$16128)-ROW($A$3)+1),ROWS(A$4:A207))),"")</f>
        <v/>
      </c>
      <c r="B207" s="19" t="str">
        <f t="array" ref="B207">IF(ROWS(B$4:B207)&lt;=$B$2,INDEX(data!A$3:A$16128,SMALL(IF(data!$D$3:$D$16128='Свобода'!$B$1,ROW(data!$A$3:$A$16128)-ROW($A$3)+1),ROWS(B$4:B207))),"")</f>
        <v/>
      </c>
      <c r="C207" s="19" t="str">
        <f t="array" ref="C207">IF(ROWS(C$4:C207)&lt;=$B$2,INDEX(data!B$3:B$16128,SMALL(IF(data!$D$3:$D$16128='Свобода'!$B$1,ROW(data!$A$3:$A$16128)-ROW($A$3)+1),ROWS(C$4:C207))),"")</f>
        <v/>
      </c>
      <c r="D207" s="7" t="str">
        <f t="array" ref="D207">IF(ROWS(D$4:D207)&lt;=$B$2,INDEX(data!E$3:E$16128,SMALL(IF(data!$D$3:$D$16128='Свобода'!$B$1,ROW(data!$A$3:$A$16128)-ROW($A$3)+1),ROWS(D$4:D207))),"")</f>
        <v/>
      </c>
      <c r="E207" s="11"/>
      <c r="F207" s="11"/>
      <c r="G207" s="11"/>
      <c r="H207" s="14"/>
      <c r="I207" s="14"/>
      <c r="J207" s="14"/>
      <c r="K207" s="14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39"/>
      <c r="B208" s="40"/>
      <c r="C208" s="40"/>
      <c r="D208" s="40"/>
      <c r="E208" s="11"/>
      <c r="F208" s="11"/>
      <c r="G208" s="11"/>
      <c r="H208" s="14"/>
      <c r="I208" s="14"/>
      <c r="J208" s="14"/>
      <c r="K208" s="14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39"/>
      <c r="B209" s="40"/>
      <c r="C209" s="40"/>
      <c r="D209" s="40"/>
      <c r="E209" s="11"/>
      <c r="F209" s="11"/>
      <c r="G209" s="11"/>
      <c r="H209" s="14"/>
      <c r="I209" s="14"/>
      <c r="J209" s="14"/>
      <c r="K209" s="14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39"/>
      <c r="B210" s="40"/>
      <c r="C210" s="40"/>
      <c r="D210" s="40"/>
      <c r="E210" s="11"/>
      <c r="F210" s="11"/>
      <c r="G210" s="11"/>
      <c r="H210" s="14"/>
      <c r="I210" s="14"/>
      <c r="J210" s="14"/>
      <c r="K210" s="14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39"/>
      <c r="B211" s="40"/>
      <c r="C211" s="40"/>
      <c r="D211" s="40"/>
      <c r="E211" s="11"/>
      <c r="F211" s="11"/>
      <c r="G211" s="11"/>
      <c r="H211" s="14"/>
      <c r="I211" s="14"/>
      <c r="J211" s="14"/>
      <c r="K211" s="14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39"/>
      <c r="B212" s="40"/>
      <c r="C212" s="40"/>
      <c r="D212" s="40"/>
      <c r="E212" s="11"/>
      <c r="F212" s="11"/>
      <c r="G212" s="11"/>
      <c r="H212" s="14"/>
      <c r="I212" s="14"/>
      <c r="J212" s="14"/>
      <c r="K212" s="14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39"/>
      <c r="B213" s="40"/>
      <c r="C213" s="40"/>
      <c r="D213" s="40"/>
      <c r="E213" s="11"/>
      <c r="F213" s="11"/>
      <c r="G213" s="11"/>
      <c r="H213" s="14"/>
      <c r="I213" s="14"/>
      <c r="J213" s="14"/>
      <c r="K213" s="14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39"/>
      <c r="B214" s="40"/>
      <c r="C214" s="40"/>
      <c r="D214" s="40"/>
      <c r="E214" s="11"/>
      <c r="F214" s="11"/>
      <c r="G214" s="11"/>
      <c r="H214" s="14"/>
      <c r="I214" s="14"/>
      <c r="J214" s="14"/>
      <c r="K214" s="14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39"/>
      <c r="B215" s="40"/>
      <c r="C215" s="40"/>
      <c r="D215" s="40"/>
      <c r="E215" s="11"/>
      <c r="F215" s="11"/>
      <c r="G215" s="11"/>
      <c r="H215" s="14"/>
      <c r="I215" s="14"/>
      <c r="J215" s="14"/>
      <c r="K215" s="14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39"/>
      <c r="B216" s="40"/>
      <c r="C216" s="40"/>
      <c r="D216" s="40"/>
      <c r="E216" s="11"/>
      <c r="F216" s="11"/>
      <c r="G216" s="11"/>
      <c r="H216" s="14"/>
      <c r="I216" s="14"/>
      <c r="J216" s="14"/>
      <c r="K216" s="14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39"/>
      <c r="B217" s="40"/>
      <c r="C217" s="40"/>
      <c r="D217" s="40"/>
      <c r="E217" s="11"/>
      <c r="F217" s="11"/>
      <c r="G217" s="11"/>
      <c r="H217" s="14"/>
      <c r="I217" s="14"/>
      <c r="J217" s="14"/>
      <c r="K217" s="14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9"/>
      <c r="B218" s="40"/>
      <c r="C218" s="40"/>
      <c r="D218" s="40"/>
      <c r="E218" s="11"/>
      <c r="F218" s="11"/>
      <c r="G218" s="11"/>
      <c r="H218" s="14"/>
      <c r="I218" s="14"/>
      <c r="J218" s="14"/>
      <c r="K218" s="14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39"/>
      <c r="B219" s="40"/>
      <c r="C219" s="40"/>
      <c r="D219" s="40"/>
      <c r="E219" s="11"/>
      <c r="F219" s="11"/>
      <c r="G219" s="11"/>
      <c r="H219" s="14"/>
      <c r="I219" s="14"/>
      <c r="J219" s="14"/>
      <c r="K219" s="14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39"/>
      <c r="B220" s="40"/>
      <c r="C220" s="40"/>
      <c r="D220" s="40"/>
      <c r="E220" s="11"/>
      <c r="F220" s="11"/>
      <c r="G220" s="11"/>
      <c r="H220" s="14"/>
      <c r="I220" s="14"/>
      <c r="J220" s="14"/>
      <c r="K220" s="14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9"/>
      <c r="B221" s="40"/>
      <c r="C221" s="40"/>
      <c r="D221" s="40"/>
      <c r="E221" s="11"/>
      <c r="F221" s="11"/>
      <c r="G221" s="11"/>
      <c r="H221" s="14"/>
      <c r="I221" s="14"/>
      <c r="J221" s="14"/>
      <c r="K221" s="14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39"/>
      <c r="B222" s="40"/>
      <c r="C222" s="40"/>
      <c r="D222" s="40"/>
      <c r="E222" s="11"/>
      <c r="F222" s="11"/>
      <c r="G222" s="11"/>
      <c r="H222" s="14"/>
      <c r="I222" s="14"/>
      <c r="J222" s="14"/>
      <c r="K222" s="14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39"/>
      <c r="B223" s="40"/>
      <c r="C223" s="40"/>
      <c r="D223" s="40"/>
      <c r="E223" s="11"/>
      <c r="F223" s="11"/>
      <c r="G223" s="11"/>
      <c r="H223" s="14"/>
      <c r="I223" s="14"/>
      <c r="J223" s="14"/>
      <c r="K223" s="14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39"/>
      <c r="B224" s="40"/>
      <c r="C224" s="40"/>
      <c r="D224" s="40"/>
      <c r="E224" s="11"/>
      <c r="F224" s="11"/>
      <c r="G224" s="11"/>
      <c r="H224" s="14"/>
      <c r="I224" s="14"/>
      <c r="J224" s="14"/>
      <c r="K224" s="14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39"/>
      <c r="B225" s="40"/>
      <c r="C225" s="40"/>
      <c r="D225" s="40"/>
      <c r="E225" s="11"/>
      <c r="F225" s="11"/>
      <c r="G225" s="11"/>
      <c r="H225" s="14"/>
      <c r="I225" s="14"/>
      <c r="J225" s="14"/>
      <c r="K225" s="14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39"/>
      <c r="B226" s="40"/>
      <c r="C226" s="40"/>
      <c r="D226" s="40"/>
      <c r="E226" s="11"/>
      <c r="F226" s="11"/>
      <c r="G226" s="11"/>
      <c r="H226" s="14"/>
      <c r="I226" s="14"/>
      <c r="J226" s="14"/>
      <c r="K226" s="14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39"/>
      <c r="B227" s="40"/>
      <c r="C227" s="40"/>
      <c r="D227" s="40"/>
      <c r="E227" s="11"/>
      <c r="F227" s="11"/>
      <c r="G227" s="11"/>
      <c r="H227" s="14"/>
      <c r="I227" s="14"/>
      <c r="J227" s="14"/>
      <c r="K227" s="14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39"/>
      <c r="B228" s="40"/>
      <c r="C228" s="40"/>
      <c r="D228" s="40"/>
      <c r="E228" s="11"/>
      <c r="F228" s="11"/>
      <c r="G228" s="11"/>
      <c r="H228" s="14"/>
      <c r="I228" s="14"/>
      <c r="J228" s="14"/>
      <c r="K228" s="14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39"/>
      <c r="B229" s="40"/>
      <c r="C229" s="40"/>
      <c r="D229" s="40"/>
      <c r="E229" s="11"/>
      <c r="F229" s="11"/>
      <c r="G229" s="11"/>
      <c r="H229" s="14"/>
      <c r="I229" s="14"/>
      <c r="J229" s="14"/>
      <c r="K229" s="14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39"/>
      <c r="B230" s="40"/>
      <c r="C230" s="40"/>
      <c r="D230" s="40"/>
      <c r="E230" s="11"/>
      <c r="F230" s="11"/>
      <c r="G230" s="11"/>
      <c r="H230" s="14"/>
      <c r="I230" s="14"/>
      <c r="J230" s="14"/>
      <c r="K230" s="14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39"/>
      <c r="B231" s="40"/>
      <c r="C231" s="40"/>
      <c r="D231" s="40"/>
      <c r="E231" s="11"/>
      <c r="F231" s="11"/>
      <c r="G231" s="11"/>
      <c r="H231" s="14"/>
      <c r="I231" s="14"/>
      <c r="J231" s="14"/>
      <c r="K231" s="14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9"/>
      <c r="B232" s="40"/>
      <c r="C232" s="40"/>
      <c r="D232" s="40"/>
      <c r="E232" s="11"/>
      <c r="F232" s="11"/>
      <c r="G232" s="11"/>
      <c r="H232" s="14"/>
      <c r="I232" s="14"/>
      <c r="J232" s="14"/>
      <c r="K232" s="14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39"/>
      <c r="B233" s="40"/>
      <c r="C233" s="40"/>
      <c r="D233" s="40"/>
      <c r="E233" s="11"/>
      <c r="F233" s="11"/>
      <c r="G233" s="11"/>
      <c r="H233" s="14"/>
      <c r="I233" s="14"/>
      <c r="J233" s="14"/>
      <c r="K233" s="14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39"/>
      <c r="B234" s="40"/>
      <c r="C234" s="40"/>
      <c r="D234" s="40"/>
      <c r="E234" s="11"/>
      <c r="F234" s="11"/>
      <c r="G234" s="11"/>
      <c r="H234" s="14"/>
      <c r="I234" s="14"/>
      <c r="J234" s="14"/>
      <c r="K234" s="14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39"/>
      <c r="B235" s="40"/>
      <c r="C235" s="40"/>
      <c r="D235" s="40"/>
      <c r="E235" s="11"/>
      <c r="F235" s="11"/>
      <c r="G235" s="11"/>
      <c r="H235" s="14"/>
      <c r="I235" s="14"/>
      <c r="J235" s="14"/>
      <c r="K235" s="14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39"/>
      <c r="B236" s="40"/>
      <c r="C236" s="40"/>
      <c r="D236" s="40"/>
      <c r="E236" s="11"/>
      <c r="F236" s="11"/>
      <c r="G236" s="11"/>
      <c r="H236" s="14"/>
      <c r="I236" s="14"/>
      <c r="J236" s="14"/>
      <c r="K236" s="14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39"/>
      <c r="B237" s="40"/>
      <c r="C237" s="40"/>
      <c r="D237" s="40"/>
      <c r="E237" s="11"/>
      <c r="F237" s="11"/>
      <c r="G237" s="11"/>
      <c r="H237" s="14"/>
      <c r="I237" s="14"/>
      <c r="J237" s="14"/>
      <c r="K237" s="14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39"/>
      <c r="B238" s="40"/>
      <c r="C238" s="40"/>
      <c r="D238" s="40"/>
      <c r="E238" s="11"/>
      <c r="F238" s="11"/>
      <c r="G238" s="11"/>
      <c r="H238" s="14"/>
      <c r="I238" s="14"/>
      <c r="J238" s="14"/>
      <c r="K238" s="14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39"/>
      <c r="B239" s="40"/>
      <c r="C239" s="40"/>
      <c r="D239" s="40"/>
      <c r="E239" s="11"/>
      <c r="F239" s="11"/>
      <c r="G239" s="11"/>
      <c r="H239" s="14"/>
      <c r="I239" s="14"/>
      <c r="J239" s="14"/>
      <c r="K239" s="14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39"/>
      <c r="B240" s="40"/>
      <c r="C240" s="40"/>
      <c r="D240" s="40"/>
      <c r="E240" s="11"/>
      <c r="F240" s="11"/>
      <c r="G240" s="11"/>
      <c r="H240" s="14"/>
      <c r="I240" s="14"/>
      <c r="J240" s="14"/>
      <c r="K240" s="14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39"/>
      <c r="B241" s="40"/>
      <c r="C241" s="40"/>
      <c r="D241" s="40"/>
      <c r="E241" s="11"/>
      <c r="F241" s="11"/>
      <c r="G241" s="11"/>
      <c r="H241" s="14"/>
      <c r="I241" s="14"/>
      <c r="J241" s="14"/>
      <c r="K241" s="14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39"/>
      <c r="B242" s="40"/>
      <c r="C242" s="40"/>
      <c r="D242" s="40"/>
      <c r="E242" s="11"/>
      <c r="F242" s="11"/>
      <c r="G242" s="11"/>
      <c r="H242" s="14"/>
      <c r="I242" s="14"/>
      <c r="J242" s="14"/>
      <c r="K242" s="14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39"/>
      <c r="B243" s="40"/>
      <c r="C243" s="40"/>
      <c r="D243" s="40"/>
      <c r="E243" s="11"/>
      <c r="F243" s="11"/>
      <c r="G243" s="11"/>
      <c r="H243" s="14"/>
      <c r="I243" s="14"/>
      <c r="J243" s="14"/>
      <c r="K243" s="14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39"/>
      <c r="B244" s="40"/>
      <c r="C244" s="40"/>
      <c r="D244" s="40"/>
      <c r="E244" s="11"/>
      <c r="F244" s="11"/>
      <c r="G244" s="11"/>
      <c r="H244" s="14"/>
      <c r="I244" s="14"/>
      <c r="J244" s="14"/>
      <c r="K244" s="14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39"/>
      <c r="B245" s="40"/>
      <c r="C245" s="40"/>
      <c r="D245" s="40"/>
      <c r="E245" s="11"/>
      <c r="F245" s="11"/>
      <c r="G245" s="11"/>
      <c r="H245" s="14"/>
      <c r="I245" s="14"/>
      <c r="J245" s="14"/>
      <c r="K245" s="14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39"/>
      <c r="B246" s="40"/>
      <c r="C246" s="40"/>
      <c r="D246" s="40"/>
      <c r="E246" s="11"/>
      <c r="F246" s="11"/>
      <c r="G246" s="11"/>
      <c r="H246" s="14"/>
      <c r="I246" s="14"/>
      <c r="J246" s="14"/>
      <c r="K246" s="14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9"/>
      <c r="B247" s="40"/>
      <c r="C247" s="40"/>
      <c r="D247" s="40"/>
      <c r="E247" s="11"/>
      <c r="F247" s="11"/>
      <c r="G247" s="11"/>
      <c r="H247" s="14"/>
      <c r="I247" s="14"/>
      <c r="J247" s="14"/>
      <c r="K247" s="14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39"/>
      <c r="B248" s="40"/>
      <c r="C248" s="40"/>
      <c r="D248" s="40"/>
      <c r="E248" s="11"/>
      <c r="F248" s="11"/>
      <c r="G248" s="11"/>
      <c r="H248" s="14"/>
      <c r="I248" s="14"/>
      <c r="J248" s="14"/>
      <c r="K248" s="14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39"/>
      <c r="B249" s="40"/>
      <c r="C249" s="40"/>
      <c r="D249" s="40"/>
      <c r="E249" s="11"/>
      <c r="F249" s="11"/>
      <c r="G249" s="11"/>
      <c r="H249" s="14"/>
      <c r="I249" s="14"/>
      <c r="J249" s="14"/>
      <c r="K249" s="14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39"/>
      <c r="B250" s="40"/>
      <c r="C250" s="40"/>
      <c r="D250" s="40"/>
      <c r="E250" s="11"/>
      <c r="F250" s="11"/>
      <c r="G250" s="11"/>
      <c r="H250" s="14"/>
      <c r="I250" s="14"/>
      <c r="J250" s="14"/>
      <c r="K250" s="14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39"/>
      <c r="B251" s="40"/>
      <c r="C251" s="40"/>
      <c r="D251" s="40"/>
      <c r="E251" s="11"/>
      <c r="F251" s="11"/>
      <c r="G251" s="11"/>
      <c r="H251" s="14"/>
      <c r="I251" s="14"/>
      <c r="J251" s="14"/>
      <c r="K251" s="14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39"/>
      <c r="B252" s="40"/>
      <c r="C252" s="40"/>
      <c r="D252" s="40"/>
      <c r="E252" s="11"/>
      <c r="F252" s="11"/>
      <c r="G252" s="11"/>
      <c r="H252" s="14"/>
      <c r="I252" s="14"/>
      <c r="J252" s="14"/>
      <c r="K252" s="14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39"/>
      <c r="B253" s="40"/>
      <c r="C253" s="40"/>
      <c r="D253" s="40"/>
      <c r="E253" s="11"/>
      <c r="F253" s="11"/>
      <c r="G253" s="11"/>
      <c r="H253" s="14"/>
      <c r="I253" s="14"/>
      <c r="J253" s="14"/>
      <c r="K253" s="14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39"/>
      <c r="B254" s="40"/>
      <c r="C254" s="40"/>
      <c r="D254" s="40"/>
      <c r="E254" s="11"/>
      <c r="F254" s="11"/>
      <c r="G254" s="11"/>
      <c r="H254" s="14"/>
      <c r="I254" s="14"/>
      <c r="J254" s="14"/>
      <c r="K254" s="14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39"/>
      <c r="B255" s="40"/>
      <c r="C255" s="40"/>
      <c r="D255" s="40"/>
      <c r="E255" s="11"/>
      <c r="F255" s="11"/>
      <c r="G255" s="11"/>
      <c r="H255" s="14"/>
      <c r="I255" s="14"/>
      <c r="J255" s="14"/>
      <c r="K255" s="14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39"/>
      <c r="B256" s="40"/>
      <c r="C256" s="40"/>
      <c r="D256" s="40"/>
      <c r="E256" s="11"/>
      <c r="F256" s="11"/>
      <c r="G256" s="11"/>
      <c r="H256" s="14"/>
      <c r="I256" s="14"/>
      <c r="J256" s="14"/>
      <c r="K256" s="14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39"/>
      <c r="B257" s="40"/>
      <c r="C257" s="40"/>
      <c r="D257" s="40"/>
      <c r="E257" s="11"/>
      <c r="F257" s="11"/>
      <c r="G257" s="11"/>
      <c r="H257" s="14"/>
      <c r="I257" s="14"/>
      <c r="J257" s="14"/>
      <c r="K257" s="14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39"/>
      <c r="B258" s="40"/>
      <c r="C258" s="40"/>
      <c r="D258" s="40"/>
      <c r="E258" s="11"/>
      <c r="F258" s="11"/>
      <c r="G258" s="11"/>
      <c r="H258" s="14"/>
      <c r="I258" s="14"/>
      <c r="J258" s="14"/>
      <c r="K258" s="14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39"/>
      <c r="B259" s="40"/>
      <c r="C259" s="40"/>
      <c r="D259" s="40"/>
      <c r="E259" s="11"/>
      <c r="F259" s="11"/>
      <c r="G259" s="11"/>
      <c r="H259" s="14"/>
      <c r="I259" s="14"/>
      <c r="J259" s="14"/>
      <c r="K259" s="14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39"/>
      <c r="B260" s="40"/>
      <c r="C260" s="40"/>
      <c r="D260" s="40"/>
      <c r="E260" s="11"/>
      <c r="F260" s="11"/>
      <c r="G260" s="11"/>
      <c r="H260" s="14"/>
      <c r="I260" s="14"/>
      <c r="J260" s="14"/>
      <c r="K260" s="14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9"/>
      <c r="B261" s="40"/>
      <c r="C261" s="40"/>
      <c r="D261" s="40"/>
      <c r="E261" s="11"/>
      <c r="F261" s="11"/>
      <c r="G261" s="11"/>
      <c r="H261" s="14"/>
      <c r="I261" s="14"/>
      <c r="J261" s="14"/>
      <c r="K261" s="14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39"/>
      <c r="B262" s="40"/>
      <c r="C262" s="40"/>
      <c r="D262" s="40"/>
      <c r="E262" s="11"/>
      <c r="F262" s="11"/>
      <c r="G262" s="11"/>
      <c r="H262" s="14"/>
      <c r="I262" s="14"/>
      <c r="J262" s="14"/>
      <c r="K262" s="14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39"/>
      <c r="B263" s="40"/>
      <c r="C263" s="40"/>
      <c r="D263" s="40"/>
      <c r="E263" s="11"/>
      <c r="F263" s="11"/>
      <c r="G263" s="11"/>
      <c r="H263" s="14"/>
      <c r="I263" s="14"/>
      <c r="J263" s="14"/>
      <c r="K263" s="14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9"/>
      <c r="B264" s="40"/>
      <c r="C264" s="40"/>
      <c r="D264" s="40"/>
      <c r="E264" s="11"/>
      <c r="F264" s="11"/>
      <c r="G264" s="11"/>
      <c r="H264" s="14"/>
      <c r="I264" s="14"/>
      <c r="J264" s="14"/>
      <c r="K264" s="14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39"/>
      <c r="B265" s="40"/>
      <c r="C265" s="40"/>
      <c r="D265" s="40"/>
      <c r="E265" s="11"/>
      <c r="F265" s="11"/>
      <c r="G265" s="11"/>
      <c r="H265" s="14"/>
      <c r="I265" s="14"/>
      <c r="J265" s="14"/>
      <c r="K265" s="14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39"/>
      <c r="B266" s="40"/>
      <c r="C266" s="40"/>
      <c r="D266" s="40"/>
      <c r="E266" s="11"/>
      <c r="F266" s="11"/>
      <c r="G266" s="11"/>
      <c r="H266" s="14"/>
      <c r="I266" s="14"/>
      <c r="J266" s="14"/>
      <c r="K266" s="14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39"/>
      <c r="B267" s="40"/>
      <c r="C267" s="40"/>
      <c r="D267" s="40"/>
      <c r="E267" s="11"/>
      <c r="F267" s="11"/>
      <c r="G267" s="11"/>
      <c r="H267" s="14"/>
      <c r="I267" s="14"/>
      <c r="J267" s="14"/>
      <c r="K267" s="14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39"/>
      <c r="B268" s="40"/>
      <c r="C268" s="40"/>
      <c r="D268" s="40"/>
      <c r="E268" s="11"/>
      <c r="F268" s="11"/>
      <c r="G268" s="11"/>
      <c r="H268" s="14"/>
      <c r="I268" s="14"/>
      <c r="J268" s="14"/>
      <c r="K268" s="14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39"/>
      <c r="B269" s="40"/>
      <c r="C269" s="40"/>
      <c r="D269" s="40"/>
      <c r="E269" s="11"/>
      <c r="F269" s="11"/>
      <c r="G269" s="11"/>
      <c r="H269" s="14"/>
      <c r="I269" s="14"/>
      <c r="J269" s="14"/>
      <c r="K269" s="14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39"/>
      <c r="B270" s="40"/>
      <c r="C270" s="40"/>
      <c r="D270" s="40"/>
      <c r="E270" s="11"/>
      <c r="F270" s="11"/>
      <c r="G270" s="11"/>
      <c r="H270" s="14"/>
      <c r="I270" s="14"/>
      <c r="J270" s="14"/>
      <c r="K270" s="14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39"/>
      <c r="B271" s="40"/>
      <c r="C271" s="40"/>
      <c r="D271" s="40"/>
      <c r="E271" s="11"/>
      <c r="F271" s="11"/>
      <c r="G271" s="11"/>
      <c r="H271" s="14"/>
      <c r="I271" s="14"/>
      <c r="J271" s="14"/>
      <c r="K271" s="14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39"/>
      <c r="B272" s="40"/>
      <c r="C272" s="40"/>
      <c r="D272" s="40"/>
      <c r="E272" s="11"/>
      <c r="F272" s="11"/>
      <c r="G272" s="11"/>
      <c r="H272" s="14"/>
      <c r="I272" s="14"/>
      <c r="J272" s="14"/>
      <c r="K272" s="14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39"/>
      <c r="B273" s="40"/>
      <c r="C273" s="40"/>
      <c r="D273" s="40"/>
      <c r="E273" s="11"/>
      <c r="F273" s="11"/>
      <c r="G273" s="11"/>
      <c r="H273" s="14"/>
      <c r="I273" s="14"/>
      <c r="J273" s="14"/>
      <c r="K273" s="14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39"/>
      <c r="B274" s="40"/>
      <c r="C274" s="40"/>
      <c r="D274" s="40"/>
      <c r="E274" s="11"/>
      <c r="F274" s="11"/>
      <c r="G274" s="11"/>
      <c r="H274" s="14"/>
      <c r="I274" s="14"/>
      <c r="J274" s="14"/>
      <c r="K274" s="14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9"/>
      <c r="B275" s="40"/>
      <c r="C275" s="40"/>
      <c r="D275" s="40"/>
      <c r="E275" s="11"/>
      <c r="F275" s="11"/>
      <c r="G275" s="11"/>
      <c r="H275" s="14"/>
      <c r="I275" s="14"/>
      <c r="J275" s="14"/>
      <c r="K275" s="14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39"/>
      <c r="B276" s="40"/>
      <c r="C276" s="40"/>
      <c r="D276" s="40"/>
      <c r="E276" s="11"/>
      <c r="F276" s="11"/>
      <c r="G276" s="11"/>
      <c r="H276" s="14"/>
      <c r="I276" s="14"/>
      <c r="J276" s="14"/>
      <c r="K276" s="14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39"/>
      <c r="B277" s="40"/>
      <c r="C277" s="40"/>
      <c r="D277" s="40"/>
      <c r="E277" s="11"/>
      <c r="F277" s="11"/>
      <c r="G277" s="11"/>
      <c r="H277" s="14"/>
      <c r="I277" s="14"/>
      <c r="J277" s="14"/>
      <c r="K277" s="14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39"/>
      <c r="B278" s="40"/>
      <c r="C278" s="40"/>
      <c r="D278" s="40"/>
      <c r="E278" s="11"/>
      <c r="F278" s="11"/>
      <c r="G278" s="11"/>
      <c r="H278" s="14"/>
      <c r="I278" s="14"/>
      <c r="J278" s="14"/>
      <c r="K278" s="14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9"/>
      <c r="B279" s="40"/>
      <c r="C279" s="40"/>
      <c r="D279" s="40"/>
      <c r="E279" s="11"/>
      <c r="F279" s="11"/>
      <c r="G279" s="11"/>
      <c r="H279" s="14"/>
      <c r="I279" s="14"/>
      <c r="J279" s="14"/>
      <c r="K279" s="14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39"/>
      <c r="B280" s="40"/>
      <c r="C280" s="40"/>
      <c r="D280" s="40"/>
      <c r="E280" s="11"/>
      <c r="F280" s="11"/>
      <c r="G280" s="11"/>
      <c r="H280" s="14"/>
      <c r="I280" s="14"/>
      <c r="J280" s="14"/>
      <c r="K280" s="14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39"/>
      <c r="B281" s="40"/>
      <c r="C281" s="40"/>
      <c r="D281" s="40"/>
      <c r="E281" s="11"/>
      <c r="F281" s="11"/>
      <c r="G281" s="11"/>
      <c r="H281" s="14"/>
      <c r="I281" s="14"/>
      <c r="J281" s="14"/>
      <c r="K281" s="14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39"/>
      <c r="B282" s="40"/>
      <c r="C282" s="40"/>
      <c r="D282" s="40"/>
      <c r="E282" s="11"/>
      <c r="F282" s="11"/>
      <c r="G282" s="11"/>
      <c r="H282" s="14"/>
      <c r="I282" s="14"/>
      <c r="J282" s="14"/>
      <c r="K282" s="14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39"/>
      <c r="B283" s="40"/>
      <c r="C283" s="40"/>
      <c r="D283" s="40"/>
      <c r="E283" s="11"/>
      <c r="F283" s="11"/>
      <c r="G283" s="11"/>
      <c r="H283" s="14"/>
      <c r="I283" s="14"/>
      <c r="J283" s="14"/>
      <c r="K283" s="14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39"/>
      <c r="B284" s="40"/>
      <c r="C284" s="40"/>
      <c r="D284" s="40"/>
      <c r="E284" s="11"/>
      <c r="F284" s="11"/>
      <c r="G284" s="11"/>
      <c r="H284" s="14"/>
      <c r="I284" s="14"/>
      <c r="J284" s="14"/>
      <c r="K284" s="14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39"/>
      <c r="B285" s="40"/>
      <c r="C285" s="40"/>
      <c r="D285" s="40"/>
      <c r="E285" s="11"/>
      <c r="F285" s="11"/>
      <c r="G285" s="11"/>
      <c r="H285" s="14"/>
      <c r="I285" s="14"/>
      <c r="J285" s="14"/>
      <c r="K285" s="14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39"/>
      <c r="B286" s="40"/>
      <c r="C286" s="40"/>
      <c r="D286" s="40"/>
      <c r="E286" s="11"/>
      <c r="F286" s="11"/>
      <c r="G286" s="11"/>
      <c r="H286" s="14"/>
      <c r="I286" s="14"/>
      <c r="J286" s="14"/>
      <c r="K286" s="14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39"/>
      <c r="B287" s="40"/>
      <c r="C287" s="40"/>
      <c r="D287" s="40"/>
      <c r="E287" s="11"/>
      <c r="F287" s="11"/>
      <c r="G287" s="11"/>
      <c r="H287" s="14"/>
      <c r="I287" s="14"/>
      <c r="J287" s="14"/>
      <c r="K287" s="14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39"/>
      <c r="B288" s="40"/>
      <c r="C288" s="40"/>
      <c r="D288" s="40"/>
      <c r="E288" s="11"/>
      <c r="F288" s="11"/>
      <c r="G288" s="11"/>
      <c r="H288" s="14"/>
      <c r="I288" s="14"/>
      <c r="J288" s="14"/>
      <c r="K288" s="14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9"/>
      <c r="B289" s="40"/>
      <c r="C289" s="40"/>
      <c r="D289" s="40"/>
      <c r="E289" s="11"/>
      <c r="F289" s="11"/>
      <c r="G289" s="11"/>
      <c r="H289" s="14"/>
      <c r="I289" s="14"/>
      <c r="J289" s="14"/>
      <c r="K289" s="14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39"/>
      <c r="B290" s="40"/>
      <c r="C290" s="40"/>
      <c r="D290" s="40"/>
      <c r="E290" s="11"/>
      <c r="F290" s="11"/>
      <c r="G290" s="11"/>
      <c r="H290" s="14"/>
      <c r="I290" s="14"/>
      <c r="J290" s="14"/>
      <c r="K290" s="14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39"/>
      <c r="B291" s="40"/>
      <c r="C291" s="40"/>
      <c r="D291" s="40"/>
      <c r="E291" s="11"/>
      <c r="F291" s="11"/>
      <c r="G291" s="11"/>
      <c r="H291" s="14"/>
      <c r="I291" s="14"/>
      <c r="J291" s="14"/>
      <c r="K291" s="14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39"/>
      <c r="B292" s="40"/>
      <c r="C292" s="40"/>
      <c r="D292" s="40"/>
      <c r="E292" s="11"/>
      <c r="F292" s="11"/>
      <c r="G292" s="11"/>
      <c r="H292" s="14"/>
      <c r="I292" s="14"/>
      <c r="J292" s="14"/>
      <c r="K292" s="14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39"/>
      <c r="B293" s="40"/>
      <c r="C293" s="40"/>
      <c r="D293" s="40"/>
      <c r="E293" s="11"/>
      <c r="F293" s="11"/>
      <c r="G293" s="11"/>
      <c r="H293" s="14"/>
      <c r="I293" s="14"/>
      <c r="J293" s="14"/>
      <c r="K293" s="14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39"/>
      <c r="B294" s="40"/>
      <c r="C294" s="40"/>
      <c r="D294" s="40"/>
      <c r="E294" s="11"/>
      <c r="F294" s="11"/>
      <c r="G294" s="11"/>
      <c r="H294" s="14"/>
      <c r="I294" s="14"/>
      <c r="J294" s="14"/>
      <c r="K294" s="14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39"/>
      <c r="B295" s="40"/>
      <c r="C295" s="40"/>
      <c r="D295" s="40"/>
      <c r="E295" s="11"/>
      <c r="F295" s="11"/>
      <c r="G295" s="11"/>
      <c r="H295" s="14"/>
      <c r="I295" s="14"/>
      <c r="J295" s="14"/>
      <c r="K295" s="14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39"/>
      <c r="B296" s="40"/>
      <c r="C296" s="40"/>
      <c r="D296" s="40"/>
      <c r="E296" s="11"/>
      <c r="F296" s="11"/>
      <c r="G296" s="11"/>
      <c r="H296" s="14"/>
      <c r="I296" s="14"/>
      <c r="J296" s="14"/>
      <c r="K296" s="14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39"/>
      <c r="B297" s="40"/>
      <c r="C297" s="40"/>
      <c r="D297" s="40"/>
      <c r="E297" s="11"/>
      <c r="F297" s="11"/>
      <c r="G297" s="11"/>
      <c r="H297" s="14"/>
      <c r="I297" s="14"/>
      <c r="J297" s="14"/>
      <c r="K297" s="14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39"/>
      <c r="B298" s="40"/>
      <c r="C298" s="40"/>
      <c r="D298" s="40"/>
      <c r="E298" s="11"/>
      <c r="F298" s="11"/>
      <c r="G298" s="11"/>
      <c r="H298" s="14"/>
      <c r="I298" s="14"/>
      <c r="J298" s="14"/>
      <c r="K298" s="14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39"/>
      <c r="B299" s="40"/>
      <c r="C299" s="40"/>
      <c r="D299" s="40"/>
      <c r="E299" s="11"/>
      <c r="F299" s="11"/>
      <c r="G299" s="11"/>
      <c r="H299" s="14"/>
      <c r="I299" s="14"/>
      <c r="J299" s="14"/>
      <c r="K299" s="14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39"/>
      <c r="B300" s="40"/>
      <c r="C300" s="40"/>
      <c r="D300" s="40"/>
      <c r="E300" s="11"/>
      <c r="F300" s="11"/>
      <c r="G300" s="11"/>
      <c r="H300" s="14"/>
      <c r="I300" s="14"/>
      <c r="J300" s="14"/>
      <c r="K300" s="14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39"/>
      <c r="B301" s="40"/>
      <c r="C301" s="40"/>
      <c r="D301" s="40"/>
      <c r="E301" s="11"/>
      <c r="F301" s="11"/>
      <c r="G301" s="11"/>
      <c r="H301" s="14"/>
      <c r="I301" s="14"/>
      <c r="J301" s="14"/>
      <c r="K301" s="14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9"/>
      <c r="B302" s="40"/>
      <c r="C302" s="40"/>
      <c r="D302" s="40"/>
      <c r="E302" s="11"/>
      <c r="F302" s="11"/>
      <c r="G302" s="11"/>
      <c r="H302" s="14"/>
      <c r="I302" s="14"/>
      <c r="J302" s="14"/>
      <c r="K302" s="14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39"/>
      <c r="B303" s="40"/>
      <c r="C303" s="40"/>
      <c r="D303" s="40"/>
      <c r="E303" s="11"/>
      <c r="F303" s="11"/>
      <c r="G303" s="11"/>
      <c r="H303" s="14"/>
      <c r="I303" s="14"/>
      <c r="J303" s="14"/>
      <c r="K303" s="14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39"/>
      <c r="B304" s="40"/>
      <c r="C304" s="40"/>
      <c r="D304" s="40"/>
      <c r="E304" s="11"/>
      <c r="F304" s="11"/>
      <c r="G304" s="11"/>
      <c r="H304" s="14"/>
      <c r="I304" s="14"/>
      <c r="J304" s="14"/>
      <c r="K304" s="14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39"/>
      <c r="B305" s="40"/>
      <c r="C305" s="40"/>
      <c r="D305" s="40"/>
      <c r="E305" s="11"/>
      <c r="F305" s="11"/>
      <c r="G305" s="11"/>
      <c r="H305" s="14"/>
      <c r="I305" s="14"/>
      <c r="J305" s="14"/>
      <c r="K305" s="14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39"/>
      <c r="B306" s="40"/>
      <c r="C306" s="40"/>
      <c r="D306" s="40"/>
      <c r="E306" s="11"/>
      <c r="F306" s="11"/>
      <c r="G306" s="11"/>
      <c r="H306" s="14"/>
      <c r="I306" s="14"/>
      <c r="J306" s="14"/>
      <c r="K306" s="14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39"/>
      <c r="B307" s="40"/>
      <c r="C307" s="40"/>
      <c r="D307" s="40"/>
      <c r="E307" s="11"/>
      <c r="F307" s="11"/>
      <c r="G307" s="11"/>
      <c r="H307" s="14"/>
      <c r="I307" s="14"/>
      <c r="J307" s="14"/>
      <c r="K307" s="14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39"/>
      <c r="B308" s="40"/>
      <c r="C308" s="40"/>
      <c r="D308" s="40"/>
      <c r="E308" s="11"/>
      <c r="F308" s="11"/>
      <c r="G308" s="11"/>
      <c r="H308" s="14"/>
      <c r="I308" s="14"/>
      <c r="J308" s="14"/>
      <c r="K308" s="14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39"/>
      <c r="B309" s="40"/>
      <c r="C309" s="40"/>
      <c r="D309" s="40"/>
      <c r="E309" s="11"/>
      <c r="F309" s="11"/>
      <c r="G309" s="11"/>
      <c r="H309" s="14"/>
      <c r="I309" s="14"/>
      <c r="J309" s="14"/>
      <c r="K309" s="14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39"/>
      <c r="B310" s="40"/>
      <c r="C310" s="40"/>
      <c r="D310" s="40"/>
      <c r="E310" s="11"/>
      <c r="F310" s="11"/>
      <c r="G310" s="11"/>
      <c r="H310" s="14"/>
      <c r="I310" s="14"/>
      <c r="J310" s="14"/>
      <c r="K310" s="14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39"/>
      <c r="B311" s="40"/>
      <c r="C311" s="40"/>
      <c r="D311" s="40"/>
      <c r="E311" s="11"/>
      <c r="F311" s="11"/>
      <c r="G311" s="11"/>
      <c r="H311" s="14"/>
      <c r="I311" s="14"/>
      <c r="J311" s="14"/>
      <c r="K311" s="14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39"/>
      <c r="B312" s="40"/>
      <c r="C312" s="40"/>
      <c r="D312" s="40"/>
      <c r="E312" s="11"/>
      <c r="F312" s="11"/>
      <c r="G312" s="11"/>
      <c r="H312" s="14"/>
      <c r="I312" s="14"/>
      <c r="J312" s="14"/>
      <c r="K312" s="14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39"/>
      <c r="B313" s="40"/>
      <c r="C313" s="40"/>
      <c r="D313" s="40"/>
      <c r="E313" s="11"/>
      <c r="F313" s="11"/>
      <c r="G313" s="11"/>
      <c r="H313" s="14"/>
      <c r="I313" s="14"/>
      <c r="J313" s="14"/>
      <c r="K313" s="14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39"/>
      <c r="B314" s="40"/>
      <c r="C314" s="40"/>
      <c r="D314" s="40"/>
      <c r="E314" s="11"/>
      <c r="F314" s="11"/>
      <c r="G314" s="11"/>
      <c r="H314" s="14"/>
      <c r="I314" s="14"/>
      <c r="J314" s="14"/>
      <c r="K314" s="14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39"/>
      <c r="B315" s="40"/>
      <c r="C315" s="40"/>
      <c r="D315" s="40"/>
      <c r="E315" s="11"/>
      <c r="F315" s="11"/>
      <c r="G315" s="11"/>
      <c r="H315" s="14"/>
      <c r="I315" s="14"/>
      <c r="J315" s="14"/>
      <c r="K315" s="14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39"/>
      <c r="B316" s="40"/>
      <c r="C316" s="40"/>
      <c r="D316" s="40"/>
      <c r="E316" s="11"/>
      <c r="F316" s="11"/>
      <c r="G316" s="11"/>
      <c r="H316" s="14"/>
      <c r="I316" s="14"/>
      <c r="J316" s="14"/>
      <c r="K316" s="14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39"/>
      <c r="B317" s="40"/>
      <c r="C317" s="40"/>
      <c r="D317" s="40"/>
      <c r="E317" s="11"/>
      <c r="F317" s="11"/>
      <c r="G317" s="11"/>
      <c r="H317" s="14"/>
      <c r="I317" s="14"/>
      <c r="J317" s="14"/>
      <c r="K317" s="14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39"/>
      <c r="B318" s="40"/>
      <c r="C318" s="40"/>
      <c r="D318" s="40"/>
      <c r="E318" s="11"/>
      <c r="F318" s="11"/>
      <c r="G318" s="11"/>
      <c r="H318" s="14"/>
      <c r="I318" s="14"/>
      <c r="J318" s="14"/>
      <c r="K318" s="14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39"/>
      <c r="B319" s="40"/>
      <c r="C319" s="40"/>
      <c r="D319" s="40"/>
      <c r="E319" s="11"/>
      <c r="F319" s="11"/>
      <c r="G319" s="11"/>
      <c r="H319" s="14"/>
      <c r="I319" s="14"/>
      <c r="J319" s="14"/>
      <c r="K319" s="14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39"/>
      <c r="B320" s="40"/>
      <c r="C320" s="40"/>
      <c r="D320" s="40"/>
      <c r="E320" s="11"/>
      <c r="F320" s="11"/>
      <c r="G320" s="11"/>
      <c r="H320" s="14"/>
      <c r="I320" s="14"/>
      <c r="J320" s="14"/>
      <c r="K320" s="14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39"/>
      <c r="B321" s="40"/>
      <c r="C321" s="40"/>
      <c r="D321" s="40"/>
      <c r="E321" s="11"/>
      <c r="F321" s="11"/>
      <c r="G321" s="11"/>
      <c r="H321" s="14"/>
      <c r="I321" s="14"/>
      <c r="J321" s="14"/>
      <c r="K321" s="14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39"/>
      <c r="B322" s="40"/>
      <c r="C322" s="40"/>
      <c r="D322" s="40"/>
      <c r="E322" s="11"/>
      <c r="F322" s="11"/>
      <c r="G322" s="11"/>
      <c r="H322" s="14"/>
      <c r="I322" s="14"/>
      <c r="J322" s="14"/>
      <c r="K322" s="14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39"/>
      <c r="B323" s="40"/>
      <c r="C323" s="40"/>
      <c r="D323" s="40"/>
      <c r="E323" s="11"/>
      <c r="F323" s="11"/>
      <c r="G323" s="11"/>
      <c r="H323" s="14"/>
      <c r="I323" s="14"/>
      <c r="J323" s="14"/>
      <c r="K323" s="14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39"/>
      <c r="B324" s="40"/>
      <c r="C324" s="40"/>
      <c r="D324" s="40"/>
      <c r="E324" s="11"/>
      <c r="F324" s="11"/>
      <c r="G324" s="11"/>
      <c r="H324" s="14"/>
      <c r="I324" s="14"/>
      <c r="J324" s="14"/>
      <c r="K324" s="14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39"/>
      <c r="B325" s="40"/>
      <c r="C325" s="40"/>
      <c r="D325" s="40"/>
      <c r="E325" s="11"/>
      <c r="F325" s="11"/>
      <c r="G325" s="11"/>
      <c r="H325" s="14"/>
      <c r="I325" s="14"/>
      <c r="J325" s="14"/>
      <c r="K325" s="14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39"/>
      <c r="B326" s="40"/>
      <c r="C326" s="40"/>
      <c r="D326" s="40"/>
      <c r="E326" s="11"/>
      <c r="F326" s="11"/>
      <c r="G326" s="11"/>
      <c r="H326" s="14"/>
      <c r="I326" s="14"/>
      <c r="J326" s="14"/>
      <c r="K326" s="14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39"/>
      <c r="B327" s="40"/>
      <c r="C327" s="40"/>
      <c r="D327" s="40"/>
      <c r="E327" s="11"/>
      <c r="F327" s="11"/>
      <c r="G327" s="11"/>
      <c r="H327" s="14"/>
      <c r="I327" s="14"/>
      <c r="J327" s="14"/>
      <c r="K327" s="14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39"/>
      <c r="B328" s="40"/>
      <c r="C328" s="40"/>
      <c r="D328" s="40"/>
      <c r="E328" s="11"/>
      <c r="F328" s="11"/>
      <c r="G328" s="11"/>
      <c r="H328" s="14"/>
      <c r="I328" s="14"/>
      <c r="J328" s="14"/>
      <c r="K328" s="14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39"/>
      <c r="B329" s="40"/>
      <c r="C329" s="40"/>
      <c r="D329" s="40"/>
      <c r="E329" s="11"/>
      <c r="F329" s="11"/>
      <c r="G329" s="11"/>
      <c r="H329" s="14"/>
      <c r="I329" s="14"/>
      <c r="J329" s="14"/>
      <c r="K329" s="14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39"/>
      <c r="B330" s="40"/>
      <c r="C330" s="40"/>
      <c r="D330" s="40"/>
      <c r="E330" s="11"/>
      <c r="F330" s="11"/>
      <c r="G330" s="11"/>
      <c r="H330" s="14"/>
      <c r="I330" s="14"/>
      <c r="J330" s="14"/>
      <c r="K330" s="14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39"/>
      <c r="B331" s="40"/>
      <c r="C331" s="40"/>
      <c r="D331" s="40"/>
      <c r="E331" s="11"/>
      <c r="F331" s="11"/>
      <c r="G331" s="11"/>
      <c r="H331" s="14"/>
      <c r="I331" s="14"/>
      <c r="J331" s="14"/>
      <c r="K331" s="14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9"/>
      <c r="B332" s="40"/>
      <c r="C332" s="40"/>
      <c r="D332" s="40"/>
      <c r="E332" s="11"/>
      <c r="F332" s="11"/>
      <c r="G332" s="11"/>
      <c r="H332" s="14"/>
      <c r="I332" s="14"/>
      <c r="J332" s="14"/>
      <c r="K332" s="14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39"/>
      <c r="B333" s="40"/>
      <c r="C333" s="40"/>
      <c r="D333" s="40"/>
      <c r="E333" s="11"/>
      <c r="F333" s="11"/>
      <c r="G333" s="11"/>
      <c r="H333" s="14"/>
      <c r="I333" s="14"/>
      <c r="J333" s="14"/>
      <c r="K333" s="14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39"/>
      <c r="B334" s="40"/>
      <c r="C334" s="40"/>
      <c r="D334" s="40"/>
      <c r="E334" s="11"/>
      <c r="F334" s="11"/>
      <c r="G334" s="11"/>
      <c r="H334" s="14"/>
      <c r="I334" s="14"/>
      <c r="J334" s="14"/>
      <c r="K334" s="14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39"/>
      <c r="B335" s="40"/>
      <c r="C335" s="40"/>
      <c r="D335" s="40"/>
      <c r="E335" s="11"/>
      <c r="F335" s="11"/>
      <c r="G335" s="11"/>
      <c r="H335" s="14"/>
      <c r="I335" s="14"/>
      <c r="J335" s="14"/>
      <c r="K335" s="14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39"/>
      <c r="B336" s="40"/>
      <c r="C336" s="40"/>
      <c r="D336" s="40"/>
      <c r="E336" s="11"/>
      <c r="F336" s="11"/>
      <c r="G336" s="11"/>
      <c r="H336" s="14"/>
      <c r="I336" s="14"/>
      <c r="J336" s="14"/>
      <c r="K336" s="14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39"/>
      <c r="B337" s="40"/>
      <c r="C337" s="40"/>
      <c r="D337" s="40"/>
      <c r="E337" s="11"/>
      <c r="F337" s="11"/>
      <c r="G337" s="11"/>
      <c r="H337" s="14"/>
      <c r="I337" s="14"/>
      <c r="J337" s="14"/>
      <c r="K337" s="14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39"/>
      <c r="B338" s="40"/>
      <c r="C338" s="40"/>
      <c r="D338" s="40"/>
      <c r="E338" s="11"/>
      <c r="F338" s="11"/>
      <c r="G338" s="11"/>
      <c r="H338" s="14"/>
      <c r="I338" s="14"/>
      <c r="J338" s="14"/>
      <c r="K338" s="14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39"/>
      <c r="B339" s="40"/>
      <c r="C339" s="40"/>
      <c r="D339" s="40"/>
      <c r="E339" s="11"/>
      <c r="F339" s="11"/>
      <c r="G339" s="11"/>
      <c r="H339" s="14"/>
      <c r="I339" s="14"/>
      <c r="J339" s="14"/>
      <c r="K339" s="14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39"/>
      <c r="B340" s="40"/>
      <c r="C340" s="40"/>
      <c r="D340" s="40"/>
      <c r="E340" s="11"/>
      <c r="F340" s="11"/>
      <c r="G340" s="11"/>
      <c r="H340" s="14"/>
      <c r="I340" s="14"/>
      <c r="J340" s="14"/>
      <c r="K340" s="14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39"/>
      <c r="B341" s="40"/>
      <c r="C341" s="40"/>
      <c r="D341" s="40"/>
      <c r="E341" s="11"/>
      <c r="F341" s="11"/>
      <c r="G341" s="11"/>
      <c r="H341" s="14"/>
      <c r="I341" s="14"/>
      <c r="J341" s="14"/>
      <c r="K341" s="14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39"/>
      <c r="B342" s="40"/>
      <c r="C342" s="40"/>
      <c r="D342" s="40"/>
      <c r="E342" s="11"/>
      <c r="F342" s="11"/>
      <c r="G342" s="11"/>
      <c r="H342" s="14"/>
      <c r="I342" s="14"/>
      <c r="J342" s="14"/>
      <c r="K342" s="14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39"/>
      <c r="B343" s="40"/>
      <c r="C343" s="40"/>
      <c r="D343" s="40"/>
      <c r="E343" s="11"/>
      <c r="F343" s="11"/>
      <c r="G343" s="11"/>
      <c r="H343" s="14"/>
      <c r="I343" s="14"/>
      <c r="J343" s="14"/>
      <c r="K343" s="14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39"/>
      <c r="B344" s="40"/>
      <c r="C344" s="40"/>
      <c r="D344" s="40"/>
      <c r="E344" s="11"/>
      <c r="F344" s="11"/>
      <c r="G344" s="11"/>
      <c r="H344" s="14"/>
      <c r="I344" s="14"/>
      <c r="J344" s="14"/>
      <c r="K344" s="14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39"/>
      <c r="B345" s="40"/>
      <c r="C345" s="40"/>
      <c r="D345" s="40"/>
      <c r="E345" s="11"/>
      <c r="F345" s="11"/>
      <c r="G345" s="11"/>
      <c r="H345" s="14"/>
      <c r="I345" s="14"/>
      <c r="J345" s="14"/>
      <c r="K345" s="14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39"/>
      <c r="B346" s="40"/>
      <c r="C346" s="40"/>
      <c r="D346" s="40"/>
      <c r="E346" s="11"/>
      <c r="F346" s="11"/>
      <c r="G346" s="11"/>
      <c r="H346" s="14"/>
      <c r="I346" s="14"/>
      <c r="J346" s="14"/>
      <c r="K346" s="14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39"/>
      <c r="B347" s="40"/>
      <c r="C347" s="40"/>
      <c r="D347" s="40"/>
      <c r="E347" s="11"/>
      <c r="F347" s="11"/>
      <c r="G347" s="11"/>
      <c r="H347" s="14"/>
      <c r="I347" s="14"/>
      <c r="J347" s="14"/>
      <c r="K347" s="14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39"/>
      <c r="B348" s="40"/>
      <c r="C348" s="40"/>
      <c r="D348" s="40"/>
      <c r="E348" s="11"/>
      <c r="F348" s="11"/>
      <c r="G348" s="11"/>
      <c r="H348" s="14"/>
      <c r="I348" s="14"/>
      <c r="J348" s="14"/>
      <c r="K348" s="14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39"/>
      <c r="B349" s="40"/>
      <c r="C349" s="40"/>
      <c r="D349" s="40"/>
      <c r="E349" s="11"/>
      <c r="F349" s="11"/>
      <c r="G349" s="11"/>
      <c r="H349" s="14"/>
      <c r="I349" s="14"/>
      <c r="J349" s="14"/>
      <c r="K349" s="14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39"/>
      <c r="B350" s="40"/>
      <c r="C350" s="40"/>
      <c r="D350" s="40"/>
      <c r="E350" s="11"/>
      <c r="F350" s="11"/>
      <c r="G350" s="11"/>
      <c r="H350" s="14"/>
      <c r="I350" s="14"/>
      <c r="J350" s="14"/>
      <c r="K350" s="14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39"/>
      <c r="B351" s="40"/>
      <c r="C351" s="40"/>
      <c r="D351" s="40"/>
      <c r="E351" s="11"/>
      <c r="F351" s="11"/>
      <c r="G351" s="11"/>
      <c r="H351" s="14"/>
      <c r="I351" s="14"/>
      <c r="J351" s="14"/>
      <c r="K351" s="14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39"/>
      <c r="B352" s="40"/>
      <c r="C352" s="40"/>
      <c r="D352" s="40"/>
      <c r="E352" s="11"/>
      <c r="F352" s="11"/>
      <c r="G352" s="11"/>
      <c r="H352" s="14"/>
      <c r="I352" s="14"/>
      <c r="J352" s="14"/>
      <c r="K352" s="14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39"/>
      <c r="B353" s="40"/>
      <c r="C353" s="40"/>
      <c r="D353" s="40"/>
      <c r="E353" s="11"/>
      <c r="F353" s="11"/>
      <c r="G353" s="11"/>
      <c r="H353" s="14"/>
      <c r="I353" s="14"/>
      <c r="J353" s="14"/>
      <c r="K353" s="14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39"/>
      <c r="B354" s="40"/>
      <c r="C354" s="40"/>
      <c r="D354" s="40"/>
      <c r="E354" s="11"/>
      <c r="F354" s="11"/>
      <c r="G354" s="11"/>
      <c r="H354" s="14"/>
      <c r="I354" s="14"/>
      <c r="J354" s="14"/>
      <c r="K354" s="14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39"/>
      <c r="B355" s="40"/>
      <c r="C355" s="40"/>
      <c r="D355" s="40"/>
      <c r="E355" s="11"/>
      <c r="F355" s="11"/>
      <c r="G355" s="11"/>
      <c r="H355" s="14"/>
      <c r="I355" s="14"/>
      <c r="J355" s="14"/>
      <c r="K355" s="14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39"/>
      <c r="B356" s="40"/>
      <c r="C356" s="40"/>
      <c r="D356" s="40"/>
      <c r="E356" s="11"/>
      <c r="F356" s="11"/>
      <c r="G356" s="11"/>
      <c r="H356" s="14"/>
      <c r="I356" s="14"/>
      <c r="J356" s="14"/>
      <c r="K356" s="14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39"/>
      <c r="B357" s="40"/>
      <c r="C357" s="40"/>
      <c r="D357" s="40"/>
      <c r="E357" s="11"/>
      <c r="F357" s="11"/>
      <c r="G357" s="11"/>
      <c r="H357" s="14"/>
      <c r="I357" s="14"/>
      <c r="J357" s="14"/>
      <c r="K357" s="14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39"/>
      <c r="B358" s="40"/>
      <c r="C358" s="40"/>
      <c r="D358" s="40"/>
      <c r="E358" s="11"/>
      <c r="F358" s="11"/>
      <c r="G358" s="11"/>
      <c r="H358" s="14"/>
      <c r="I358" s="14"/>
      <c r="J358" s="14"/>
      <c r="K358" s="14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39"/>
      <c r="B359" s="40"/>
      <c r="C359" s="40"/>
      <c r="D359" s="40"/>
      <c r="E359" s="11"/>
      <c r="F359" s="11"/>
      <c r="G359" s="11"/>
      <c r="H359" s="14"/>
      <c r="I359" s="14"/>
      <c r="J359" s="14"/>
      <c r="K359" s="14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39"/>
      <c r="B360" s="40"/>
      <c r="C360" s="40"/>
      <c r="D360" s="40"/>
      <c r="E360" s="11"/>
      <c r="F360" s="11"/>
      <c r="G360" s="11"/>
      <c r="H360" s="14"/>
      <c r="I360" s="14"/>
      <c r="J360" s="14"/>
      <c r="K360" s="14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39"/>
      <c r="B361" s="40"/>
      <c r="C361" s="40"/>
      <c r="D361" s="40"/>
      <c r="E361" s="11"/>
      <c r="F361" s="11"/>
      <c r="G361" s="11"/>
      <c r="H361" s="14"/>
      <c r="I361" s="14"/>
      <c r="J361" s="14"/>
      <c r="K361" s="14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39"/>
      <c r="B362" s="40"/>
      <c r="C362" s="40"/>
      <c r="D362" s="40"/>
      <c r="E362" s="11"/>
      <c r="F362" s="11"/>
      <c r="G362" s="11"/>
      <c r="H362" s="14"/>
      <c r="I362" s="14"/>
      <c r="J362" s="14"/>
      <c r="K362" s="14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39"/>
      <c r="B363" s="40"/>
      <c r="C363" s="40"/>
      <c r="D363" s="40"/>
      <c r="E363" s="11"/>
      <c r="F363" s="11"/>
      <c r="G363" s="11"/>
      <c r="H363" s="14"/>
      <c r="I363" s="14"/>
      <c r="J363" s="14"/>
      <c r="K363" s="14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39"/>
      <c r="B364" s="40"/>
      <c r="C364" s="40"/>
      <c r="D364" s="40"/>
      <c r="E364" s="11"/>
      <c r="F364" s="11"/>
      <c r="G364" s="11"/>
      <c r="H364" s="14"/>
      <c r="I364" s="14"/>
      <c r="J364" s="14"/>
      <c r="K364" s="14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39"/>
      <c r="B365" s="40"/>
      <c r="C365" s="40"/>
      <c r="D365" s="40"/>
      <c r="E365" s="11"/>
      <c r="F365" s="11"/>
      <c r="G365" s="11"/>
      <c r="H365" s="14"/>
      <c r="I365" s="14"/>
      <c r="J365" s="14"/>
      <c r="K365" s="14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39"/>
      <c r="B366" s="40"/>
      <c r="C366" s="40"/>
      <c r="D366" s="40"/>
      <c r="E366" s="11"/>
      <c r="F366" s="11"/>
      <c r="G366" s="11"/>
      <c r="H366" s="14"/>
      <c r="I366" s="14"/>
      <c r="J366" s="14"/>
      <c r="K366" s="14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39"/>
      <c r="B367" s="40"/>
      <c r="C367" s="40"/>
      <c r="D367" s="40"/>
      <c r="E367" s="11"/>
      <c r="F367" s="11"/>
      <c r="G367" s="11"/>
      <c r="H367" s="14"/>
      <c r="I367" s="14"/>
      <c r="J367" s="14"/>
      <c r="K367" s="14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39"/>
      <c r="B368" s="40"/>
      <c r="C368" s="40"/>
      <c r="D368" s="40"/>
      <c r="E368" s="11"/>
      <c r="F368" s="11"/>
      <c r="G368" s="11"/>
      <c r="H368" s="14"/>
      <c r="I368" s="14"/>
      <c r="J368" s="14"/>
      <c r="K368" s="14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39"/>
      <c r="B369" s="40"/>
      <c r="C369" s="40"/>
      <c r="D369" s="40"/>
      <c r="E369" s="11"/>
      <c r="F369" s="11"/>
      <c r="G369" s="11"/>
      <c r="H369" s="14"/>
      <c r="I369" s="14"/>
      <c r="J369" s="14"/>
      <c r="K369" s="14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39"/>
      <c r="B370" s="40"/>
      <c r="C370" s="40"/>
      <c r="D370" s="40"/>
      <c r="E370" s="11"/>
      <c r="F370" s="11"/>
      <c r="G370" s="11"/>
      <c r="H370" s="14"/>
      <c r="I370" s="14"/>
      <c r="J370" s="14"/>
      <c r="K370" s="14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39"/>
      <c r="B371" s="40"/>
      <c r="C371" s="40"/>
      <c r="D371" s="40"/>
      <c r="E371" s="11"/>
      <c r="F371" s="11"/>
      <c r="G371" s="11"/>
      <c r="H371" s="14"/>
      <c r="I371" s="14"/>
      <c r="J371" s="14"/>
      <c r="K371" s="14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39"/>
      <c r="B372" s="40"/>
      <c r="C372" s="40"/>
      <c r="D372" s="40"/>
      <c r="E372" s="11"/>
      <c r="F372" s="11"/>
      <c r="G372" s="11"/>
      <c r="H372" s="14"/>
      <c r="I372" s="14"/>
      <c r="J372" s="14"/>
      <c r="K372" s="14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39"/>
      <c r="B373" s="40"/>
      <c r="C373" s="40"/>
      <c r="D373" s="40"/>
      <c r="E373" s="11"/>
      <c r="F373" s="11"/>
      <c r="G373" s="11"/>
      <c r="H373" s="14"/>
      <c r="I373" s="14"/>
      <c r="J373" s="14"/>
      <c r="K373" s="14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39"/>
      <c r="B374" s="40"/>
      <c r="C374" s="40"/>
      <c r="D374" s="40"/>
      <c r="E374" s="11"/>
      <c r="F374" s="11"/>
      <c r="G374" s="11"/>
      <c r="H374" s="14"/>
      <c r="I374" s="14"/>
      <c r="J374" s="14"/>
      <c r="K374" s="14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39"/>
      <c r="B375" s="40"/>
      <c r="C375" s="40"/>
      <c r="D375" s="40"/>
      <c r="E375" s="11"/>
      <c r="F375" s="11"/>
      <c r="G375" s="11"/>
      <c r="H375" s="14"/>
      <c r="I375" s="14"/>
      <c r="J375" s="14"/>
      <c r="K375" s="14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39"/>
      <c r="B376" s="40"/>
      <c r="C376" s="40"/>
      <c r="D376" s="40"/>
      <c r="E376" s="11"/>
      <c r="F376" s="11"/>
      <c r="G376" s="11"/>
      <c r="H376" s="14"/>
      <c r="I376" s="14"/>
      <c r="J376" s="14"/>
      <c r="K376" s="14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39"/>
      <c r="B377" s="40"/>
      <c r="C377" s="40"/>
      <c r="D377" s="40"/>
      <c r="E377" s="11"/>
      <c r="F377" s="11"/>
      <c r="G377" s="11"/>
      <c r="H377" s="14"/>
      <c r="I377" s="14"/>
      <c r="J377" s="14"/>
      <c r="K377" s="14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39"/>
      <c r="B378" s="40"/>
      <c r="C378" s="40"/>
      <c r="D378" s="40"/>
      <c r="E378" s="11"/>
      <c r="F378" s="11"/>
      <c r="G378" s="11"/>
      <c r="H378" s="14"/>
      <c r="I378" s="14"/>
      <c r="J378" s="14"/>
      <c r="K378" s="14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39"/>
      <c r="B379" s="40"/>
      <c r="C379" s="40"/>
      <c r="D379" s="40"/>
      <c r="E379" s="11"/>
      <c r="F379" s="11"/>
      <c r="G379" s="11"/>
      <c r="H379" s="14"/>
      <c r="I379" s="14"/>
      <c r="J379" s="14"/>
      <c r="K379" s="14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39"/>
      <c r="B380" s="40"/>
      <c r="C380" s="40"/>
      <c r="D380" s="40"/>
      <c r="E380" s="11"/>
      <c r="F380" s="11"/>
      <c r="G380" s="11"/>
      <c r="H380" s="14"/>
      <c r="I380" s="14"/>
      <c r="J380" s="14"/>
      <c r="K380" s="14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39"/>
      <c r="B381" s="40"/>
      <c r="C381" s="40"/>
      <c r="D381" s="40"/>
      <c r="E381" s="11"/>
      <c r="F381" s="11"/>
      <c r="G381" s="11"/>
      <c r="H381" s="14"/>
      <c r="I381" s="14"/>
      <c r="J381" s="14"/>
      <c r="K381" s="14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39"/>
      <c r="B382" s="40"/>
      <c r="C382" s="40"/>
      <c r="D382" s="40"/>
      <c r="E382" s="11"/>
      <c r="F382" s="11"/>
      <c r="G382" s="11"/>
      <c r="H382" s="14"/>
      <c r="I382" s="14"/>
      <c r="J382" s="14"/>
      <c r="K382" s="14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39"/>
      <c r="B383" s="40"/>
      <c r="C383" s="40"/>
      <c r="D383" s="40"/>
      <c r="E383" s="11"/>
      <c r="F383" s="11"/>
      <c r="G383" s="11"/>
      <c r="H383" s="14"/>
      <c r="I383" s="14"/>
      <c r="J383" s="14"/>
      <c r="K383" s="14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39"/>
      <c r="B384" s="40"/>
      <c r="C384" s="40"/>
      <c r="D384" s="40"/>
      <c r="E384" s="11"/>
      <c r="F384" s="11"/>
      <c r="G384" s="11"/>
      <c r="H384" s="14"/>
      <c r="I384" s="14"/>
      <c r="J384" s="14"/>
      <c r="K384" s="14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39"/>
      <c r="B385" s="40"/>
      <c r="C385" s="40"/>
      <c r="D385" s="40"/>
      <c r="E385" s="11"/>
      <c r="F385" s="11"/>
      <c r="G385" s="11"/>
      <c r="H385" s="14"/>
      <c r="I385" s="14"/>
      <c r="J385" s="14"/>
      <c r="K385" s="14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39"/>
      <c r="B386" s="40"/>
      <c r="C386" s="40"/>
      <c r="D386" s="40"/>
      <c r="E386" s="11"/>
      <c r="F386" s="11"/>
      <c r="G386" s="11"/>
      <c r="H386" s="14"/>
      <c r="I386" s="14"/>
      <c r="J386" s="14"/>
      <c r="K386" s="14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39"/>
      <c r="B387" s="40"/>
      <c r="C387" s="40"/>
      <c r="D387" s="40"/>
      <c r="E387" s="11"/>
      <c r="F387" s="11"/>
      <c r="G387" s="11"/>
      <c r="H387" s="14"/>
      <c r="I387" s="14"/>
      <c r="J387" s="14"/>
      <c r="K387" s="14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39"/>
      <c r="B388" s="40"/>
      <c r="C388" s="40"/>
      <c r="D388" s="40"/>
      <c r="E388" s="11"/>
      <c r="F388" s="11"/>
      <c r="G388" s="11"/>
      <c r="H388" s="14"/>
      <c r="I388" s="14"/>
      <c r="J388" s="14"/>
      <c r="K388" s="14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39"/>
      <c r="B389" s="40"/>
      <c r="C389" s="40"/>
      <c r="D389" s="40"/>
      <c r="E389" s="11"/>
      <c r="F389" s="11"/>
      <c r="G389" s="11"/>
      <c r="H389" s="14"/>
      <c r="I389" s="14"/>
      <c r="J389" s="14"/>
      <c r="K389" s="14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39"/>
      <c r="B390" s="40"/>
      <c r="C390" s="40"/>
      <c r="D390" s="40"/>
      <c r="E390" s="11"/>
      <c r="F390" s="11"/>
      <c r="G390" s="11"/>
      <c r="H390" s="14"/>
      <c r="I390" s="14"/>
      <c r="J390" s="14"/>
      <c r="K390" s="14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39"/>
      <c r="B391" s="40"/>
      <c r="C391" s="40"/>
      <c r="D391" s="40"/>
      <c r="E391" s="11"/>
      <c r="F391" s="11"/>
      <c r="G391" s="11"/>
      <c r="H391" s="14"/>
      <c r="I391" s="14"/>
      <c r="J391" s="14"/>
      <c r="K391" s="14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39"/>
      <c r="B392" s="40"/>
      <c r="C392" s="40"/>
      <c r="D392" s="40"/>
      <c r="E392" s="11"/>
      <c r="F392" s="11"/>
      <c r="G392" s="11"/>
      <c r="H392" s="14"/>
      <c r="I392" s="14"/>
      <c r="J392" s="14"/>
      <c r="K392" s="14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39"/>
      <c r="B393" s="40"/>
      <c r="C393" s="40"/>
      <c r="D393" s="40"/>
      <c r="E393" s="11"/>
      <c r="F393" s="11"/>
      <c r="G393" s="11"/>
      <c r="H393" s="14"/>
      <c r="I393" s="14"/>
      <c r="J393" s="14"/>
      <c r="K393" s="14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39"/>
      <c r="B394" s="40"/>
      <c r="C394" s="40"/>
      <c r="D394" s="40"/>
      <c r="E394" s="11"/>
      <c r="F394" s="11"/>
      <c r="G394" s="11"/>
      <c r="H394" s="14"/>
      <c r="I394" s="14"/>
      <c r="J394" s="14"/>
      <c r="K394" s="14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39"/>
      <c r="B395" s="40"/>
      <c r="C395" s="40"/>
      <c r="D395" s="40"/>
      <c r="E395" s="11"/>
      <c r="F395" s="11"/>
      <c r="G395" s="11"/>
      <c r="H395" s="14"/>
      <c r="I395" s="14"/>
      <c r="J395" s="14"/>
      <c r="K395" s="14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39"/>
      <c r="B396" s="40"/>
      <c r="C396" s="40"/>
      <c r="D396" s="40"/>
      <c r="E396" s="11"/>
      <c r="F396" s="11"/>
      <c r="G396" s="11"/>
      <c r="H396" s="14"/>
      <c r="I396" s="14"/>
      <c r="J396" s="14"/>
      <c r="K396" s="14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39"/>
      <c r="B397" s="40"/>
      <c r="C397" s="40"/>
      <c r="D397" s="40"/>
      <c r="E397" s="11"/>
      <c r="F397" s="11"/>
      <c r="G397" s="11"/>
      <c r="H397" s="14"/>
      <c r="I397" s="14"/>
      <c r="J397" s="14"/>
      <c r="K397" s="14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39"/>
      <c r="B398" s="40"/>
      <c r="C398" s="40"/>
      <c r="D398" s="40"/>
      <c r="E398" s="11"/>
      <c r="F398" s="11"/>
      <c r="G398" s="11"/>
      <c r="H398" s="14"/>
      <c r="I398" s="14"/>
      <c r="J398" s="14"/>
      <c r="K398" s="14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39"/>
      <c r="B399" s="40"/>
      <c r="C399" s="40"/>
      <c r="D399" s="40"/>
      <c r="E399" s="11"/>
      <c r="F399" s="11"/>
      <c r="G399" s="11"/>
      <c r="H399" s="14"/>
      <c r="I399" s="14"/>
      <c r="J399" s="14"/>
      <c r="K399" s="14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39"/>
      <c r="B400" s="40"/>
      <c r="C400" s="40"/>
      <c r="D400" s="40"/>
      <c r="E400" s="11"/>
      <c r="F400" s="11"/>
      <c r="G400" s="11"/>
      <c r="H400" s="14"/>
      <c r="I400" s="14"/>
      <c r="J400" s="14"/>
      <c r="K400" s="14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39"/>
      <c r="B401" s="40"/>
      <c r="C401" s="40"/>
      <c r="D401" s="40"/>
      <c r="E401" s="11"/>
      <c r="F401" s="11"/>
      <c r="G401" s="11"/>
      <c r="H401" s="14"/>
      <c r="I401" s="14"/>
      <c r="J401" s="14"/>
      <c r="K401" s="14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39"/>
      <c r="B402" s="40"/>
      <c r="C402" s="40"/>
      <c r="D402" s="40"/>
      <c r="E402" s="11"/>
      <c r="F402" s="11"/>
      <c r="G402" s="11"/>
      <c r="H402" s="14"/>
      <c r="I402" s="14"/>
      <c r="J402" s="14"/>
      <c r="K402" s="14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39"/>
      <c r="B403" s="40"/>
      <c r="C403" s="40"/>
      <c r="D403" s="40"/>
      <c r="E403" s="11"/>
      <c r="F403" s="11"/>
      <c r="G403" s="11"/>
      <c r="H403" s="14"/>
      <c r="I403" s="14"/>
      <c r="J403" s="14"/>
      <c r="K403" s="14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39"/>
      <c r="B404" s="40"/>
      <c r="C404" s="40"/>
      <c r="D404" s="40"/>
      <c r="E404" s="11"/>
      <c r="F404" s="11"/>
      <c r="G404" s="11"/>
      <c r="H404" s="14"/>
      <c r="I404" s="14"/>
      <c r="J404" s="14"/>
      <c r="K404" s="14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39"/>
      <c r="B405" s="40"/>
      <c r="C405" s="40"/>
      <c r="D405" s="40"/>
      <c r="E405" s="11"/>
      <c r="F405" s="11"/>
      <c r="G405" s="11"/>
      <c r="H405" s="14"/>
      <c r="I405" s="14"/>
      <c r="J405" s="14"/>
      <c r="K405" s="14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39"/>
      <c r="B406" s="40"/>
      <c r="C406" s="40"/>
      <c r="D406" s="40"/>
      <c r="E406" s="11"/>
      <c r="F406" s="11"/>
      <c r="G406" s="11"/>
      <c r="H406" s="14"/>
      <c r="I406" s="14"/>
      <c r="J406" s="14"/>
      <c r="K406" s="14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39"/>
      <c r="B407" s="40"/>
      <c r="C407" s="40"/>
      <c r="D407" s="40"/>
      <c r="E407" s="11"/>
      <c r="F407" s="11"/>
      <c r="G407" s="11"/>
      <c r="H407" s="14"/>
      <c r="I407" s="14"/>
      <c r="J407" s="14"/>
      <c r="K407" s="14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39"/>
      <c r="B408" s="40"/>
      <c r="C408" s="40"/>
      <c r="D408" s="40"/>
      <c r="E408" s="11"/>
      <c r="F408" s="11"/>
      <c r="G408" s="11"/>
      <c r="H408" s="14"/>
      <c r="I408" s="14"/>
      <c r="J408" s="14"/>
      <c r="K408" s="14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39"/>
      <c r="B409" s="40"/>
      <c r="C409" s="40"/>
      <c r="D409" s="40"/>
      <c r="E409" s="11"/>
      <c r="F409" s="11"/>
      <c r="G409" s="11"/>
      <c r="H409" s="14"/>
      <c r="I409" s="14"/>
      <c r="J409" s="14"/>
      <c r="K409" s="14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39"/>
      <c r="B410" s="40"/>
      <c r="C410" s="40"/>
      <c r="D410" s="40"/>
      <c r="E410" s="11"/>
      <c r="F410" s="11"/>
      <c r="G410" s="11"/>
      <c r="H410" s="14"/>
      <c r="I410" s="14"/>
      <c r="J410" s="14"/>
      <c r="K410" s="14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39"/>
      <c r="B411" s="40"/>
      <c r="C411" s="40"/>
      <c r="D411" s="40"/>
      <c r="E411" s="11"/>
      <c r="F411" s="11"/>
      <c r="G411" s="11"/>
      <c r="H411" s="14"/>
      <c r="I411" s="14"/>
      <c r="J411" s="14"/>
      <c r="K411" s="14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39"/>
      <c r="B412" s="40"/>
      <c r="C412" s="40"/>
      <c r="D412" s="40"/>
      <c r="E412" s="11"/>
      <c r="F412" s="11"/>
      <c r="G412" s="11"/>
      <c r="H412" s="14"/>
      <c r="I412" s="14"/>
      <c r="J412" s="14"/>
      <c r="K412" s="14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39"/>
      <c r="B413" s="40"/>
      <c r="C413" s="40"/>
      <c r="D413" s="40"/>
      <c r="E413" s="11"/>
      <c r="F413" s="11"/>
      <c r="G413" s="11"/>
      <c r="H413" s="14"/>
      <c r="I413" s="14"/>
      <c r="J413" s="14"/>
      <c r="K413" s="14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39"/>
      <c r="B414" s="40"/>
      <c r="C414" s="40"/>
      <c r="D414" s="40"/>
      <c r="E414" s="11"/>
      <c r="F414" s="11"/>
      <c r="G414" s="11"/>
      <c r="H414" s="14"/>
      <c r="I414" s="14"/>
      <c r="J414" s="14"/>
      <c r="K414" s="14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39"/>
      <c r="B415" s="40"/>
      <c r="C415" s="40"/>
      <c r="D415" s="40"/>
      <c r="E415" s="11"/>
      <c r="F415" s="11"/>
      <c r="G415" s="11"/>
      <c r="H415" s="14"/>
      <c r="I415" s="14"/>
      <c r="J415" s="14"/>
      <c r="K415" s="14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39"/>
      <c r="B416" s="40"/>
      <c r="C416" s="40"/>
      <c r="D416" s="40"/>
      <c r="E416" s="11"/>
      <c r="F416" s="11"/>
      <c r="G416" s="11"/>
      <c r="H416" s="14"/>
      <c r="I416" s="14"/>
      <c r="J416" s="14"/>
      <c r="K416" s="14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39"/>
      <c r="B417" s="40"/>
      <c r="C417" s="40"/>
      <c r="D417" s="40"/>
      <c r="E417" s="11"/>
      <c r="F417" s="11"/>
      <c r="G417" s="11"/>
      <c r="H417" s="14"/>
      <c r="I417" s="14"/>
      <c r="J417" s="14"/>
      <c r="K417" s="14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39"/>
      <c r="B418" s="40"/>
      <c r="C418" s="40"/>
      <c r="D418" s="40"/>
      <c r="E418" s="11"/>
      <c r="F418" s="11"/>
      <c r="G418" s="11"/>
      <c r="H418" s="14"/>
      <c r="I418" s="14"/>
      <c r="J418" s="14"/>
      <c r="K418" s="14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39"/>
      <c r="B419" s="40"/>
      <c r="C419" s="40"/>
      <c r="D419" s="40"/>
      <c r="E419" s="11"/>
      <c r="F419" s="11"/>
      <c r="G419" s="11"/>
      <c r="H419" s="14"/>
      <c r="I419" s="14"/>
      <c r="J419" s="14"/>
      <c r="K419" s="14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39"/>
      <c r="B420" s="40"/>
      <c r="C420" s="40"/>
      <c r="D420" s="40"/>
      <c r="E420" s="11"/>
      <c r="F420" s="11"/>
      <c r="G420" s="11"/>
      <c r="H420" s="14"/>
      <c r="I420" s="14"/>
      <c r="J420" s="14"/>
      <c r="K420" s="14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39"/>
      <c r="B421" s="40"/>
      <c r="C421" s="40"/>
      <c r="D421" s="40"/>
      <c r="E421" s="11"/>
      <c r="F421" s="11"/>
      <c r="G421" s="11"/>
      <c r="H421" s="14"/>
      <c r="I421" s="14"/>
      <c r="J421" s="14"/>
      <c r="K421" s="14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39"/>
      <c r="B422" s="40"/>
      <c r="C422" s="40"/>
      <c r="D422" s="40"/>
      <c r="E422" s="11"/>
      <c r="F422" s="11"/>
      <c r="G422" s="11"/>
      <c r="H422" s="14"/>
      <c r="I422" s="14"/>
      <c r="J422" s="14"/>
      <c r="K422" s="14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39"/>
      <c r="B423" s="40"/>
      <c r="C423" s="40"/>
      <c r="D423" s="40"/>
      <c r="E423" s="11"/>
      <c r="F423" s="11"/>
      <c r="G423" s="11"/>
      <c r="H423" s="14"/>
      <c r="I423" s="14"/>
      <c r="J423" s="14"/>
      <c r="K423" s="14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39"/>
      <c r="B424" s="40"/>
      <c r="C424" s="40"/>
      <c r="D424" s="40"/>
      <c r="E424" s="11"/>
      <c r="F424" s="11"/>
      <c r="G424" s="11"/>
      <c r="H424" s="14"/>
      <c r="I424" s="14"/>
      <c r="J424" s="14"/>
      <c r="K424" s="14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39"/>
      <c r="B425" s="40"/>
      <c r="C425" s="40"/>
      <c r="D425" s="40"/>
      <c r="E425" s="11"/>
      <c r="F425" s="11"/>
      <c r="G425" s="11"/>
      <c r="H425" s="14"/>
      <c r="I425" s="14"/>
      <c r="J425" s="14"/>
      <c r="K425" s="14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39"/>
      <c r="B426" s="40"/>
      <c r="C426" s="40"/>
      <c r="D426" s="40"/>
      <c r="E426" s="11"/>
      <c r="F426" s="11"/>
      <c r="G426" s="11"/>
      <c r="H426" s="14"/>
      <c r="I426" s="14"/>
      <c r="J426" s="14"/>
      <c r="K426" s="14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39"/>
      <c r="B427" s="40"/>
      <c r="C427" s="40"/>
      <c r="D427" s="40"/>
      <c r="E427" s="11"/>
      <c r="F427" s="11"/>
      <c r="G427" s="11"/>
      <c r="H427" s="14"/>
      <c r="I427" s="14"/>
      <c r="J427" s="14"/>
      <c r="K427" s="14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39"/>
      <c r="B428" s="40"/>
      <c r="C428" s="40"/>
      <c r="D428" s="40"/>
      <c r="E428" s="11"/>
      <c r="F428" s="11"/>
      <c r="G428" s="11"/>
      <c r="H428" s="14"/>
      <c r="I428" s="14"/>
      <c r="J428" s="14"/>
      <c r="K428" s="14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39"/>
      <c r="B429" s="40"/>
      <c r="C429" s="40"/>
      <c r="D429" s="40"/>
      <c r="E429" s="11"/>
      <c r="F429" s="11"/>
      <c r="G429" s="11"/>
      <c r="H429" s="14"/>
      <c r="I429" s="14"/>
      <c r="J429" s="14"/>
      <c r="K429" s="14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39"/>
      <c r="B430" s="40"/>
      <c r="C430" s="40"/>
      <c r="D430" s="40"/>
      <c r="E430" s="11"/>
      <c r="F430" s="11"/>
      <c r="G430" s="11"/>
      <c r="H430" s="14"/>
      <c r="I430" s="14"/>
      <c r="J430" s="14"/>
      <c r="K430" s="14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39"/>
      <c r="B431" s="40"/>
      <c r="C431" s="40"/>
      <c r="D431" s="40"/>
      <c r="E431" s="11"/>
      <c r="F431" s="11"/>
      <c r="G431" s="11"/>
      <c r="H431" s="14"/>
      <c r="I431" s="14"/>
      <c r="J431" s="14"/>
      <c r="K431" s="14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39"/>
      <c r="B432" s="40"/>
      <c r="C432" s="40"/>
      <c r="D432" s="40"/>
      <c r="E432" s="11"/>
      <c r="F432" s="11"/>
      <c r="G432" s="11"/>
      <c r="H432" s="14"/>
      <c r="I432" s="14"/>
      <c r="J432" s="14"/>
      <c r="K432" s="14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39"/>
      <c r="B433" s="40"/>
      <c r="C433" s="40"/>
      <c r="D433" s="40"/>
      <c r="E433" s="11"/>
      <c r="F433" s="11"/>
      <c r="G433" s="11"/>
      <c r="H433" s="14"/>
      <c r="I433" s="14"/>
      <c r="J433" s="14"/>
      <c r="K433" s="14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39"/>
      <c r="B434" s="40"/>
      <c r="C434" s="40"/>
      <c r="D434" s="40"/>
      <c r="E434" s="11"/>
      <c r="F434" s="11"/>
      <c r="G434" s="11"/>
      <c r="H434" s="14"/>
      <c r="I434" s="14"/>
      <c r="J434" s="14"/>
      <c r="K434" s="14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39"/>
      <c r="B435" s="40"/>
      <c r="C435" s="40"/>
      <c r="D435" s="40"/>
      <c r="E435" s="11"/>
      <c r="F435" s="11"/>
      <c r="G435" s="11"/>
      <c r="H435" s="14"/>
      <c r="I435" s="14"/>
      <c r="J435" s="14"/>
      <c r="K435" s="14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39"/>
      <c r="B436" s="40"/>
      <c r="C436" s="40"/>
      <c r="D436" s="40"/>
      <c r="E436" s="11"/>
      <c r="F436" s="11"/>
      <c r="G436" s="11"/>
      <c r="H436" s="14"/>
      <c r="I436" s="14"/>
      <c r="J436" s="14"/>
      <c r="K436" s="14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39"/>
      <c r="B437" s="40"/>
      <c r="C437" s="40"/>
      <c r="D437" s="40"/>
      <c r="E437" s="11"/>
      <c r="F437" s="11"/>
      <c r="G437" s="11"/>
      <c r="H437" s="14"/>
      <c r="I437" s="14"/>
      <c r="J437" s="14"/>
      <c r="K437" s="14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</sheetData>
  <conditionalFormatting sqref="A4:D437">
    <cfRule type="cellIs" dxfId="0" priority="1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7.29" defaultRowHeight="15.0"/>
  <cols>
    <col customWidth="1" min="1" max="1" width="18.29"/>
    <col customWidth="1" min="2" max="2" width="30.71"/>
    <col customWidth="1" min="3" max="3" width="12.14"/>
    <col customWidth="1" min="4" max="4" width="42.29"/>
    <col customWidth="1" min="5" max="5" width="16.86"/>
    <col customWidth="1" min="6" max="6" width="12.71"/>
    <col customWidth="1" min="7" max="7" width="20.43"/>
    <col customWidth="1" min="8" max="8" width="8.0"/>
    <col customWidth="1" min="9" max="9" width="11.57"/>
    <col customWidth="1" min="10" max="10" width="11.0"/>
    <col customWidth="1" min="11" max="17" width="6.57"/>
    <col customWidth="1" min="18" max="26" width="15.14"/>
  </cols>
  <sheetData>
    <row r="1">
      <c r="A1" s="42">
        <v>4.0</v>
      </c>
      <c r="B1" s="43" t="s">
        <v>22</v>
      </c>
      <c r="C1" s="10"/>
      <c r="D1" s="12"/>
      <c r="E1" s="15" t="s">
        <v>4</v>
      </c>
      <c r="F1" s="18">
        <f>SUM(C:C)</f>
        <v>-86569.455</v>
      </c>
      <c r="G1" s="13" t="s">
        <v>6</v>
      </c>
      <c r="H1" s="20"/>
      <c r="I1" s="18"/>
      <c r="J1" s="18"/>
      <c r="K1" s="18"/>
      <c r="L1" s="18"/>
      <c r="M1" s="14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9" t="s">
        <v>7</v>
      </c>
      <c r="B2" s="12">
        <f>COUNTIF(data!D:D,B1)</f>
        <v>236</v>
      </c>
      <c r="C2" s="10"/>
      <c r="D2" s="12"/>
      <c r="E2" s="15" t="s">
        <v>8</v>
      </c>
      <c r="F2" s="26">
        <v>187701.25</v>
      </c>
      <c r="G2" s="20"/>
      <c r="H2" s="20"/>
      <c r="I2" s="18"/>
      <c r="J2" s="18"/>
      <c r="K2" s="18"/>
      <c r="L2" s="18"/>
      <c r="M2" s="14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7" t="s">
        <v>9</v>
      </c>
      <c r="B3" s="29" t="s">
        <v>10</v>
      </c>
      <c r="C3" s="29" t="s">
        <v>11</v>
      </c>
      <c r="D3" s="29" t="s">
        <v>12</v>
      </c>
      <c r="E3" s="15" t="s">
        <v>13</v>
      </c>
      <c r="F3" s="15">
        <f>F1+F2</f>
        <v>101131.795</v>
      </c>
      <c r="G3" s="31"/>
      <c r="H3" s="20"/>
      <c r="I3" s="20"/>
      <c r="J3" s="18"/>
      <c r="K3" s="18"/>
      <c r="L3" s="18"/>
      <c r="M3" s="14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4">
        <f t="array" ref="A4">IF(ROWS(A$4:A4)&lt;=$B$2,INDEX(data!C$3:C$106299,SMALL(IF(data!$D$3:$D$106299=$B$1,ROW($A$2:$A$98971)-ROW($A$2)+1),ROWS(A$4:A4))),"")</f>
        <v>44557</v>
      </c>
      <c r="B4" s="12" t="str">
        <f t="array" ref="B4">IF(ROWS(B$4:B4)&lt;=$B$2,INDEX(data!A$3:A$106299,SMALL(IF(data!$D$3:$D$106299=$B$1,ROW($A$2:$A$98971)-ROW($A$2)+1),ROWS(B$4:B4))),"")</f>
        <v>MYPOS Бакалия</v>
      </c>
      <c r="C4" s="12">
        <f t="array" ref="C4">IF(ROWS(C$4:C4)&lt;=$B$2,INDEX(data!B$3:B$106299,SMALL(IF(data!$D$3:$D$106299=$B$1,ROW($A$2:$A$98971)-ROW($A$2)+1),ROWS(C$4:C4))),"")</f>
        <v>-0.01</v>
      </c>
      <c r="D4" s="12" t="str">
        <f t="array" ref="D4">IF(ROWS(D$4:D4)&lt;=$B$2,INDEX(data!E$3:E$106299,SMALL(IF(data!$D$3:$D$106299=$B$1,ROW($A$2:$A$98971)-ROW($A$2)+1),ROWS(D$4:D4))),"")</f>
        <v/>
      </c>
    </row>
    <row r="5">
      <c r="A5" s="34">
        <f t="array" ref="A5">IF(ROWS(A$4:A5)&lt;=$B$2,INDEX(data!C$3:C$106299,SMALL(IF(data!$D$3:$D$106299=$B$1,ROW($A$2:$A$98971)-ROW($A$2)+1),ROWS(A$4:A5))),"")</f>
        <v>46025</v>
      </c>
      <c r="B5" s="12" t="str">
        <f t="array" ref="B5">IF(ROWS(B$4:B5)&lt;=$B$2,INDEX(data!A$3:A$106299,SMALL(IF(data!$D$3:$D$106299=$B$1,ROW($A$2:$A$98971)-ROW($A$2)+1),ROWS(B$4:B5))),"")</f>
        <v>ЗАЕМ</v>
      </c>
      <c r="C5" s="12">
        <f t="array" ref="C5">IF(ROWS(C$4:C5)&lt;=$B$2,INDEX(data!B$3:B$106299,SMALL(IF(data!$D$3:$D$106299=$B$1,ROW($A$2:$A$98971)-ROW($A$2)+1),ROWS(C$4:C5))),"")</f>
        <v>30024.72</v>
      </c>
      <c r="D5" s="12" t="str">
        <f t="array" ref="D5">IF(ROWS(D$4:D5)&lt;=$B$2,INDEX(data!E$3:E$106299,SMALL(IF(data!$D$3:$D$106299=$B$1,ROW($A$2:$A$98971)-ROW($A$2)+1),ROWS(D$4:D5))),"")</f>
        <v>Салдо скл + вътр. п-не</v>
      </c>
    </row>
    <row r="6">
      <c r="A6" s="34">
        <f t="array" ref="A6">IF(ROWS(A$4:A6)&lt;=$B$2,INDEX(data!C$3:C$106299,SMALL(IF(data!$D$3:$D$106299=$B$1,ROW($A$2:$A$98971)-ROW($A$2)+1),ROWS(A$4:A6))),"")</f>
        <v>46027</v>
      </c>
      <c r="B6" s="12" t="str">
        <f t="array" ref="B6">IF(ROWS(B$4:B6)&lt;=$B$2,INDEX(data!A$3:A$106299,SMALL(IF(data!$D$3:$D$106299=$B$1,ROW($A$2:$A$98971)-ROW($A$2)+1),ROWS(B$4:B6))),"")</f>
        <v>КАСОВА КНИГА</v>
      </c>
      <c r="C6" s="12">
        <f t="array" ref="C6">IF(ROWS(C$4:C6)&lt;=$B$2,INDEX(data!B$3:B$106299,SMALL(IF(data!$D$3:$D$106299=$B$1,ROW($A$2:$A$98971)-ROW($A$2)+1),ROWS(C$4:C6))),"")</f>
        <v>-4090.34</v>
      </c>
      <c r="D6" s="12" t="str">
        <f t="array" ref="D6">IF(ROWS(D$4:D6)&lt;=$B$2,INDEX(data!E$3:E$106299,SMALL(IF(data!$D$3:$D$106299=$B$1,ROW($A$2:$A$98971)-ROW($A$2)+1),ROWS(D$4:D6))),"")</f>
        <v>банка 02.01</v>
      </c>
    </row>
    <row r="7">
      <c r="A7" s="34">
        <f t="array" ref="A7">IF(ROWS(A$4:A7)&lt;=$B$2,INDEX(data!C$3:C$106299,SMALL(IF(data!$D$3:$D$106299=$B$1,ROW($A$2:$A$98971)-ROW($A$2)+1),ROWS(A$4:A7))),"")</f>
        <v>46027</v>
      </c>
      <c r="B7" s="12" t="str">
        <f t="array" ref="B7">IF(ROWS(B$4:B7)&lt;=$B$2,INDEX(data!A$3:A$106299,SMALL(IF(data!$D$3:$D$106299=$B$1,ROW($A$2:$A$98971)-ROW($A$2)+1),ROWS(B$4:B7))),"")</f>
        <v>MYPOS Бакалия</v>
      </c>
      <c r="C7" s="12">
        <f t="array" ref="C7">IF(ROWS(C$4:C7)&lt;=$B$2,INDEX(data!B$3:B$106299,SMALL(IF(data!$D$3:$D$106299=$B$1,ROW($A$2:$A$98971)-ROW($A$2)+1),ROWS(C$4:C7))),"")</f>
        <v>-3607.1</v>
      </c>
      <c r="D7" s="12" t="str">
        <f t="array" ref="D7">IF(ROWS(D$4:D7)&lt;=$B$2,INDEX(data!E$3:E$106299,SMALL(IF(data!$D$3:$D$106299=$B$1,ROW($A$2:$A$98971)-ROW($A$2)+1),ROWS(D$4:D7))),"")</f>
        <v/>
      </c>
    </row>
    <row r="8">
      <c r="A8" s="34">
        <f t="array" ref="A8">IF(ROWS(A$4:A8)&lt;=$B$2,INDEX(data!C$3:C$106299,SMALL(IF(data!$D$3:$D$106299=$B$1,ROW($A$2:$A$98971)-ROW($A$2)+1),ROWS(A$4:A8))),"")</f>
        <v>46027</v>
      </c>
      <c r="B8" s="12" t="str">
        <f t="array" ref="B8">IF(ROWS(B$4:B8)&lt;=$B$2,INDEX(data!A$3:A$106299,SMALL(IF(data!$D$3:$D$106299=$B$1,ROW($A$2:$A$98971)-ROW($A$2)+1),ROWS(B$4:B8))),"")</f>
        <v>КАСОВА КНИГА</v>
      </c>
      <c r="C8" s="12">
        <f t="array" ref="C8">IF(ROWS(C$4:C8)&lt;=$B$2,INDEX(data!B$3:B$106299,SMALL(IF(data!$D$3:$D$106299=$B$1,ROW($A$2:$A$98971)-ROW($A$2)+1),ROWS(C$4:C8))),"")</f>
        <v>-5112.92</v>
      </c>
      <c r="D8" s="12" t="str">
        <f t="array" ref="D8">IF(ROWS(D$4:D8)&lt;=$B$2,INDEX(data!E$3:E$106299,SMALL(IF(data!$D$3:$D$106299=$B$1,ROW($A$2:$A$98971)-ROW($A$2)+1),ROWS(D$4:D8))),"")</f>
        <v/>
      </c>
    </row>
    <row r="9">
      <c r="A9" s="34">
        <f t="array" ref="A9">IF(ROWS(A$4:A9)&lt;=$B$2,INDEX(data!C$3:C$106299,SMALL(IF(data!$D$3:$D$106299=$B$1,ROW($A$2:$A$98971)-ROW($A$2)+1),ROWS(A$4:A9))),"")</f>
        <v>46027</v>
      </c>
      <c r="B9" s="12" t="str">
        <f t="array" ref="B9">IF(ROWS(B$4:B9)&lt;=$B$2,INDEX(data!A$3:A$106299,SMALL(IF(data!$D$3:$D$106299=$B$1,ROW($A$2:$A$98971)-ROW($A$2)+1),ROWS(B$4:B9))),"")</f>
        <v>MYPOS Бакалия</v>
      </c>
      <c r="C9" s="12">
        <f t="array" ref="C9">IF(ROWS(C$4:C9)&lt;=$B$2,INDEX(data!B$3:B$106299,SMALL(IF(data!$D$3:$D$106299=$B$1,ROW($A$2:$A$98971)-ROW($A$2)+1),ROWS(C$4:C9))),"")</f>
        <v>-5357.19</v>
      </c>
      <c r="D9" s="12" t="str">
        <f t="array" ref="D9">IF(ROWS(D$4:D9)&lt;=$B$2,INDEX(data!E$3:E$106299,SMALL(IF(data!$D$3:$D$106299=$B$1,ROW($A$2:$A$98971)-ROW($A$2)+1),ROWS(D$4:D9))),"")</f>
        <v>29-31,12</v>
      </c>
    </row>
    <row r="10">
      <c r="A10" s="34">
        <f t="array" ref="A10">IF(ROWS(A$4:A10)&lt;=$B$2,INDEX(data!C$3:C$106299,SMALL(IF(data!$D$3:$D$106299=$B$1,ROW($A$2:$A$98971)-ROW($A$2)+1),ROWS(A$4:A10))),"")</f>
        <v>46027</v>
      </c>
      <c r="B10" s="12" t="str">
        <f t="array" ref="B10">IF(ROWS(B$4:B10)&lt;=$B$2,INDEX(data!A$3:A$106299,SMALL(IF(data!$D$3:$D$106299=$B$1,ROW($A$2:$A$98971)-ROW($A$2)+1),ROWS(B$4:B10))),"")</f>
        <v>КАСОВА КНИГА</v>
      </c>
      <c r="C10" s="12">
        <f t="array" ref="C10">IF(ROWS(C$4:C10)&lt;=$B$2,INDEX(data!B$3:B$106299,SMALL(IF(data!$D$3:$D$106299=$B$1,ROW($A$2:$A$98971)-ROW($A$2)+1),ROWS(C$4:C10))),"")</f>
        <v>10220</v>
      </c>
      <c r="D10" s="12" t="str">
        <f t="array" ref="D10">IF(ROWS(D$4:D10)&lt;=$B$2,INDEX(data!E$3:E$106299,SMALL(IF(data!$D$3:$D$106299=$B$1,ROW($A$2:$A$98971)-ROW($A$2)+1),ROWS(D$4:D10))),"")</f>
        <v>евро</v>
      </c>
    </row>
    <row r="11">
      <c r="A11" s="34">
        <f t="array" ref="A11">IF(ROWS(A$4:A11)&lt;=$B$2,INDEX(data!C$3:C$106299,SMALL(IF(data!$D$3:$D$106299=$B$1,ROW($A$2:$A$98971)-ROW($A$2)+1),ROWS(A$4:A11))),"")</f>
        <v>46028</v>
      </c>
      <c r="B11" s="12" t="str">
        <f t="array" ref="B11">IF(ROWS(B$4:B11)&lt;=$B$2,INDEX(data!A$3:A$106299,SMALL(IF(data!$D$3:$D$106299=$B$1,ROW($A$2:$A$98971)-ROW($A$2)+1),ROWS(B$4:B11))),"")</f>
        <v>КАСОВА КНИГА</v>
      </c>
      <c r="C11" s="12">
        <f t="array" ref="C11">IF(ROWS(C$4:C11)&lt;=$B$2,INDEX(data!B$3:B$106299,SMALL(IF(data!$D$3:$D$106299=$B$1,ROW($A$2:$A$98971)-ROW($A$2)+1),ROWS(C$4:C11))),"")</f>
        <v>-661.77</v>
      </c>
      <c r="D11" s="12" t="str">
        <f t="array" ref="D11">IF(ROWS(D$4:D11)&lt;=$B$2,INDEX(data!E$3:E$106299,SMALL(IF(data!$D$3:$D$106299=$B$1,ROW($A$2:$A$98971)-ROW($A$2)+1),ROWS(D$4:D11))),"")</f>
        <v>платени банани</v>
      </c>
    </row>
    <row r="12">
      <c r="A12" s="34">
        <f t="array" ref="A12">IF(ROWS(A$4:A12)&lt;=$B$2,INDEX(data!C$3:C$106299,SMALL(IF(data!$D$3:$D$106299=$B$1,ROW($A$2:$A$98971)-ROW($A$2)+1),ROWS(A$4:A12))),"")</f>
        <v>46029</v>
      </c>
      <c r="B12" s="12" t="str">
        <f t="array" ref="B12">IF(ROWS(B$4:B12)&lt;=$B$2,INDEX(data!A$3:A$106299,SMALL(IF(data!$D$3:$D$106299=$B$1,ROW($A$2:$A$98971)-ROW($A$2)+1),ROWS(B$4:B12))),"")</f>
        <v>КАСОВА КНИГА</v>
      </c>
      <c r="C12" s="12">
        <f t="array" ref="C12">IF(ROWS(C$4:C12)&lt;=$B$2,INDEX(data!B$3:B$106299,SMALL(IF(data!$D$3:$D$106299=$B$1,ROW($A$2:$A$98971)-ROW($A$2)+1),ROWS(C$4:C12))),"")</f>
        <v>-4000</v>
      </c>
      <c r="D12" s="12" t="str">
        <f t="array" ref="D12">IF(ROWS(D$4:D12)&lt;=$B$2,INDEX(data!E$3:E$106299,SMALL(IF(data!$D$3:$D$106299=$B$1,ROW($A$2:$A$98971)-ROW($A$2)+1),ROWS(D$4:D12))),"")</f>
        <v/>
      </c>
    </row>
    <row r="13">
      <c r="A13" s="34">
        <f t="array" ref="A13">IF(ROWS(A$4:A13)&lt;=$B$2,INDEX(data!C$3:C$106299,SMALL(IF(data!$D$3:$D$106299=$B$1,ROW($A$2:$A$98971)-ROW($A$2)+1),ROWS(A$4:A13))),"")</f>
        <v>46030</v>
      </c>
      <c r="B13" s="12" t="str">
        <f t="array" ref="B13">IF(ROWS(B$4:B13)&lt;=$B$2,INDEX(data!A$3:A$106299,SMALL(IF(data!$D$3:$D$106299=$B$1,ROW($A$2:$A$98971)-ROW($A$2)+1),ROWS(B$4:B13))),"")</f>
        <v>Каса ВАУЧЕРИ</v>
      </c>
      <c r="C13" s="12">
        <f t="array" ref="C13">IF(ROWS(C$4:C13)&lt;=$B$2,INDEX(data!B$3:B$106299,SMALL(IF(data!$D$3:$D$106299=$B$1,ROW($A$2:$A$98971)-ROW($A$2)+1),ROWS(C$4:C13))),"")</f>
        <v>-148.27</v>
      </c>
      <c r="D13" s="12" t="str">
        <f t="array" ref="D13">IF(ROWS(D$4:D13)&lt;=$B$2,INDEX(data!E$3:E$106299,SMALL(IF(data!$D$3:$D$106299=$B$1,ROW($A$2:$A$98971)-ROW($A$2)+1),ROWS(D$4:D13))),"")</f>
        <v>за 22.12</v>
      </c>
    </row>
    <row r="14">
      <c r="A14" s="34">
        <f t="array" ref="A14">IF(ROWS(A$4:A14)&lt;=$B$2,INDEX(data!C$3:C$106299,SMALL(IF(data!$D$3:$D$106299=$B$1,ROW($A$2:$A$98971)-ROW($A$2)+1),ROWS(A$4:A14))),"")</f>
        <v>46031</v>
      </c>
      <c r="B14" s="12" t="str">
        <f t="array" ref="B14">IF(ROWS(B$4:B14)&lt;=$B$2,INDEX(data!A$3:A$106299,SMALL(IF(data!$D$3:$D$106299=$B$1,ROW($A$2:$A$98971)-ROW($A$2)+1),ROWS(B$4:B14))),"")</f>
        <v>КАСОВА КНИГА</v>
      </c>
      <c r="C14" s="12">
        <f t="array" ref="C14">IF(ROWS(C$4:C14)&lt;=$B$2,INDEX(data!B$3:B$106299,SMALL(IF(data!$D$3:$D$106299=$B$1,ROW($A$2:$A$98971)-ROW($A$2)+1),ROWS(C$4:C14))),"")</f>
        <v>-3000</v>
      </c>
      <c r="D14" s="12" t="str">
        <f t="array" ref="D14">IF(ROWS(D$4:D14)&lt;=$B$2,INDEX(data!E$3:E$106299,SMALL(IF(data!$D$3:$D$106299=$B$1,ROW($A$2:$A$98971)-ROW($A$2)+1),ROWS(D$4:D14))),"")</f>
        <v/>
      </c>
    </row>
    <row r="15">
      <c r="A15" s="34">
        <f t="array" ref="A15">IF(ROWS(A$4:A15)&lt;=$B$2,INDEX(data!C$3:C$106299,SMALL(IF(data!$D$3:$D$106299=$B$1,ROW($A$2:$A$98971)-ROW($A$2)+1),ROWS(A$4:A15))),"")</f>
        <v>46031</v>
      </c>
      <c r="B15" s="12" t="str">
        <f t="array" ref="B15">IF(ROWS(B$4:B15)&lt;=$B$2,INDEX(data!A$3:A$106299,SMALL(IF(data!$D$3:$D$106299=$B$1,ROW($A$2:$A$98971)-ROW($A$2)+1),ROWS(B$4:B15))),"")</f>
        <v>КАСОВА КНИГА</v>
      </c>
      <c r="C15" s="12">
        <f t="array" ref="C15">IF(ROWS(C$4:C15)&lt;=$B$2,INDEX(data!B$3:B$106299,SMALL(IF(data!$D$3:$D$106299=$B$1,ROW($A$2:$A$98971)-ROW($A$2)+1),ROWS(C$4:C15))),"")</f>
        <v>-661.77</v>
      </c>
      <c r="D15" s="12" t="str">
        <f t="array" ref="D15">IF(ROWS(D$4:D15)&lt;=$B$2,INDEX(data!E$3:E$106299,SMALL(IF(data!$D$3:$D$106299=$B$1,ROW($A$2:$A$98971)-ROW($A$2)+1),ROWS(D$4:D15))),"")</f>
        <v>платени банани</v>
      </c>
    </row>
    <row r="16">
      <c r="A16" s="34">
        <f t="array" ref="A16">IF(ROWS(A$4:A16)&lt;=$B$2,INDEX(data!C$3:C$106299,SMALL(IF(data!$D$3:$D$106299=$B$1,ROW($A$2:$A$98971)-ROW($A$2)+1),ROWS(A$4:A16))),"")</f>
        <v>46034</v>
      </c>
      <c r="B16" s="12" t="str">
        <f t="array" ref="B16">IF(ROWS(B$4:B16)&lt;=$B$2,INDEX(data!A$3:A$106299,SMALL(IF(data!$D$3:$D$106299=$B$1,ROW($A$2:$A$98971)-ROW($A$2)+1),ROWS(B$4:B16))),"")</f>
        <v>КАСОВА КНИГА</v>
      </c>
      <c r="C16" s="12">
        <f t="array" ref="C16">IF(ROWS(C$4:C16)&lt;=$B$2,INDEX(data!B$3:B$106299,SMALL(IF(data!$D$3:$D$106299=$B$1,ROW($A$2:$A$98971)-ROW($A$2)+1),ROWS(C$4:C16))),"")</f>
        <v>-2000</v>
      </c>
      <c r="D16" s="12" t="str">
        <f t="array" ref="D16">IF(ROWS(D$4:D16)&lt;=$B$2,INDEX(data!E$3:E$106299,SMALL(IF(data!$D$3:$D$106299=$B$1,ROW($A$2:$A$98971)-ROW($A$2)+1),ROWS(D$4:D16))),"")</f>
        <v/>
      </c>
    </row>
    <row r="17">
      <c r="A17" s="34">
        <f t="array" ref="A17">IF(ROWS(A$4:A17)&lt;=$B$2,INDEX(data!C$3:C$106299,SMALL(IF(data!$D$3:$D$106299=$B$1,ROW($A$2:$A$98971)-ROW($A$2)+1),ROWS(A$4:A17))),"")</f>
        <v>46035</v>
      </c>
      <c r="B17" s="12" t="str">
        <f t="array" ref="B17">IF(ROWS(B$4:B17)&lt;=$B$2,INDEX(data!A$3:A$106299,SMALL(IF(data!$D$3:$D$106299=$B$1,ROW($A$2:$A$98971)-ROW($A$2)+1),ROWS(B$4:B17))),"")</f>
        <v>MYPOS Бакалия</v>
      </c>
      <c r="C17" s="12">
        <f t="array" ref="C17">IF(ROWS(C$4:C17)&lt;=$B$2,INDEX(data!B$3:B$106299,SMALL(IF(data!$D$3:$D$106299=$B$1,ROW($A$2:$A$98971)-ROW($A$2)+1),ROWS(C$4:C17))),"")</f>
        <v>-12919.15</v>
      </c>
      <c r="D17" s="12" t="str">
        <f t="array" ref="D17">IF(ROWS(D$4:D17)&lt;=$B$2,INDEX(data!E$3:E$106299,SMALL(IF(data!$D$3:$D$106299=$B$1,ROW($A$2:$A$98971)-ROW($A$2)+1),ROWS(D$4:D17))),"")</f>
        <v/>
      </c>
    </row>
    <row r="18">
      <c r="A18" s="34">
        <f t="array" ref="A18">IF(ROWS(A$4:A18)&lt;=$B$2,INDEX(data!C$3:C$106299,SMALL(IF(data!$D$3:$D$106299=$B$1,ROW($A$2:$A$98971)-ROW($A$2)+1),ROWS(A$4:A18))),"")</f>
        <v>46035</v>
      </c>
      <c r="B18" s="12" t="str">
        <f t="array" ref="B18">IF(ROWS(B$4:B18)&lt;=$B$2,INDEX(data!A$3:A$106299,SMALL(IF(data!$D$3:$D$106299=$B$1,ROW($A$2:$A$98971)-ROW($A$2)+1),ROWS(B$4:B18))),"")</f>
        <v>КАСОВА КНИГА</v>
      </c>
      <c r="C18" s="12">
        <f t="array" ref="C18">IF(ROWS(C$4:C18)&lt;=$B$2,INDEX(data!B$3:B$106299,SMALL(IF(data!$D$3:$D$106299=$B$1,ROW($A$2:$A$98971)-ROW($A$2)+1),ROWS(C$4:C18))),"")</f>
        <v>-637.26</v>
      </c>
      <c r="D18" s="12" t="str">
        <f t="array" ref="D18">IF(ROWS(D$4:D18)&lt;=$B$2,INDEX(data!E$3:E$106299,SMALL(IF(data!$D$3:$D$106299=$B$1,ROW($A$2:$A$98971)-ROW($A$2)+1),ROWS(D$4:D18))),"")</f>
        <v>платени банани</v>
      </c>
    </row>
    <row r="19">
      <c r="A19" s="34">
        <f t="array" ref="A19">IF(ROWS(A$4:A19)&lt;=$B$2,INDEX(data!C$3:C$106299,SMALL(IF(data!$D$3:$D$106299=$B$1,ROW($A$2:$A$98971)-ROW($A$2)+1),ROWS(A$4:A19))),"")</f>
        <v>46036</v>
      </c>
      <c r="B19" s="12" t="str">
        <f t="array" ref="B19">IF(ROWS(B$4:B19)&lt;=$B$2,INDEX(data!A$3:A$106299,SMALL(IF(data!$D$3:$D$106299=$B$1,ROW($A$2:$A$98971)-ROW($A$2)+1),ROWS(B$4:B19))),"")</f>
        <v>КАСОВА КНИГА</v>
      </c>
      <c r="C19" s="12">
        <f t="array" ref="C19">IF(ROWS(C$4:C19)&lt;=$B$2,INDEX(data!B$3:B$106299,SMALL(IF(data!$D$3:$D$106299=$B$1,ROW($A$2:$A$98971)-ROW($A$2)+1),ROWS(C$4:C19))),"")</f>
        <v>-2000</v>
      </c>
      <c r="D19" s="12" t="str">
        <f t="array" ref="D19">IF(ROWS(D$4:D19)&lt;=$B$2,INDEX(data!E$3:E$106299,SMALL(IF(data!$D$3:$D$106299=$B$1,ROW($A$2:$A$98971)-ROW($A$2)+1),ROWS(D$4:D19))),"")</f>
        <v/>
      </c>
    </row>
    <row r="20">
      <c r="A20" s="34">
        <f t="array" ref="A20">IF(ROWS(A$4:A20)&lt;=$B$2,INDEX(data!C$3:C$106299,SMALL(IF(data!$D$3:$D$106299=$B$1,ROW($A$2:$A$98971)-ROW($A$2)+1),ROWS(A$4:A20))),"")</f>
        <v>46036</v>
      </c>
      <c r="B20" s="12" t="str">
        <f t="array" ref="B20">IF(ROWS(B$4:B20)&lt;=$B$2,INDEX(data!A$3:A$106299,SMALL(IF(data!$D$3:$D$106299=$B$1,ROW($A$2:$A$98971)-ROW($A$2)+1),ROWS(B$4:B20))),"")</f>
        <v>ПОС ДСК Бакалия</v>
      </c>
      <c r="C20" s="12">
        <f t="array" ref="C20">IF(ROWS(C$4:C20)&lt;=$B$2,INDEX(data!B$3:B$106299,SMALL(IF(data!$D$3:$D$106299=$B$1,ROW($A$2:$A$98971)-ROW($A$2)+1),ROWS(C$4:C20))),"")</f>
        <v>-24.38</v>
      </c>
      <c r="D20" s="12" t="str">
        <f t="array" ref="D20">IF(ROWS(D$4:D20)&lt;=$B$2,INDEX(data!E$3:E$106299,SMALL(IF(data!$D$3:$D$106299=$B$1,ROW($A$2:$A$98971)-ROW($A$2)+1),ROWS(D$4:D20))),"")</f>
        <v/>
      </c>
    </row>
    <row r="21">
      <c r="A21" s="34">
        <f t="array" ref="A21">IF(ROWS(A$4:A21)&lt;=$B$2,INDEX(data!C$3:C$106299,SMALL(IF(data!$D$3:$D$106299=$B$1,ROW($A$2:$A$98971)-ROW($A$2)+1),ROWS(A$4:A21))),"")</f>
        <v>46038</v>
      </c>
      <c r="B21" s="12" t="str">
        <f t="array" ref="B21">IF(ROWS(B$4:B21)&lt;=$B$2,INDEX(data!A$3:A$106299,SMALL(IF(data!$D$3:$D$106299=$B$1,ROW($A$2:$A$98971)-ROW($A$2)+1),ROWS(B$4:B21))),"")</f>
        <v>КАСОВА КНИГА</v>
      </c>
      <c r="C21" s="12">
        <f t="array" ref="C21">IF(ROWS(C$4:C21)&lt;=$B$2,INDEX(data!B$3:B$106299,SMALL(IF(data!$D$3:$D$106299=$B$1,ROW($A$2:$A$98971)-ROW($A$2)+1),ROWS(C$4:C21))),"")</f>
        <v>-1000</v>
      </c>
      <c r="D21" s="12" t="str">
        <f t="array" ref="D21">IF(ROWS(D$4:D21)&lt;=$B$2,INDEX(data!E$3:E$106299,SMALL(IF(data!$D$3:$D$106299=$B$1,ROW($A$2:$A$98971)-ROW($A$2)+1),ROWS(D$4:D21))),"")</f>
        <v/>
      </c>
    </row>
    <row r="22">
      <c r="A22" s="34">
        <f t="array" ref="A22">IF(ROWS(A$4:A22)&lt;=$B$2,INDEX(data!C$3:C$106299,SMALL(IF(data!$D$3:$D$106299=$B$1,ROW($A$2:$A$98971)-ROW($A$2)+1),ROWS(A$4:A22))),"")</f>
        <v>46038</v>
      </c>
      <c r="B22" s="12" t="str">
        <f t="array" ref="B22">IF(ROWS(B$4:B22)&lt;=$B$2,INDEX(data!A$3:A$106299,SMALL(IF(data!$D$3:$D$106299=$B$1,ROW($A$2:$A$98971)-ROW($A$2)+1),ROWS(B$4:B22))),"")</f>
        <v>КАСОВА КНИГА</v>
      </c>
      <c r="C22" s="12">
        <f t="array" ref="C22">IF(ROWS(C$4:C22)&lt;=$B$2,INDEX(data!B$3:B$106299,SMALL(IF(data!$D$3:$D$106299=$B$1,ROW($A$2:$A$98971)-ROW($A$2)+1),ROWS(C$4:C22))),"")</f>
        <v>-662.803</v>
      </c>
      <c r="D22" s="12" t="str">
        <f t="array" ref="D22">IF(ROWS(D$4:D22)&lt;=$B$2,INDEX(data!E$3:E$106299,SMALL(IF(data!$D$3:$D$106299=$B$1,ROW($A$2:$A$98971)-ROW($A$2)+1),ROWS(D$4:D22))),"")</f>
        <v>платени банани</v>
      </c>
    </row>
    <row r="23">
      <c r="A23" s="34">
        <f t="array" ref="A23">IF(ROWS(A$4:A23)&lt;=$B$2,INDEX(data!C$3:C$106299,SMALL(IF(data!$D$3:$D$106299=$B$1,ROW($A$2:$A$98971)-ROW($A$2)+1),ROWS(A$4:A23))),"")</f>
        <v>46041</v>
      </c>
      <c r="B23" s="12" t="str">
        <f t="array" ref="B23">IF(ROWS(B$4:B23)&lt;=$B$2,INDEX(data!A$3:A$106299,SMALL(IF(data!$D$3:$D$106299=$B$1,ROW($A$2:$A$98971)-ROW($A$2)+1),ROWS(B$4:B23))),"")</f>
        <v>MYPOS Бакалия</v>
      </c>
      <c r="C23" s="12">
        <f t="array" ref="C23">IF(ROWS(C$4:C23)&lt;=$B$2,INDEX(data!B$3:B$106299,SMALL(IF(data!$D$3:$D$106299=$B$1,ROW($A$2:$A$98971)-ROW($A$2)+1),ROWS(C$4:C23))),"")</f>
        <v>-8200.57</v>
      </c>
      <c r="D23" s="12" t="str">
        <f t="array" ref="D23">IF(ROWS(D$4:D23)&lt;=$B$2,INDEX(data!E$3:E$106299,SMALL(IF(data!$D$3:$D$106299=$B$1,ROW($A$2:$A$98971)-ROW($A$2)+1),ROWS(D$4:D23))),"")</f>
        <v/>
      </c>
    </row>
    <row r="24">
      <c r="A24" s="34">
        <f t="array" ref="A24">IF(ROWS(A$4:A24)&lt;=$B$2,INDEX(data!C$3:C$106299,SMALL(IF(data!$D$3:$D$106299=$B$1,ROW($A$2:$A$98971)-ROW($A$2)+1),ROWS(A$4:A24))),"")</f>
        <v>46041</v>
      </c>
      <c r="B24" s="12" t="str">
        <f t="array" ref="B24">IF(ROWS(B$4:B24)&lt;=$B$2,INDEX(data!A$3:A$106299,SMALL(IF(data!$D$3:$D$106299=$B$1,ROW($A$2:$A$98971)-ROW($A$2)+1),ROWS(B$4:B24))),"")</f>
        <v>КАСОВА КНИГА</v>
      </c>
      <c r="C24" s="12">
        <f t="array" ref="C24">IF(ROWS(C$4:C24)&lt;=$B$2,INDEX(data!B$3:B$106299,SMALL(IF(data!$D$3:$D$106299=$B$1,ROW($A$2:$A$98971)-ROW($A$2)+1),ROWS(C$4:C24))),"")</f>
        <v>-3000</v>
      </c>
      <c r="D24" s="12" t="str">
        <f t="array" ref="D24">IF(ROWS(D$4:D24)&lt;=$B$2,INDEX(data!E$3:E$106299,SMALL(IF(data!$D$3:$D$106299=$B$1,ROW($A$2:$A$98971)-ROW($A$2)+1),ROWS(D$4:D24))),"")</f>
        <v/>
      </c>
    </row>
    <row r="25">
      <c r="A25" s="34">
        <f t="array" ref="A25">IF(ROWS(A$4:A25)&lt;=$B$2,INDEX(data!C$3:C$106299,SMALL(IF(data!$D$3:$D$106299=$B$1,ROW($A$2:$A$98971)-ROW($A$2)+1),ROWS(A$4:A25))),"")</f>
        <v>46043</v>
      </c>
      <c r="B25" s="12" t="str">
        <f t="array" ref="B25">IF(ROWS(B$4:B25)&lt;=$B$2,INDEX(data!A$3:A$106299,SMALL(IF(data!$D$3:$D$106299=$B$1,ROW($A$2:$A$98971)-ROW($A$2)+1),ROWS(B$4:B25))),"")</f>
        <v>КАСОВА КНИГА</v>
      </c>
      <c r="C25" s="12">
        <f t="array" ref="C25">IF(ROWS(C$4:C25)&lt;=$B$2,INDEX(data!B$3:B$106299,SMALL(IF(data!$D$3:$D$106299=$B$1,ROW($A$2:$A$98971)-ROW($A$2)+1),ROWS(C$4:C25))),"")</f>
        <v>-500</v>
      </c>
      <c r="D25" s="12" t="str">
        <f t="array" ref="D25">IF(ROWS(D$4:D25)&lt;=$B$2,INDEX(data!E$3:E$106299,SMALL(IF(data!$D$3:$D$106299=$B$1,ROW($A$2:$A$98971)-ROW($A$2)+1),ROWS(D$4:D25))),"")</f>
        <v/>
      </c>
    </row>
    <row r="26">
      <c r="A26" s="34">
        <f t="array" ref="A26">IF(ROWS(A$4:A26)&lt;=$B$2,INDEX(data!C$3:C$106299,SMALL(IF(data!$D$3:$D$106299=$B$1,ROW($A$2:$A$98971)-ROW($A$2)+1),ROWS(A$4:A26))),"")</f>
        <v>46043</v>
      </c>
      <c r="B26" s="12" t="str">
        <f t="array" ref="B26">IF(ROWS(B$4:B26)&lt;=$B$2,INDEX(data!A$3:A$106299,SMALL(IF(data!$D$3:$D$106299=$B$1,ROW($A$2:$A$98971)-ROW($A$2)+1),ROWS(B$4:B26))),"")</f>
        <v>КАСОВА КНИГА</v>
      </c>
      <c r="C26" s="12">
        <f t="array" ref="C26">IF(ROWS(C$4:C26)&lt;=$B$2,INDEX(data!B$3:B$106299,SMALL(IF(data!$D$3:$D$106299=$B$1,ROW($A$2:$A$98971)-ROW($A$2)+1),ROWS(C$4:C26))),"")</f>
        <v>-638.25</v>
      </c>
      <c r="D26" s="12" t="str">
        <f t="array" ref="D26">IF(ROWS(D$4:D26)&lt;=$B$2,INDEX(data!E$3:E$106299,SMALL(IF(data!$D$3:$D$106299=$B$1,ROW($A$2:$A$98971)-ROW($A$2)+1),ROWS(D$4:D26))),"")</f>
        <v>платени банани</v>
      </c>
    </row>
    <row r="27">
      <c r="A27" s="34">
        <f t="array" ref="A27">IF(ROWS(A$4:A27)&lt;=$B$2,INDEX(data!C$3:C$106299,SMALL(IF(data!$D$3:$D$106299=$B$1,ROW($A$2:$A$98971)-ROW($A$2)+1),ROWS(A$4:A27))),"")</f>
        <v>46043</v>
      </c>
      <c r="B27" s="12" t="str">
        <f t="array" ref="B27">IF(ROWS(B$4:B27)&lt;=$B$2,INDEX(data!A$3:A$106299,SMALL(IF(data!$D$3:$D$106299=$B$1,ROW($A$2:$A$98971)-ROW($A$2)+1),ROWS(B$4:B27))),"")</f>
        <v>Каса ВАУЧЕРИ</v>
      </c>
      <c r="C27" s="12">
        <f t="array" ref="C27">IF(ROWS(C$4:C27)&lt;=$B$2,INDEX(data!B$3:B$106299,SMALL(IF(data!$D$3:$D$106299=$B$1,ROW($A$2:$A$98971)-ROW($A$2)+1),ROWS(C$4:C27))),"")</f>
        <v>1022.58</v>
      </c>
      <c r="D27" s="12" t="str">
        <f t="array" ref="D27">IF(ROWS(D$4:D27)&lt;=$B$2,INDEX(data!E$3:E$106299,SMALL(IF(data!$D$3:$D$106299=$B$1,ROW($A$2:$A$98971)-ROW($A$2)+1),ROWS(D$4:D27))),"")</f>
        <v>ваучери персонал</v>
      </c>
    </row>
    <row r="28">
      <c r="A28" s="34">
        <f t="array" ref="A28">IF(ROWS(A$4:A28)&lt;=$B$2,INDEX(data!C$3:C$106299,SMALL(IF(data!$D$3:$D$106299=$B$1,ROW($A$2:$A$98971)-ROW($A$2)+1),ROWS(A$4:A28))),"")</f>
        <v>46045</v>
      </c>
      <c r="B28" s="12" t="str">
        <f t="array" ref="B28">IF(ROWS(B$4:B28)&lt;=$B$2,INDEX(data!A$3:A$106299,SMALL(IF(data!$D$3:$D$106299=$B$1,ROW($A$2:$A$98971)-ROW($A$2)+1),ROWS(B$4:B28))),"")</f>
        <v>КАСОВА КНИГА</v>
      </c>
      <c r="C28" s="12">
        <f t="array" ref="C28">IF(ROWS(C$4:C28)&lt;=$B$2,INDEX(data!B$3:B$106299,SMALL(IF(data!$D$3:$D$106299=$B$1,ROW($A$2:$A$98971)-ROW($A$2)+1),ROWS(C$4:C28))),"")</f>
        <v>-785.54</v>
      </c>
      <c r="D28" s="12" t="str">
        <f t="array" ref="D28">IF(ROWS(D$4:D28)&lt;=$B$2,INDEX(data!E$3:E$106299,SMALL(IF(data!$D$3:$D$106299=$B$1,ROW($A$2:$A$98971)-ROW($A$2)+1),ROWS(D$4:D28))),"")</f>
        <v>платени банани</v>
      </c>
    </row>
    <row r="29">
      <c r="A29" s="34">
        <f t="array" ref="A29">IF(ROWS(A$4:A29)&lt;=$B$2,INDEX(data!C$3:C$106299,SMALL(IF(data!$D$3:$D$106299=$B$1,ROW($A$2:$A$98971)-ROW($A$2)+1),ROWS(A$4:A29))),"")</f>
        <v>46044</v>
      </c>
      <c r="B29" s="12" t="str">
        <f t="array" ref="B29">IF(ROWS(B$4:B29)&lt;=$B$2,INDEX(data!A$3:A$106299,SMALL(IF(data!$D$3:$D$106299=$B$1,ROW($A$2:$A$98971)-ROW($A$2)+1),ROWS(B$4:B29))),"")</f>
        <v>ПОС ДСК Бакалия</v>
      </c>
      <c r="C29" s="12">
        <f t="array" ref="C29">IF(ROWS(C$4:C29)&lt;=$B$2,INDEX(data!B$3:B$106299,SMALL(IF(data!$D$3:$D$106299=$B$1,ROW($A$2:$A$98971)-ROW($A$2)+1),ROWS(C$4:C29))),"")</f>
        <v>-4545.75</v>
      </c>
      <c r="D29" s="12" t="str">
        <f t="array" ref="D29">IF(ROWS(D$4:D29)&lt;=$B$2,INDEX(data!E$3:E$106299,SMALL(IF(data!$D$3:$D$106299=$B$1,ROW($A$2:$A$98971)-ROW($A$2)+1),ROWS(D$4:D29))),"")</f>
        <v/>
      </c>
    </row>
    <row r="30">
      <c r="A30" s="34">
        <f t="array" ref="A30">IF(ROWS(A$4:A30)&lt;=$B$2,INDEX(data!C$3:C$106299,SMALL(IF(data!$D$3:$D$106299=$B$1,ROW($A$2:$A$98971)-ROW($A$2)+1),ROWS(A$4:A30))),"")</f>
        <v>46048</v>
      </c>
      <c r="B30" s="12" t="str">
        <f t="array" ref="B30">IF(ROWS(B$4:B30)&lt;=$B$2,INDEX(data!A$3:A$106299,SMALL(IF(data!$D$3:$D$106299=$B$1,ROW($A$2:$A$98971)-ROW($A$2)+1),ROWS(B$4:B30))),"")</f>
        <v>MYPOS Бакалия</v>
      </c>
      <c r="C30" s="12">
        <f t="array" ref="C30">IF(ROWS(C$4:C30)&lt;=$B$2,INDEX(data!B$3:B$106299,SMALL(IF(data!$D$3:$D$106299=$B$1,ROW($A$2:$A$98971)-ROW($A$2)+1),ROWS(C$4:C30))),"")</f>
        <v>-7576.36</v>
      </c>
      <c r="D30" s="12" t="str">
        <f t="array" ref="D30">IF(ROWS(D$4:D30)&lt;=$B$2,INDEX(data!E$3:E$106299,SMALL(IF(data!$D$3:$D$106299=$B$1,ROW($A$2:$A$98971)-ROW($A$2)+1),ROWS(D$4:D30))),"")</f>
        <v/>
      </c>
    </row>
    <row r="31">
      <c r="A31" s="34">
        <f t="array" ref="A31">IF(ROWS(A$4:A31)&lt;=$B$2,INDEX(data!C$3:C$106299,SMALL(IF(data!$D$3:$D$106299=$B$1,ROW($A$2:$A$98971)-ROW($A$2)+1),ROWS(A$4:A31))),"")</f>
        <v>46048</v>
      </c>
      <c r="B31" s="12" t="str">
        <f t="array" ref="B31">IF(ROWS(B$4:B31)&lt;=$B$2,INDEX(data!A$3:A$106299,SMALL(IF(data!$D$3:$D$106299=$B$1,ROW($A$2:$A$98971)-ROW($A$2)+1),ROWS(B$4:B31))),"")</f>
        <v>КАСОВА КНИГА</v>
      </c>
      <c r="C31" s="12">
        <f t="array" ref="C31">IF(ROWS(C$4:C31)&lt;=$B$2,INDEX(data!B$3:B$106299,SMALL(IF(data!$D$3:$D$106299=$B$1,ROW($A$2:$A$98971)-ROW($A$2)+1),ROWS(C$4:C31))),"")</f>
        <v>-2500</v>
      </c>
      <c r="D31" s="12" t="str">
        <f t="array" ref="D31">IF(ROWS(D$4:D31)&lt;=$B$2,INDEX(data!E$3:E$106299,SMALL(IF(data!$D$3:$D$106299=$B$1,ROW($A$2:$A$98971)-ROW($A$2)+1),ROWS(D$4:D31))),"")</f>
        <v/>
      </c>
    </row>
    <row r="32">
      <c r="A32" s="34">
        <f t="array" ref="A32">IF(ROWS(A$4:A32)&lt;=$B$2,INDEX(data!C$3:C$106299,SMALL(IF(data!$D$3:$D$106299=$B$1,ROW($A$2:$A$98971)-ROW($A$2)+1),ROWS(A$4:A32))),"")</f>
        <v>46049</v>
      </c>
      <c r="B32" s="12" t="str">
        <f t="array" ref="B32">IF(ROWS(B$4:B32)&lt;=$B$2,INDEX(data!A$3:A$106299,SMALL(IF(data!$D$3:$D$106299=$B$1,ROW($A$2:$A$98971)-ROW($A$2)+1),ROWS(B$4:B32))),"")</f>
        <v>КАСОВА КНИГА</v>
      </c>
      <c r="C32" s="12">
        <f t="array" ref="C32">IF(ROWS(C$4:C32)&lt;=$B$2,INDEX(data!B$3:B$106299,SMALL(IF(data!$D$3:$D$106299=$B$1,ROW($A$2:$A$98971)-ROW($A$2)+1),ROWS(C$4:C32))),"")</f>
        <v>-637.26</v>
      </c>
      <c r="D32" s="12" t="str">
        <f t="array" ref="D32">IF(ROWS(D$4:D32)&lt;=$B$2,INDEX(data!E$3:E$106299,SMALL(IF(data!$D$3:$D$106299=$B$1,ROW($A$2:$A$98971)-ROW($A$2)+1),ROWS(D$4:D32))),"")</f>
        <v>платени банани</v>
      </c>
    </row>
    <row r="33">
      <c r="A33" s="34">
        <f t="array" ref="A33">IF(ROWS(A$4:A33)&lt;=$B$2,INDEX(data!C$3:C$106299,SMALL(IF(data!$D$3:$D$106299=$B$1,ROW($A$2:$A$98971)-ROW($A$2)+1),ROWS(A$4:A33))),"")</f>
        <v>46049</v>
      </c>
      <c r="B33" s="12" t="str">
        <f t="array" ref="B33">IF(ROWS(B$4:B33)&lt;=$B$2,INDEX(data!A$3:A$106299,SMALL(IF(data!$D$3:$D$106299=$B$1,ROW($A$2:$A$98971)-ROW($A$2)+1),ROWS(B$4:B33))),"")</f>
        <v>ПОС ДСК Бакалия</v>
      </c>
      <c r="C33" s="12">
        <f t="array" ref="C33">IF(ROWS(C$4:C33)&lt;=$B$2,INDEX(data!B$3:B$106299,SMALL(IF(data!$D$3:$D$106299=$B$1,ROW($A$2:$A$98971)-ROW($A$2)+1),ROWS(C$4:C33))),"")</f>
        <v>-5683.53</v>
      </c>
      <c r="D33" s="12" t="str">
        <f t="array" ref="D33">IF(ROWS(D$4:D33)&lt;=$B$2,INDEX(data!E$3:E$106299,SMALL(IF(data!$D$3:$D$106299=$B$1,ROW($A$2:$A$98971)-ROW($A$2)+1),ROWS(D$4:D33))),"")</f>
        <v>17-23,01</v>
      </c>
    </row>
    <row r="34">
      <c r="A34" s="34">
        <f t="array" ref="A34">IF(ROWS(A$4:A34)&lt;=$B$2,INDEX(data!C$3:C$106299,SMALL(IF(data!$D$3:$D$106299=$B$1,ROW($A$2:$A$98971)-ROW($A$2)+1),ROWS(A$4:A34))),"")</f>
        <v>46050</v>
      </c>
      <c r="B34" s="12" t="str">
        <f t="array" ref="B34">IF(ROWS(B$4:B34)&lt;=$B$2,INDEX(data!A$3:A$106299,SMALL(IF(data!$D$3:$D$106299=$B$1,ROW($A$2:$A$98971)-ROW($A$2)+1),ROWS(B$4:B34))),"")</f>
        <v>КАСОВА КНИГА</v>
      </c>
      <c r="C34" s="12">
        <f t="array" ref="C34">IF(ROWS(C$4:C34)&lt;=$B$2,INDEX(data!B$3:B$106299,SMALL(IF(data!$D$3:$D$106299=$B$1,ROW($A$2:$A$98971)-ROW($A$2)+1),ROWS(C$4:C34))),"")</f>
        <v>-500</v>
      </c>
      <c r="D34" s="12" t="str">
        <f t="array" ref="D34">IF(ROWS(D$4:D34)&lt;=$B$2,INDEX(data!E$3:E$106299,SMALL(IF(data!$D$3:$D$106299=$B$1,ROW($A$2:$A$98971)-ROW($A$2)+1),ROWS(D$4:D34))),"")</f>
        <v/>
      </c>
    </row>
    <row r="35">
      <c r="A35" s="34">
        <f t="array" ref="A35">IF(ROWS(A$4:A35)&lt;=$B$2,INDEX(data!C$3:C$106299,SMALL(IF(data!$D$3:$D$106299=$B$1,ROW($A$2:$A$98971)-ROW($A$2)+1),ROWS(A$4:A35))),"")</f>
        <v>46052</v>
      </c>
      <c r="B35" s="12" t="str">
        <f t="array" ref="B35">IF(ROWS(B$4:B35)&lt;=$B$2,INDEX(data!A$3:A$106299,SMALL(IF(data!$D$3:$D$106299=$B$1,ROW($A$2:$A$98971)-ROW($A$2)+1),ROWS(B$4:B35))),"")</f>
        <v>КАСОВА КНИГА</v>
      </c>
      <c r="C35" s="12">
        <f t="array" ref="C35">IF(ROWS(C$4:C35)&lt;=$B$2,INDEX(data!B$3:B$106299,SMALL(IF(data!$D$3:$D$106299=$B$1,ROW($A$2:$A$98971)-ROW($A$2)+1),ROWS(C$4:C35))),"")</f>
        <v>-802.56</v>
      </c>
      <c r="D35" s="12" t="str">
        <f t="array" ref="D35">IF(ROWS(D$4:D35)&lt;=$B$2,INDEX(data!E$3:E$106299,SMALL(IF(data!$D$3:$D$106299=$B$1,ROW($A$2:$A$98971)-ROW($A$2)+1),ROWS(D$4:D35))),"")</f>
        <v>платени банани</v>
      </c>
    </row>
    <row r="36">
      <c r="A36" s="34">
        <f t="array" ref="A36">IF(ROWS(A$4:A36)&lt;=$B$2,INDEX(data!C$3:C$106299,SMALL(IF(data!$D$3:$D$106299=$B$1,ROW($A$2:$A$98971)-ROW($A$2)+1),ROWS(A$4:A36))),"")</f>
        <v>46055</v>
      </c>
      <c r="B36" s="12" t="str">
        <f t="array" ref="B36">IF(ROWS(B$4:B36)&lt;=$B$2,INDEX(data!A$3:A$106299,SMALL(IF(data!$D$3:$D$106299=$B$1,ROW($A$2:$A$98971)-ROW($A$2)+1),ROWS(B$4:B36))),"")</f>
        <v>MYPOS Бакалия</v>
      </c>
      <c r="C36" s="12">
        <f t="array" ref="C36">IF(ROWS(C$4:C36)&lt;=$B$2,INDEX(data!B$3:B$106299,SMALL(IF(data!$D$3:$D$106299=$B$1,ROW($A$2:$A$98971)-ROW($A$2)+1),ROWS(C$4:C36))),"")</f>
        <v>-14540.09</v>
      </c>
      <c r="D36" s="12" t="str">
        <f t="array" ref="D36">IF(ROWS(D$4:D36)&lt;=$B$2,INDEX(data!E$3:E$106299,SMALL(IF(data!$D$3:$D$106299=$B$1,ROW($A$2:$A$98971)-ROW($A$2)+1),ROWS(D$4:D36))),"")</f>
        <v/>
      </c>
    </row>
    <row r="37">
      <c r="A37" s="34">
        <f t="array" ref="A37">IF(ROWS(A$4:A37)&lt;=$B$2,INDEX(data!C$3:C$106299,SMALL(IF(data!$D$3:$D$106299=$B$1,ROW($A$2:$A$98971)-ROW($A$2)+1),ROWS(A$4:A37))),"")</f>
        <v>46056</v>
      </c>
      <c r="B37" s="12" t="str">
        <f t="array" ref="B37">IF(ROWS(B$4:B37)&lt;=$B$2,INDEX(data!A$3:A$106299,SMALL(IF(data!$D$3:$D$106299=$B$1,ROW($A$2:$A$98971)-ROW($A$2)+1),ROWS(B$4:B37))),"")</f>
        <v>КАСОВА КНИГА</v>
      </c>
      <c r="C37" s="12">
        <f t="array" ref="C37">IF(ROWS(C$4:C37)&lt;=$B$2,INDEX(data!B$3:B$106299,SMALL(IF(data!$D$3:$D$106299=$B$1,ROW($A$2:$A$98971)-ROW($A$2)+1),ROWS(C$4:C37))),"")</f>
        <v>-763.8</v>
      </c>
      <c r="D37" s="12" t="str">
        <f t="array" ref="D37">IF(ROWS(D$4:D37)&lt;=$B$2,INDEX(data!E$3:E$106299,SMALL(IF(data!$D$3:$D$106299=$B$1,ROW($A$2:$A$98971)-ROW($A$2)+1),ROWS(D$4:D37))),"")</f>
        <v>платени банани</v>
      </c>
    </row>
    <row r="38">
      <c r="A38" s="34">
        <f t="array" ref="A38">IF(ROWS(A$4:A38)&lt;=$B$2,INDEX(data!C$3:C$106299,SMALL(IF(data!$D$3:$D$106299=$B$1,ROW($A$2:$A$98971)-ROW($A$2)+1),ROWS(A$4:A38))),"")</f>
        <v>46056</v>
      </c>
      <c r="B38" s="12" t="str">
        <f t="array" ref="B38">IF(ROWS(B$4:B38)&lt;=$B$2,INDEX(data!A$3:A$106299,SMALL(IF(data!$D$3:$D$106299=$B$1,ROW($A$2:$A$98971)-ROW($A$2)+1),ROWS(B$4:B38))),"")</f>
        <v>каса ФИКТИВНА</v>
      </c>
      <c r="C38" s="12">
        <f t="array" ref="C38">IF(ROWS(C$4:C38)&lt;=$B$2,INDEX(data!B$3:B$106299,SMALL(IF(data!$D$3:$D$106299=$B$1,ROW($A$2:$A$98971)-ROW($A$2)+1),ROWS(C$4:C38))),"")</f>
        <v>-600</v>
      </c>
      <c r="D38" s="12" t="str">
        <f t="array" ref="D38">IF(ROWS(D$4:D38)&lt;=$B$2,INDEX(data!E$3:E$106299,SMALL(IF(data!$D$3:$D$106299=$B$1,ROW($A$2:$A$98971)-ROW($A$2)+1),ROWS(D$4:D38))),"")</f>
        <v>Лили от премиите</v>
      </c>
    </row>
    <row r="39">
      <c r="A39" s="34">
        <f t="array" ref="A39">IF(ROWS(A$4:A39)&lt;=$B$2,INDEX(data!C$3:C$106299,SMALL(IF(data!$D$3:$D$106299=$B$1,ROW($A$2:$A$98971)-ROW($A$2)+1),ROWS(A$4:A39))),"")</f>
        <v>46057</v>
      </c>
      <c r="B39" s="12" t="str">
        <f t="array" ref="B39">IF(ROWS(B$4:B39)&lt;=$B$2,INDEX(data!A$3:A$106299,SMALL(IF(data!$D$3:$D$106299=$B$1,ROW($A$2:$A$98971)-ROW($A$2)+1),ROWS(B$4:B39))),"")</f>
        <v>КАСОВА КНИГА</v>
      </c>
      <c r="C39" s="12">
        <f t="array" ref="C39">IF(ROWS(C$4:C39)&lt;=$B$2,INDEX(data!B$3:B$106299,SMALL(IF(data!$D$3:$D$106299=$B$1,ROW($A$2:$A$98971)-ROW($A$2)+1),ROWS(C$4:C39))),"")</f>
        <v>-120.05</v>
      </c>
      <c r="D39" s="12" t="str">
        <f t="array" ref="D39">IF(ROWS(D$4:D39)&lt;=$B$2,INDEX(data!E$3:E$106299,SMALL(IF(data!$D$3:$D$106299=$B$1,ROW($A$2:$A$98971)-ROW($A$2)+1),ROWS(D$4:D39))),"")</f>
        <v>234,80лв</v>
      </c>
    </row>
    <row r="40">
      <c r="A40" s="34">
        <f t="array" ref="A40">IF(ROWS(A$4:A40)&lt;=$B$2,INDEX(data!C$3:C$106299,SMALL(IF(data!$D$3:$D$106299=$B$1,ROW($A$2:$A$98971)-ROW($A$2)+1),ROWS(A$4:A40))),"")</f>
        <v>46057</v>
      </c>
      <c r="B40" s="12" t="str">
        <f t="array" ref="B40">IF(ROWS(B$4:B40)&lt;=$B$2,INDEX(data!A$3:A$106299,SMALL(IF(data!$D$3:$D$106299=$B$1,ROW($A$2:$A$98971)-ROW($A$2)+1),ROWS(B$4:B40))),"")</f>
        <v>Каса ВАУЧЕРИ</v>
      </c>
      <c r="C40" s="12">
        <f t="array" ref="C40">IF(ROWS(C$4:C40)&lt;=$B$2,INDEX(data!B$3:B$106299,SMALL(IF(data!$D$3:$D$106299=$B$1,ROW($A$2:$A$98971)-ROW($A$2)+1),ROWS(C$4:C40))),"")</f>
        <v>-34</v>
      </c>
      <c r="D40" s="12" t="str">
        <f t="array" ref="D40">IF(ROWS(D$4:D40)&lt;=$B$2,INDEX(data!E$3:E$106299,SMALL(IF(data!$D$3:$D$106299=$B$1,ROW($A$2:$A$98971)-ROW($A$2)+1),ROWS(D$4:D40))),"")</f>
        <v/>
      </c>
    </row>
    <row r="41">
      <c r="A41" s="34">
        <f t="array" ref="A41">IF(ROWS(A$4:A41)&lt;=$B$2,INDEX(data!C$3:C$106299,SMALL(IF(data!$D$3:$D$106299=$B$1,ROW($A$2:$A$98971)-ROW($A$2)+1),ROWS(A$4:A41))),"")</f>
        <v>46059</v>
      </c>
      <c r="B41" s="12" t="str">
        <f t="array" ref="B41">IF(ROWS(B$4:B41)&lt;=$B$2,INDEX(data!A$3:A$106299,SMALL(IF(data!$D$3:$D$106299=$B$1,ROW($A$2:$A$98971)-ROW($A$2)+1),ROWS(B$4:B41))),"")</f>
        <v>Банка ПИБ Бакалия</v>
      </c>
      <c r="C41" s="12">
        <f t="array" ref="C41">IF(ROWS(C$4:C41)&lt;=$B$2,INDEX(data!B$3:B$106299,SMALL(IF(data!$D$3:$D$106299=$B$1,ROW($A$2:$A$98971)-ROW($A$2)+1),ROWS(C$4:C41))),"")</f>
        <v>-2064.98</v>
      </c>
      <c r="D41" s="12" t="str">
        <f t="array" ref="D41">IF(ROWS(D$4:D41)&lt;=$B$2,INDEX(data!E$3:E$106299,SMALL(IF(data!$D$3:$D$106299=$B$1,ROW($A$2:$A$98971)-ROW($A$2)+1),ROWS(D$4:D41))),"")</f>
        <v/>
      </c>
    </row>
    <row r="42">
      <c r="A42" s="34">
        <f t="array" ref="A42">IF(ROWS(A$4:A42)&lt;=$B$2,INDEX(data!C$3:C$106299,SMALL(IF(data!$D$3:$D$106299=$B$1,ROW($A$2:$A$98971)-ROW($A$2)+1),ROWS(A$4:A42))),"")</f>
        <v>46059</v>
      </c>
      <c r="B42" s="12" t="str">
        <f t="array" ref="B42">IF(ROWS(B$4:B42)&lt;=$B$2,INDEX(data!A$3:A$106299,SMALL(IF(data!$D$3:$D$106299=$B$1,ROW($A$2:$A$98971)-ROW($A$2)+1),ROWS(B$4:B42))),"")</f>
        <v>КАСОВА КНИГА</v>
      </c>
      <c r="C42" s="12">
        <f t="array" ref="C42">IF(ROWS(C$4:C42)&lt;=$B$2,INDEX(data!B$3:B$106299,SMALL(IF(data!$D$3:$D$106299=$B$1,ROW($A$2:$A$98971)-ROW($A$2)+1),ROWS(C$4:C42))),"")</f>
        <v>-636.5</v>
      </c>
      <c r="D42" s="12" t="str">
        <f t="array" ref="D42">IF(ROWS(D$4:D42)&lt;=$B$2,INDEX(data!E$3:E$106299,SMALL(IF(data!$D$3:$D$106299=$B$1,ROW($A$2:$A$98971)-ROW($A$2)+1),ROWS(D$4:D42))),"")</f>
        <v>платени банани</v>
      </c>
    </row>
    <row r="43">
      <c r="A43" s="34">
        <f t="array" ref="A43">IF(ROWS(A$4:A43)&lt;=$B$2,INDEX(data!C$3:C$106299,SMALL(IF(data!$D$3:$D$106299=$B$1,ROW($A$2:$A$98971)-ROW($A$2)+1),ROWS(A$4:A43))),"")</f>
        <v>46059</v>
      </c>
      <c r="B43" s="12" t="str">
        <f t="array" ref="B43">IF(ROWS(B$4:B43)&lt;=$B$2,INDEX(data!A$3:A$106299,SMALL(IF(data!$D$3:$D$106299=$B$1,ROW($A$2:$A$98971)-ROW($A$2)+1),ROWS(B$4:B43))),"")</f>
        <v>ПОС ДСК Бакалия</v>
      </c>
      <c r="C43" s="12">
        <f t="array" ref="C43">IF(ROWS(C$4:C43)&lt;=$B$2,INDEX(data!B$3:B$106299,SMALL(IF(data!$D$3:$D$106299=$B$1,ROW($A$2:$A$98971)-ROW($A$2)+1),ROWS(C$4:C43))),"")</f>
        <v>-1536.05</v>
      </c>
      <c r="D43" s="12" t="str">
        <f t="array" ref="D43">IF(ROWS(D$4:D43)&lt;=$B$2,INDEX(data!E$3:E$106299,SMALL(IF(data!$D$3:$D$106299=$B$1,ROW($A$2:$A$98971)-ROW($A$2)+1),ROWS(D$4:D43))),"")</f>
        <v/>
      </c>
    </row>
    <row r="44">
      <c r="A44" s="34">
        <f t="array" ref="A44">IF(ROWS(A$4:A44)&lt;=$B$2,INDEX(data!C$3:C$106299,SMALL(IF(data!$D$3:$D$106299=$B$1,ROW($A$2:$A$98971)-ROW($A$2)+1),ROWS(A$4:A44))),"")</f>
        <v>46062</v>
      </c>
      <c r="B44" s="12" t="str">
        <f t="array" ref="B44">IF(ROWS(B$4:B44)&lt;=$B$2,INDEX(data!A$3:A$106299,SMALL(IF(data!$D$3:$D$106299=$B$1,ROW($A$2:$A$98971)-ROW($A$2)+1),ROWS(B$4:B44))),"")</f>
        <v>MYPOS Бакалия</v>
      </c>
      <c r="C44" s="12">
        <f t="array" ref="C44">IF(ROWS(C$4:C44)&lt;=$B$2,INDEX(data!B$3:B$106299,SMALL(IF(data!$D$3:$D$106299=$B$1,ROW($A$2:$A$98971)-ROW($A$2)+1),ROWS(C$4:C44))),"")</f>
        <v>-15805.02</v>
      </c>
      <c r="D44" s="12" t="str">
        <f t="array" ref="D44">IF(ROWS(D$4:D44)&lt;=$B$2,INDEX(data!E$3:E$106299,SMALL(IF(data!$D$3:$D$106299=$B$1,ROW($A$2:$A$98971)-ROW($A$2)+1),ROWS(D$4:D44))),"")</f>
        <v/>
      </c>
    </row>
    <row r="45">
      <c r="A45" s="34">
        <f t="array" ref="A45">IF(ROWS(A$4:A45)&lt;=$B$2,INDEX(data!C$3:C$106299,SMALL(IF(data!$D$3:$D$106299=$B$1,ROW($A$2:$A$98971)-ROW($A$2)+1),ROWS(A$4:A45))),"")</f>
        <v>46062</v>
      </c>
      <c r="B45" s="12" t="str">
        <f t="array" ref="B45">IF(ROWS(B$4:B45)&lt;=$B$2,INDEX(data!A$3:A$106299,SMALL(IF(data!$D$3:$D$106299=$B$1,ROW($A$2:$A$98971)-ROW($A$2)+1),ROWS(B$4:B45))),"")</f>
        <v>КАСОВА КНИГА</v>
      </c>
      <c r="C45" s="12">
        <f t="array" ref="C45">IF(ROWS(C$4:C45)&lt;=$B$2,INDEX(data!B$3:B$106299,SMALL(IF(data!$D$3:$D$106299=$B$1,ROW($A$2:$A$98971)-ROW($A$2)+1),ROWS(C$4:C45))),"")</f>
        <v>-2500</v>
      </c>
      <c r="D45" s="12" t="str">
        <f t="array" ref="D45">IF(ROWS(D$4:D45)&lt;=$B$2,INDEX(data!E$3:E$106299,SMALL(IF(data!$D$3:$D$106299=$B$1,ROW($A$2:$A$98971)-ROW($A$2)+1),ROWS(D$4:D45))),"")</f>
        <v/>
      </c>
    </row>
    <row r="46">
      <c r="A46" s="34">
        <f t="array" ref="A46">IF(ROWS(A$4:A46)&lt;=$B$2,INDEX(data!C$3:C$106299,SMALL(IF(data!$D$3:$D$106299=$B$1,ROW($A$2:$A$98971)-ROW($A$2)+1),ROWS(A$4:A46))),"")</f>
        <v>46062</v>
      </c>
      <c r="B46" s="12" t="str">
        <f t="array" ref="B46">IF(ROWS(B$4:B46)&lt;=$B$2,INDEX(data!A$3:A$106299,SMALL(IF(data!$D$3:$D$106299=$B$1,ROW($A$2:$A$98971)-ROW($A$2)+1),ROWS(B$4:B46))),"")</f>
        <v>ЗАЕМ</v>
      </c>
      <c r="C46" s="12">
        <f t="array" ref="C46">IF(ROWS(C$4:C46)&lt;=$B$2,INDEX(data!B$3:B$106299,SMALL(IF(data!$D$3:$D$106299=$B$1,ROW($A$2:$A$98971)-ROW($A$2)+1),ROWS(C$4:C46))),"")</f>
        <v>83132.86</v>
      </c>
      <c r="D46" s="12" t="str">
        <f t="array" ref="D46">IF(ROWS(D$4:D46)&lt;=$B$2,INDEX(data!E$3:E$106299,SMALL(IF(data!$D$3:$D$106299=$B$1,ROW($A$2:$A$98971)-ROW($A$2)+1),ROWS(D$4:D46))),"")</f>
        <v>С-до склад + вътр п-не</v>
      </c>
    </row>
    <row r="47">
      <c r="A47" s="34">
        <f t="array" ref="A47">IF(ROWS(A$4:A47)&lt;=$B$2,INDEX(data!C$3:C$106299,SMALL(IF(data!$D$3:$D$106299=$B$1,ROW($A$2:$A$98971)-ROW($A$2)+1),ROWS(A$4:A47))),"")</f>
        <v>46063</v>
      </c>
      <c r="B47" s="12" t="str">
        <f t="array" ref="B47">IF(ROWS(B$4:B47)&lt;=$B$2,INDEX(data!A$3:A$106299,SMALL(IF(data!$D$3:$D$106299=$B$1,ROW($A$2:$A$98971)-ROW($A$2)+1),ROWS(B$4:B47))),"")</f>
        <v>КАСОВА КНИГА</v>
      </c>
      <c r="C47" s="12">
        <f t="array" ref="C47">IF(ROWS(C$4:C47)&lt;=$B$2,INDEX(data!B$3:B$106299,SMALL(IF(data!$D$3:$D$106299=$B$1,ROW($A$2:$A$98971)-ROW($A$2)+1),ROWS(C$4:C47))),"")</f>
        <v>-483.74</v>
      </c>
      <c r="D47" s="12" t="str">
        <f t="array" ref="D47">IF(ROWS(D$4:D47)&lt;=$B$2,INDEX(data!E$3:E$106299,SMALL(IF(data!$D$3:$D$106299=$B$1,ROW($A$2:$A$98971)-ROW($A$2)+1),ROWS(D$4:D47))),"")</f>
        <v>платени банани</v>
      </c>
    </row>
    <row r="48">
      <c r="A48" s="34">
        <f t="array" ref="A48">IF(ROWS(A$4:A48)&lt;=$B$2,INDEX(data!C$3:C$106299,SMALL(IF(data!$D$3:$D$106299=$B$1,ROW($A$2:$A$98971)-ROW($A$2)+1),ROWS(A$4:A48))),"")</f>
        <v>46064</v>
      </c>
      <c r="B48" s="12" t="str">
        <f t="array" ref="B48">IF(ROWS(B$4:B48)&lt;=$B$2,INDEX(data!A$3:A$106299,SMALL(IF(data!$D$3:$D$106299=$B$1,ROW($A$2:$A$98971)-ROW($A$2)+1),ROWS(B$4:B48))),"")</f>
        <v>КАСОВА КНИГА</v>
      </c>
      <c r="C48" s="12">
        <f t="array" ref="C48">IF(ROWS(C$4:C48)&lt;=$B$2,INDEX(data!B$3:B$106299,SMALL(IF(data!$D$3:$D$106299=$B$1,ROW($A$2:$A$98971)-ROW($A$2)+1),ROWS(C$4:C48))),"")</f>
        <v>-500</v>
      </c>
      <c r="D48" s="12" t="str">
        <f t="array" ref="D48">IF(ROWS(D$4:D48)&lt;=$B$2,INDEX(data!E$3:E$106299,SMALL(IF(data!$D$3:$D$106299=$B$1,ROW($A$2:$A$98971)-ROW($A$2)+1),ROWS(D$4:D48))),"")</f>
        <v/>
      </c>
    </row>
    <row r="49">
      <c r="A49" s="34">
        <f t="array" ref="A49">IF(ROWS(A$4:A49)&lt;=$B$2,INDEX(data!C$3:C$106299,SMALL(IF(data!$D$3:$D$106299=$B$1,ROW($A$2:$A$98971)-ROW($A$2)+1),ROWS(A$4:A49))),"")</f>
        <v>46066</v>
      </c>
      <c r="B49" s="12" t="str">
        <f t="array" ref="B49">IF(ROWS(B$4:B49)&lt;=$B$2,INDEX(data!A$3:A$106299,SMALL(IF(data!$D$3:$D$106299=$B$1,ROW($A$2:$A$98971)-ROW($A$2)+1),ROWS(B$4:B49))),"")</f>
        <v>КАСОВА КНИГА</v>
      </c>
      <c r="C49" s="12">
        <f t="array" ref="C49">IF(ROWS(C$4:C49)&lt;=$B$2,INDEX(data!B$3:B$106299,SMALL(IF(data!$D$3:$D$106299=$B$1,ROW($A$2:$A$98971)-ROW($A$2)+1),ROWS(C$4:C49))),"")</f>
        <v>-712.88</v>
      </c>
      <c r="D49" s="12" t="str">
        <f t="array" ref="D49">IF(ROWS(D$4:D49)&lt;=$B$2,INDEX(data!E$3:E$106299,SMALL(IF(data!$D$3:$D$106299=$B$1,ROW($A$2:$A$98971)-ROW($A$2)+1),ROWS(D$4:D49))),"")</f>
        <v>платени банани</v>
      </c>
    </row>
    <row r="50">
      <c r="A50" s="34">
        <f t="array" ref="A50">IF(ROWS(A$4:A50)&lt;=$B$2,INDEX(data!C$3:C$106299,SMALL(IF(data!$D$3:$D$106299=$B$1,ROW($A$2:$A$98971)-ROW($A$2)+1),ROWS(A$4:A50))),"")</f>
        <v>46069</v>
      </c>
      <c r="B50" s="12" t="str">
        <f t="array" ref="B50">IF(ROWS(B$4:B50)&lt;=$B$2,INDEX(data!A$3:A$106299,SMALL(IF(data!$D$3:$D$106299=$B$1,ROW($A$2:$A$98971)-ROW($A$2)+1),ROWS(B$4:B50))),"")</f>
        <v>MYPOS Бакалия</v>
      </c>
      <c r="C50" s="12">
        <f t="array" ref="C50">IF(ROWS(C$4:C50)&lt;=$B$2,INDEX(data!B$3:B$106299,SMALL(IF(data!$D$3:$D$106299=$B$1,ROW($A$2:$A$98971)-ROW($A$2)+1),ROWS(C$4:C50))),"")</f>
        <v>-15845.14</v>
      </c>
      <c r="D50" s="12" t="str">
        <f t="array" ref="D50">IF(ROWS(D$4:D50)&lt;=$B$2,INDEX(data!E$3:E$106299,SMALL(IF(data!$D$3:$D$106299=$B$1,ROW($A$2:$A$98971)-ROW($A$2)+1),ROWS(D$4:D50))),"")</f>
        <v/>
      </c>
    </row>
    <row r="51">
      <c r="A51" s="34">
        <f t="array" ref="A51">IF(ROWS(A$4:A51)&lt;=$B$2,INDEX(data!C$3:C$106299,SMALL(IF(data!$D$3:$D$106299=$B$1,ROW($A$2:$A$98971)-ROW($A$2)+1),ROWS(A$4:A51))),"")</f>
        <v>46069</v>
      </c>
      <c r="B51" s="12" t="str">
        <f t="array" ref="B51">IF(ROWS(B$4:B51)&lt;=$B$2,INDEX(data!A$3:A$106299,SMALL(IF(data!$D$3:$D$106299=$B$1,ROW($A$2:$A$98971)-ROW($A$2)+1),ROWS(B$4:B51))),"")</f>
        <v>каса ФИКТИВНА</v>
      </c>
      <c r="C51" s="12">
        <f t="array" ref="C51">IF(ROWS(C$4:C51)&lt;=$B$2,INDEX(data!B$3:B$106299,SMALL(IF(data!$D$3:$D$106299=$B$1,ROW($A$2:$A$98971)-ROW($A$2)+1),ROWS(C$4:C51))),"")</f>
        <v>-13.51</v>
      </c>
      <c r="D51" s="12" t="str">
        <f t="array" ref="D51">IF(ROWS(D$4:D51)&lt;=$B$2,INDEX(data!E$3:E$106299,SMALL(IF(data!$D$3:$D$106299=$B$1,ROW($A$2:$A$98971)-ROW($A$2)+1),ROWS(D$4:D51))),"")</f>
        <v>пазар Милена</v>
      </c>
    </row>
    <row r="52">
      <c r="A52" s="34">
        <f t="array" ref="A52">IF(ROWS(A$4:A52)&lt;=$B$2,INDEX(data!C$3:C$106299,SMALL(IF(data!$D$3:$D$106299=$B$1,ROW($A$2:$A$98971)-ROW($A$2)+1),ROWS(A$4:A52))),"")</f>
        <v>46070</v>
      </c>
      <c r="B52" s="12" t="str">
        <f t="array" ref="B52">IF(ROWS(B$4:B52)&lt;=$B$2,INDEX(data!A$3:A$106299,SMALL(IF(data!$D$3:$D$106299=$B$1,ROW($A$2:$A$98971)-ROW($A$2)+1),ROWS(B$4:B52))),"")</f>
        <v>КАСОВА КНИГА</v>
      </c>
      <c r="C52" s="12">
        <f t="array" ref="C52">IF(ROWS(C$4:C52)&lt;=$B$2,INDEX(data!B$3:B$106299,SMALL(IF(data!$D$3:$D$106299=$B$1,ROW($A$2:$A$98971)-ROW($A$2)+1),ROWS(C$4:C52))),"")</f>
        <v>-483.74</v>
      </c>
      <c r="D52" s="12" t="str">
        <f t="array" ref="D52">IF(ROWS(D$4:D52)&lt;=$B$2,INDEX(data!E$3:E$106299,SMALL(IF(data!$D$3:$D$106299=$B$1,ROW($A$2:$A$98971)-ROW($A$2)+1),ROWS(D$4:D52))),"")</f>
        <v>платени банани</v>
      </c>
    </row>
    <row r="53">
      <c r="A53" s="34">
        <f t="array" ref="A53">IF(ROWS(A$4:A53)&lt;=$B$2,INDEX(data!C$3:C$106299,SMALL(IF(data!$D$3:$D$106299=$B$1,ROW($A$2:$A$98971)-ROW($A$2)+1),ROWS(A$4:A53))),"")</f>
        <v>46071</v>
      </c>
      <c r="B53" s="12" t="str">
        <f t="array" ref="B53">IF(ROWS(B$4:B53)&lt;=$B$2,INDEX(data!A$3:A$106299,SMALL(IF(data!$D$3:$D$106299=$B$1,ROW($A$2:$A$98971)-ROW($A$2)+1),ROWS(B$4:B53))),"")</f>
        <v>каса ФИКТИВНА</v>
      </c>
      <c r="C53" s="12">
        <f t="array" ref="C53">IF(ROWS(C$4:C53)&lt;=$B$2,INDEX(data!B$3:B$106299,SMALL(IF(data!$D$3:$D$106299=$B$1,ROW($A$2:$A$98971)-ROW($A$2)+1),ROWS(C$4:C53))),"")</f>
        <v>-600</v>
      </c>
      <c r="D53" s="12" t="str">
        <f t="array" ref="D53">IF(ROWS(D$4:D53)&lt;=$B$2,INDEX(data!E$3:E$106299,SMALL(IF(data!$D$3:$D$106299=$B$1,ROW($A$2:$A$98971)-ROW($A$2)+1),ROWS(D$4:D53))),"")</f>
        <v>Лили от премиите</v>
      </c>
    </row>
    <row r="54">
      <c r="A54" s="34">
        <f t="array" ref="A54">IF(ROWS(A$4:A54)&lt;=$B$2,INDEX(data!C$3:C$106299,SMALL(IF(data!$D$3:$D$106299=$B$1,ROW($A$2:$A$98971)-ROW($A$2)+1),ROWS(A$4:A54))),"")</f>
        <v>46072</v>
      </c>
      <c r="B54" s="12" t="str">
        <f t="array" ref="B54">IF(ROWS(B$4:B54)&lt;=$B$2,INDEX(data!A$3:A$106299,SMALL(IF(data!$D$3:$D$106299=$B$1,ROW($A$2:$A$98971)-ROW($A$2)+1),ROWS(B$4:B54))),"")</f>
        <v>Банка ПИБ Бакалия</v>
      </c>
      <c r="C54" s="12">
        <f t="array" ref="C54">IF(ROWS(C$4:C54)&lt;=$B$2,INDEX(data!B$3:B$106299,SMALL(IF(data!$D$3:$D$106299=$B$1,ROW($A$2:$A$98971)-ROW($A$2)+1),ROWS(C$4:C54))),"")</f>
        <v>-2000</v>
      </c>
      <c r="D54" s="12" t="str">
        <f t="array" ref="D54">IF(ROWS(D$4:D54)&lt;=$B$2,INDEX(data!E$3:E$106299,SMALL(IF(data!$D$3:$D$106299=$B$1,ROW($A$2:$A$98971)-ROW($A$2)+1),ROWS(D$4:D54))),"")</f>
        <v>банка 16.02</v>
      </c>
    </row>
    <row r="55">
      <c r="A55" s="34">
        <f t="array" ref="A55">IF(ROWS(A$4:A55)&lt;=$B$2,INDEX(data!C$3:C$106299,SMALL(IF(data!$D$3:$D$106299=$B$1,ROW($A$2:$A$98971)-ROW($A$2)+1),ROWS(A$4:A55))),"")</f>
        <v>46072</v>
      </c>
      <c r="B55" s="12" t="str">
        <f t="array" ref="B55">IF(ROWS(B$4:B55)&lt;=$B$2,INDEX(data!A$3:A$106299,SMALL(IF(data!$D$3:$D$106299=$B$1,ROW($A$2:$A$98971)-ROW($A$2)+1),ROWS(B$4:B55))),"")</f>
        <v>Каса ВАУЧЕРИ</v>
      </c>
      <c r="C55" s="12">
        <f t="array" ref="C55">IF(ROWS(C$4:C55)&lt;=$B$2,INDEX(data!B$3:B$106299,SMALL(IF(data!$D$3:$D$106299=$B$1,ROW($A$2:$A$98971)-ROW($A$2)+1),ROWS(C$4:C55))),"")</f>
        <v>-70.4</v>
      </c>
      <c r="D55" s="12" t="str">
        <f t="array" ref="D55">IF(ROWS(D$4:D55)&lt;=$B$2,INDEX(data!E$3:E$106299,SMALL(IF(data!$D$3:$D$106299=$B$1,ROW($A$2:$A$98971)-ROW($A$2)+1),ROWS(D$4:D55))),"")</f>
        <v>за 02.02-08.02</v>
      </c>
    </row>
    <row r="56">
      <c r="A56" s="34">
        <f t="array" ref="A56">IF(ROWS(A$4:A56)&lt;=$B$2,INDEX(data!C$3:C$106299,SMALL(IF(data!$D$3:$D$106299=$B$1,ROW($A$2:$A$98971)-ROW($A$2)+1),ROWS(A$4:A56))),"")</f>
        <v>46072</v>
      </c>
      <c r="B56" s="12" t="str">
        <f t="array" ref="B56">IF(ROWS(B$4:B56)&lt;=$B$2,INDEX(data!A$3:A$106299,SMALL(IF(data!$D$3:$D$106299=$B$1,ROW($A$2:$A$98971)-ROW($A$2)+1),ROWS(B$4:B56))),"")</f>
        <v>Каса ВАУЧЕРИ</v>
      </c>
      <c r="C56" s="12">
        <f t="array" ref="C56">IF(ROWS(C$4:C56)&lt;=$B$2,INDEX(data!B$3:B$106299,SMALL(IF(data!$D$3:$D$106299=$B$1,ROW($A$2:$A$98971)-ROW($A$2)+1),ROWS(C$4:C56))),"")</f>
        <v>-98.56</v>
      </c>
      <c r="D56" s="12" t="str">
        <f t="array" ref="D56">IF(ROWS(D$4:D56)&lt;=$B$2,INDEX(data!E$3:E$106299,SMALL(IF(data!$D$3:$D$106299=$B$1,ROW($A$2:$A$98971)-ROW($A$2)+1),ROWS(D$4:D56))),"")</f>
        <v>за 26.01-01.02</v>
      </c>
    </row>
    <row r="57">
      <c r="A57" s="34">
        <f t="array" ref="A57">IF(ROWS(A$4:A57)&lt;=$B$2,INDEX(data!C$3:C$106299,SMALL(IF(data!$D$3:$D$106299=$B$1,ROW($A$2:$A$98971)-ROW($A$2)+1),ROWS(A$4:A57))),"")</f>
        <v>46073</v>
      </c>
      <c r="B57" s="12" t="str">
        <f t="array" ref="B57">IF(ROWS(B$4:B57)&lt;=$B$2,INDEX(data!A$3:A$106299,SMALL(IF(data!$D$3:$D$106299=$B$1,ROW($A$2:$A$98971)-ROW($A$2)+1),ROWS(B$4:B57))),"")</f>
        <v>КАСОВА КНИГА</v>
      </c>
      <c r="C57" s="12">
        <f t="array" ref="C57">IF(ROWS(C$4:C57)&lt;=$B$2,INDEX(data!B$3:B$106299,SMALL(IF(data!$D$3:$D$106299=$B$1,ROW($A$2:$A$98971)-ROW($A$2)+1),ROWS(C$4:C57))),"")</f>
        <v>-816</v>
      </c>
      <c r="D57" s="12" t="str">
        <f t="array" ref="D57">IF(ROWS(D$4:D57)&lt;=$B$2,INDEX(data!E$3:E$106299,SMALL(IF(data!$D$3:$D$106299=$B$1,ROW($A$2:$A$98971)-ROW($A$2)+1),ROWS(D$4:D57))),"")</f>
        <v>платени банани</v>
      </c>
    </row>
    <row r="58">
      <c r="A58" s="34">
        <f t="array" ref="A58">IF(ROWS(A$4:A58)&lt;=$B$2,INDEX(data!C$3:C$106299,SMALL(IF(data!$D$3:$D$106299=$B$1,ROW($A$2:$A$98971)-ROW($A$2)+1),ROWS(A$4:A58))),"")</f>
        <v>46073</v>
      </c>
      <c r="B58" s="12" t="str">
        <f t="array" ref="B58">IF(ROWS(B$4:B58)&lt;=$B$2,INDEX(data!A$3:A$106299,SMALL(IF(data!$D$3:$D$106299=$B$1,ROW($A$2:$A$98971)-ROW($A$2)+1),ROWS(B$4:B58))),"")</f>
        <v>Каса ВАУЧЕРИ</v>
      </c>
      <c r="C58" s="12">
        <f t="array" ref="C58">IF(ROWS(C$4:C58)&lt;=$B$2,INDEX(data!B$3:B$106299,SMALL(IF(data!$D$3:$D$106299=$B$1,ROW($A$2:$A$98971)-ROW($A$2)+1),ROWS(C$4:C58))),"")</f>
        <v>0</v>
      </c>
      <c r="D58" s="12" t="str">
        <f t="array" ref="D58">IF(ROWS(D$4:D58)&lt;=$B$2,INDEX(data!E$3:E$106299,SMALL(IF(data!$D$3:$D$106299=$B$1,ROW($A$2:$A$98971)-ROW($A$2)+1),ROWS(D$4:D58))),"")</f>
        <v>ваучери персонал</v>
      </c>
    </row>
    <row r="59">
      <c r="A59" s="34">
        <f t="array" ref="A59">IF(ROWS(A$4:A59)&lt;=$B$2,INDEX(data!C$3:C$106299,SMALL(IF(data!$D$3:$D$106299=$B$1,ROW($A$2:$A$98971)-ROW($A$2)+1),ROWS(A$4:A59))),"")</f>
        <v>46073</v>
      </c>
      <c r="B59" s="12" t="str">
        <f t="array" ref="B59">IF(ROWS(B$4:B59)&lt;=$B$2,INDEX(data!A$3:A$106299,SMALL(IF(data!$D$3:$D$106299=$B$1,ROW($A$2:$A$98971)-ROW($A$2)+1),ROWS(B$4:B59))),"")</f>
        <v>Каса ВАУЧЕРИ</v>
      </c>
      <c r="C59" s="12">
        <f t="array" ref="C59">IF(ROWS(C$4:C59)&lt;=$B$2,INDEX(data!B$3:B$106299,SMALL(IF(data!$D$3:$D$106299=$B$1,ROW($A$2:$A$98971)-ROW($A$2)+1),ROWS(C$4:C59))),"")</f>
        <v>1000</v>
      </c>
      <c r="D59" s="12" t="str">
        <f t="array" ref="D59">IF(ROWS(D$4:D59)&lt;=$B$2,INDEX(data!E$3:E$106299,SMALL(IF(data!$D$3:$D$106299=$B$1,ROW($A$2:$A$98971)-ROW($A$2)+1),ROWS(D$4:D59))),"")</f>
        <v>грешно разплатени</v>
      </c>
    </row>
    <row r="60">
      <c r="A60" s="34">
        <f t="array" ref="A60">IF(ROWS(A$4:A60)&lt;=$B$2,INDEX(data!C$3:C$106299,SMALL(IF(data!$D$3:$D$106299=$B$1,ROW($A$2:$A$98971)-ROW($A$2)+1),ROWS(A$4:A60))),"")</f>
        <v>46076</v>
      </c>
      <c r="B60" s="12" t="str">
        <f t="array" ref="B60">IF(ROWS(B$4:B60)&lt;=$B$2,INDEX(data!A$3:A$106299,SMALL(IF(data!$D$3:$D$106299=$B$1,ROW($A$2:$A$98971)-ROW($A$2)+1),ROWS(B$4:B60))),"")</f>
        <v>MYPOS Бакалия</v>
      </c>
      <c r="C60" s="12">
        <f t="array" ref="C60">IF(ROWS(C$4:C60)&lt;=$B$2,INDEX(data!B$3:B$106299,SMALL(IF(data!$D$3:$D$106299=$B$1,ROW($A$2:$A$98971)-ROW($A$2)+1),ROWS(C$4:C60))),"")</f>
        <v>-17401.84</v>
      </c>
      <c r="D60" s="12" t="str">
        <f t="array" ref="D60">IF(ROWS(D$4:D60)&lt;=$B$2,INDEX(data!E$3:E$106299,SMALL(IF(data!$D$3:$D$106299=$B$1,ROW($A$2:$A$98971)-ROW($A$2)+1),ROWS(D$4:D60))),"")</f>
        <v/>
      </c>
    </row>
    <row r="61">
      <c r="A61" s="34">
        <f t="array" ref="A61">IF(ROWS(A$4:A61)&lt;=$B$2,INDEX(data!C$3:C$106299,SMALL(IF(data!$D$3:$D$106299=$B$1,ROW($A$2:$A$98971)-ROW($A$2)+1),ROWS(A$4:A61))),"")</f>
        <v>46076</v>
      </c>
      <c r="B61" s="12" t="str">
        <f t="array" ref="B61">IF(ROWS(B$4:B61)&lt;=$B$2,INDEX(data!A$3:A$106299,SMALL(IF(data!$D$3:$D$106299=$B$1,ROW($A$2:$A$98971)-ROW($A$2)+1),ROWS(B$4:B61))),"")</f>
        <v>КАСОВА КНИГА</v>
      </c>
      <c r="C61" s="12">
        <f t="array" ref="C61">IF(ROWS(C$4:C61)&lt;=$B$2,INDEX(data!B$3:B$106299,SMALL(IF(data!$D$3:$D$106299=$B$1,ROW($A$2:$A$98971)-ROW($A$2)+1),ROWS(C$4:C61))),"")</f>
        <v>-2000</v>
      </c>
      <c r="D61" s="12" t="str">
        <f t="array" ref="D61">IF(ROWS(D$4:D61)&lt;=$B$2,INDEX(data!E$3:E$106299,SMALL(IF(data!$D$3:$D$106299=$B$1,ROW($A$2:$A$98971)-ROW($A$2)+1),ROWS(D$4:D61))),"")</f>
        <v/>
      </c>
    </row>
    <row r="62">
      <c r="A62" s="34">
        <f t="array" ref="A62">IF(ROWS(A$4:A62)&lt;=$B$2,INDEX(data!C$3:C$106299,SMALL(IF(data!$D$3:$D$106299=$B$1,ROW($A$2:$A$98971)-ROW($A$2)+1),ROWS(A$4:A62))),"")</f>
        <v>46077</v>
      </c>
      <c r="B62" s="12" t="str">
        <f t="array" ref="B62">IF(ROWS(B$4:B62)&lt;=$B$2,INDEX(data!A$3:A$106299,SMALL(IF(data!$D$3:$D$106299=$B$1,ROW($A$2:$A$98971)-ROW($A$2)+1),ROWS(B$4:B62))),"")</f>
        <v>КАСОВА КНИГА</v>
      </c>
      <c r="C62" s="12">
        <f t="array" ref="C62">IF(ROWS(C$4:C62)&lt;=$B$2,INDEX(data!B$3:B$106299,SMALL(IF(data!$D$3:$D$106299=$B$1,ROW($A$2:$A$98971)-ROW($A$2)+1),ROWS(C$4:C62))),"")</f>
        <v>-738.34</v>
      </c>
      <c r="D62" s="12" t="str">
        <f t="array" ref="D62">IF(ROWS(D$4:D62)&lt;=$B$2,INDEX(data!E$3:E$106299,SMALL(IF(data!$D$3:$D$106299=$B$1,ROW($A$2:$A$98971)-ROW($A$2)+1),ROWS(D$4:D62))),"")</f>
        <v>платени банани</v>
      </c>
    </row>
    <row r="63">
      <c r="A63" s="34">
        <f t="array" ref="A63">IF(ROWS(A$4:A63)&lt;=$B$2,INDEX(data!C$3:C$106299,SMALL(IF(data!$D$3:$D$106299=$B$1,ROW($A$2:$A$98971)-ROW($A$2)+1),ROWS(A$4:A63))),"")</f>
        <v>46078</v>
      </c>
      <c r="B63" s="12" t="str">
        <f t="array" ref="B63">IF(ROWS(B$4:B63)&lt;=$B$2,INDEX(data!A$3:A$106299,SMALL(IF(data!$D$3:$D$106299=$B$1,ROW($A$2:$A$98971)-ROW($A$2)+1),ROWS(B$4:B63))),"")</f>
        <v>КАСОВА КНИГА</v>
      </c>
      <c r="C63" s="12">
        <f t="array" ref="C63">IF(ROWS(C$4:C63)&lt;=$B$2,INDEX(data!B$3:B$106299,SMALL(IF(data!$D$3:$D$106299=$B$1,ROW($A$2:$A$98971)-ROW($A$2)+1),ROWS(C$4:C63))),"")</f>
        <v>1000</v>
      </c>
      <c r="D63" s="12" t="str">
        <f t="array" ref="D63">IF(ROWS(D$4:D63)&lt;=$B$2,INDEX(data!E$3:E$106299,SMALL(IF(data!$D$3:$D$106299=$B$1,ROW($A$2:$A$98971)-ROW($A$2)+1),ROWS(D$4:D63))),"")</f>
        <v>заем</v>
      </c>
    </row>
    <row r="64">
      <c r="A64" s="34">
        <f t="array" ref="A64">IF(ROWS(A$4:A64)&lt;=$B$2,INDEX(data!C$3:C$106299,SMALL(IF(data!$D$3:$D$106299=$B$1,ROW($A$2:$A$98971)-ROW($A$2)+1),ROWS(A$4:A64))),"")</f>
        <v>46083</v>
      </c>
      <c r="B64" s="12" t="str">
        <f t="array" ref="B64">IF(ROWS(B$4:B64)&lt;=$B$2,INDEX(data!A$3:A$106299,SMALL(IF(data!$D$3:$D$106299=$B$1,ROW($A$2:$A$98971)-ROW($A$2)+1),ROWS(B$4:B64))),"")</f>
        <v>MYPOS Бакалия</v>
      </c>
      <c r="C64" s="12">
        <f t="array" ref="C64">IF(ROWS(C$4:C64)&lt;=$B$2,INDEX(data!B$3:B$106299,SMALL(IF(data!$D$3:$D$106299=$B$1,ROW($A$2:$A$98971)-ROW($A$2)+1),ROWS(C$4:C64))),"")</f>
        <v>-10619.83</v>
      </c>
      <c r="D64" s="12" t="str">
        <f t="array" ref="D64">IF(ROWS(D$4:D64)&lt;=$B$2,INDEX(data!E$3:E$106299,SMALL(IF(data!$D$3:$D$106299=$B$1,ROW($A$2:$A$98971)-ROW($A$2)+1),ROWS(D$4:D64))),"")</f>
        <v/>
      </c>
    </row>
    <row r="65">
      <c r="A65" s="34">
        <f t="array" ref="A65">IF(ROWS(A$4:A65)&lt;=$B$2,INDEX(data!C$3:C$106299,SMALL(IF(data!$D$3:$D$106299=$B$1,ROW($A$2:$A$98971)-ROW($A$2)+1),ROWS(A$4:A65))),"")</f>
        <v>46083</v>
      </c>
      <c r="B65" s="12" t="str">
        <f t="array" ref="B65">IF(ROWS(B$4:B65)&lt;=$B$2,INDEX(data!A$3:A$106299,SMALL(IF(data!$D$3:$D$106299=$B$1,ROW($A$2:$A$98971)-ROW($A$2)+1),ROWS(B$4:B65))),"")</f>
        <v>КАСОВА КНИГА</v>
      </c>
      <c r="C65" s="12">
        <f t="array" ref="C65">IF(ROWS(C$4:C65)&lt;=$B$2,INDEX(data!B$3:B$106299,SMALL(IF(data!$D$3:$D$106299=$B$1,ROW($A$2:$A$98971)-ROW($A$2)+1),ROWS(C$4:C65))),"")</f>
        <v>-1000</v>
      </c>
      <c r="D65" s="12" t="str">
        <f t="array" ref="D65">IF(ROWS(D$4:D65)&lt;=$B$2,INDEX(data!E$3:E$106299,SMALL(IF(data!$D$3:$D$106299=$B$1,ROW($A$2:$A$98971)-ROW($A$2)+1),ROWS(D$4:D65))),"")</f>
        <v/>
      </c>
    </row>
    <row r="66">
      <c r="A66" s="34">
        <f t="array" ref="A66">IF(ROWS(A$4:A66)&lt;=$B$2,INDEX(data!C$3:C$106299,SMALL(IF(data!$D$3:$D$106299=$B$1,ROW($A$2:$A$98971)-ROW($A$2)+1),ROWS(A$4:A66))),"")</f>
        <v>46086</v>
      </c>
      <c r="B66" s="12" t="str">
        <f t="array" ref="B66">IF(ROWS(B$4:B66)&lt;=$B$2,INDEX(data!A$3:A$106299,SMALL(IF(data!$D$3:$D$106299=$B$1,ROW($A$2:$A$98971)-ROW($A$2)+1),ROWS(B$4:B66))),"")</f>
        <v>ЗАЕМ</v>
      </c>
      <c r="C66" s="12">
        <f t="array" ref="C66">IF(ROWS(C$4:C66)&lt;=$B$2,INDEX(data!B$3:B$106299,SMALL(IF(data!$D$3:$D$106299=$B$1,ROW($A$2:$A$98971)-ROW($A$2)+1),ROWS(C$4:C66))),"")</f>
        <v>65155.32</v>
      </c>
      <c r="D66" s="12" t="str">
        <f t="array" ref="D66">IF(ROWS(D$4:D66)&lt;=$B$2,INDEX(data!E$3:E$106299,SMALL(IF(data!$D$3:$D$106299=$B$1,ROW($A$2:$A$98971)-ROW($A$2)+1),ROWS(D$4:D66))),"")</f>
        <v>Салдо склад + вътр. п-не</v>
      </c>
    </row>
    <row r="67">
      <c r="A67" s="34">
        <f t="array" ref="A67">IF(ROWS(A$4:A67)&lt;=$B$2,INDEX(data!C$3:C$106299,SMALL(IF(data!$D$3:$D$106299=$B$1,ROW($A$2:$A$98971)-ROW($A$2)+1),ROWS(A$4:A67))),"")</f>
        <v>46087</v>
      </c>
      <c r="B67" s="12" t="str">
        <f t="array" ref="B67">IF(ROWS(B$4:B67)&lt;=$B$2,INDEX(data!A$3:A$106299,SMALL(IF(data!$D$3:$D$106299=$B$1,ROW($A$2:$A$98971)-ROW($A$2)+1),ROWS(B$4:B67))),"")</f>
        <v>КАСОВА КНИГА</v>
      </c>
      <c r="C67" s="12">
        <f t="array" ref="C67">IF(ROWS(C$4:C67)&lt;=$B$2,INDEX(data!B$3:B$106299,SMALL(IF(data!$D$3:$D$106299=$B$1,ROW($A$2:$A$98971)-ROW($A$2)+1),ROWS(C$4:C67))),"")</f>
        <v>-763.8</v>
      </c>
      <c r="D67" s="12" t="str">
        <f t="array" ref="D67">IF(ROWS(D$4:D67)&lt;=$B$2,INDEX(data!E$3:E$106299,SMALL(IF(data!$D$3:$D$106299=$B$1,ROW($A$2:$A$98971)-ROW($A$2)+1),ROWS(D$4:D67))),"")</f>
        <v>платени банани</v>
      </c>
    </row>
    <row r="68">
      <c r="A68" s="34">
        <f t="array" ref="A68">IF(ROWS(A$4:A68)&lt;=$B$2,INDEX(data!C$3:C$106299,SMALL(IF(data!$D$3:$D$106299=$B$1,ROW($A$2:$A$98971)-ROW($A$2)+1),ROWS(A$4:A68))),"")</f>
        <v>46087</v>
      </c>
      <c r="B68" s="12" t="str">
        <f t="array" ref="B68">IF(ROWS(B$4:B68)&lt;=$B$2,INDEX(data!A$3:A$106299,SMALL(IF(data!$D$3:$D$106299=$B$1,ROW($A$2:$A$98971)-ROW($A$2)+1),ROWS(B$4:B68))),"")</f>
        <v>Каса ВАУЧЕРИ</v>
      </c>
      <c r="C68" s="12">
        <f t="array" ref="C68">IF(ROWS(C$4:C68)&lt;=$B$2,INDEX(data!B$3:B$106299,SMALL(IF(data!$D$3:$D$106299=$B$1,ROW($A$2:$A$98971)-ROW($A$2)+1),ROWS(C$4:C68))),"")</f>
        <v>-44.2</v>
      </c>
      <c r="D68" s="12" t="str">
        <f t="array" ref="D68">IF(ROWS(D$4:D68)&lt;=$B$2,INDEX(data!E$3:E$106299,SMALL(IF(data!$D$3:$D$106299=$B$1,ROW($A$2:$A$98971)-ROW($A$2)+1),ROWS(D$4:D68))),"")</f>
        <v>за 09-15.02</v>
      </c>
    </row>
    <row r="69">
      <c r="A69" s="34">
        <f t="array" ref="A69">IF(ROWS(A$4:A69)&lt;=$B$2,INDEX(data!C$3:C$106299,SMALL(IF(data!$D$3:$D$106299=$B$1,ROW($A$2:$A$98971)-ROW($A$2)+1),ROWS(A$4:A69))),"")</f>
        <v>46087</v>
      </c>
      <c r="B69" s="12" t="str">
        <f t="array" ref="B69">IF(ROWS(B$4:B69)&lt;=$B$2,INDEX(data!A$3:A$106299,SMALL(IF(data!$D$3:$D$106299=$B$1,ROW($A$2:$A$98971)-ROW($A$2)+1),ROWS(B$4:B69))),"")</f>
        <v>Каса ВАУЧЕРИ</v>
      </c>
      <c r="C69" s="12">
        <f t="array" ref="C69">IF(ROWS(C$4:C69)&lt;=$B$2,INDEX(data!B$3:B$106299,SMALL(IF(data!$D$3:$D$106299=$B$1,ROW($A$2:$A$98971)-ROW($A$2)+1),ROWS(C$4:C69))),"")</f>
        <v>-70</v>
      </c>
      <c r="D69" s="12" t="str">
        <f t="array" ref="D69">IF(ROWS(D$4:D69)&lt;=$B$2,INDEX(data!E$3:E$106299,SMALL(IF(data!$D$3:$D$106299=$B$1,ROW($A$2:$A$98971)-ROW($A$2)+1),ROWS(D$4:D69))),"")</f>
        <v>за 16-22.02</v>
      </c>
    </row>
    <row r="70">
      <c r="A70" s="34">
        <f t="array" ref="A70">IF(ROWS(A$4:A70)&lt;=$B$2,INDEX(data!C$3:C$106299,SMALL(IF(data!$D$3:$D$106299=$B$1,ROW($A$2:$A$98971)-ROW($A$2)+1),ROWS(A$4:A70))),"")</f>
        <v>46090</v>
      </c>
      <c r="B70" s="12" t="str">
        <f t="array" ref="B70">IF(ROWS(B$4:B70)&lt;=$B$2,INDEX(data!A$3:A$106299,SMALL(IF(data!$D$3:$D$106299=$B$1,ROW($A$2:$A$98971)-ROW($A$2)+1),ROWS(B$4:B70))),"")</f>
        <v>MYPOS Бакалия</v>
      </c>
      <c r="C70" s="12">
        <f t="array" ref="C70">IF(ROWS(C$4:C70)&lt;=$B$2,INDEX(data!B$3:B$106299,SMALL(IF(data!$D$3:$D$106299=$B$1,ROW($A$2:$A$98971)-ROW($A$2)+1),ROWS(C$4:C70))),"")</f>
        <v>-9800.03</v>
      </c>
      <c r="D70" s="12" t="str">
        <f t="array" ref="D70">IF(ROWS(D$4:D70)&lt;=$B$2,INDEX(data!E$3:E$106299,SMALL(IF(data!$D$3:$D$106299=$B$1,ROW($A$2:$A$98971)-ROW($A$2)+1),ROWS(D$4:D70))),"")</f>
        <v/>
      </c>
    </row>
    <row r="71">
      <c r="A71" s="34">
        <f t="array" ref="A71">IF(ROWS(A$4:A71)&lt;=$B$2,INDEX(data!C$3:C$106299,SMALL(IF(data!$D$3:$D$106299=$B$1,ROW($A$2:$A$98971)-ROW($A$2)+1),ROWS(A$4:A71))),"")</f>
        <v>46090</v>
      </c>
      <c r="B71" s="12" t="str">
        <f t="array" ref="B71">IF(ROWS(B$4:B71)&lt;=$B$2,INDEX(data!A$3:A$106299,SMALL(IF(data!$D$3:$D$106299=$B$1,ROW($A$2:$A$98971)-ROW($A$2)+1),ROWS(B$4:B71))),"")</f>
        <v>ПроКредит бакал</v>
      </c>
      <c r="C71" s="12">
        <f t="array" ref="C71">IF(ROWS(C$4:C71)&lt;=$B$2,INDEX(data!B$3:B$106299,SMALL(IF(data!$D$3:$D$106299=$B$1,ROW($A$2:$A$98971)-ROW($A$2)+1),ROWS(C$4:C71))),"")</f>
        <v>-10720.99</v>
      </c>
      <c r="D71" s="12" t="str">
        <f t="array" ref="D71">IF(ROWS(D$4:D71)&lt;=$B$2,INDEX(data!E$3:E$106299,SMALL(IF(data!$D$3:$D$106299=$B$1,ROW($A$2:$A$98971)-ROW($A$2)+1),ROWS(D$4:D71))),"")</f>
        <v/>
      </c>
    </row>
    <row r="72">
      <c r="A72" s="34">
        <f t="array" ref="A72">IF(ROWS(A$4:A72)&lt;=$B$2,INDEX(data!C$3:C$106299,SMALL(IF(data!$D$3:$D$106299=$B$1,ROW($A$2:$A$98971)-ROW($A$2)+1),ROWS(A$4:A72))),"")</f>
        <v>46091</v>
      </c>
      <c r="B72" s="12" t="str">
        <f t="array" ref="B72">IF(ROWS(B$4:B72)&lt;=$B$2,INDEX(data!A$3:A$106299,SMALL(IF(data!$D$3:$D$106299=$B$1,ROW($A$2:$A$98971)-ROW($A$2)+1),ROWS(B$4:B72))),"")</f>
        <v>КАСОВА КНИГА</v>
      </c>
      <c r="C72" s="12">
        <f t="array" ref="C72">IF(ROWS(C$4:C72)&lt;=$B$2,INDEX(data!B$3:B$106299,SMALL(IF(data!$D$3:$D$106299=$B$1,ROW($A$2:$A$98971)-ROW($A$2)+1),ROWS(C$4:C72))),"")</f>
        <v>-687.42</v>
      </c>
      <c r="D72" s="12" t="str">
        <f t="array" ref="D72">IF(ROWS(D$4:D72)&lt;=$B$2,INDEX(data!E$3:E$106299,SMALL(IF(data!$D$3:$D$106299=$B$1,ROW($A$2:$A$98971)-ROW($A$2)+1),ROWS(D$4:D72))),"")</f>
        <v>платени банани</v>
      </c>
    </row>
    <row r="73">
      <c r="A73" s="34">
        <f t="array" ref="A73">IF(ROWS(A$4:A73)&lt;=$B$2,INDEX(data!C$3:C$106299,SMALL(IF(data!$D$3:$D$106299=$B$1,ROW($A$2:$A$98971)-ROW($A$2)+1),ROWS(A$4:A73))),"")</f>
        <v>46094</v>
      </c>
      <c r="B73" s="12" t="str">
        <f t="array" ref="B73">IF(ROWS(B$4:B73)&lt;=$B$2,INDEX(data!A$3:A$106299,SMALL(IF(data!$D$3:$D$106299=$B$1,ROW($A$2:$A$98971)-ROW($A$2)+1),ROWS(B$4:B73))),"")</f>
        <v>КАСОВА КНИГА</v>
      </c>
      <c r="C73" s="12">
        <f t="array" ref="C73">IF(ROWS(C$4:C73)&lt;=$B$2,INDEX(data!B$3:B$106299,SMALL(IF(data!$D$3:$D$106299=$B$1,ROW($A$2:$A$98971)-ROW($A$2)+1),ROWS(C$4:C73))),"")</f>
        <v>-789.26</v>
      </c>
      <c r="D73" s="12" t="str">
        <f t="array" ref="D73">IF(ROWS(D$4:D73)&lt;=$B$2,INDEX(data!E$3:E$106299,SMALL(IF(data!$D$3:$D$106299=$B$1,ROW($A$2:$A$98971)-ROW($A$2)+1),ROWS(D$4:D73))),"")</f>
        <v>платени банани</v>
      </c>
    </row>
    <row r="74">
      <c r="A74" s="34">
        <f t="array" ref="A74">IF(ROWS(A$4:A74)&lt;=$B$2,INDEX(data!C$3:C$106299,SMALL(IF(data!$D$3:$D$106299=$B$1,ROW($A$2:$A$98971)-ROW($A$2)+1),ROWS(A$4:A74))),"")</f>
        <v>46097</v>
      </c>
      <c r="B74" s="12" t="str">
        <f t="array" ref="B74">IF(ROWS(B$4:B74)&lt;=$B$2,INDEX(data!A$3:A$106299,SMALL(IF(data!$D$3:$D$106299=$B$1,ROW($A$2:$A$98971)-ROW($A$2)+1),ROWS(B$4:B74))),"")</f>
        <v>MYPOS Бакалия</v>
      </c>
      <c r="C74" s="12">
        <f t="array" ref="C74">IF(ROWS(C$4:C74)&lt;=$B$2,INDEX(data!B$3:B$106299,SMALL(IF(data!$D$3:$D$106299=$B$1,ROW($A$2:$A$98971)-ROW($A$2)+1),ROWS(C$4:C74))),"")</f>
        <v>-17200.28</v>
      </c>
      <c r="D74" s="12" t="str">
        <f t="array" ref="D74">IF(ROWS(D$4:D74)&lt;=$B$2,INDEX(data!E$3:E$106299,SMALL(IF(data!$D$3:$D$106299=$B$1,ROW($A$2:$A$98971)-ROW($A$2)+1),ROWS(D$4:D74))),"")</f>
        <v/>
      </c>
    </row>
    <row r="75">
      <c r="A75" s="34">
        <f t="array" ref="A75">IF(ROWS(A$4:A75)&lt;=$B$2,INDEX(data!C$3:C$106299,SMALL(IF(data!$D$3:$D$106299=$B$1,ROW($A$2:$A$98971)-ROW($A$2)+1),ROWS(A$4:A75))),"")</f>
        <v>46097</v>
      </c>
      <c r="B75" s="12" t="str">
        <f t="array" ref="B75">IF(ROWS(B$4:B75)&lt;=$B$2,INDEX(data!A$3:A$106299,SMALL(IF(data!$D$3:$D$106299=$B$1,ROW($A$2:$A$98971)-ROW($A$2)+1),ROWS(B$4:B75))),"")</f>
        <v>КАСОВА КНИГА</v>
      </c>
      <c r="C75" s="12">
        <f t="array" ref="C75">IF(ROWS(C$4:C75)&lt;=$B$2,INDEX(data!B$3:B$106299,SMALL(IF(data!$D$3:$D$106299=$B$1,ROW($A$2:$A$98971)-ROW($A$2)+1),ROWS(C$4:C75))),"")</f>
        <v>-2000</v>
      </c>
      <c r="D75" s="12" t="str">
        <f t="array" ref="D75">IF(ROWS(D$4:D75)&lt;=$B$2,INDEX(data!E$3:E$106299,SMALL(IF(data!$D$3:$D$106299=$B$1,ROW($A$2:$A$98971)-ROW($A$2)+1),ROWS(D$4:D75))),"")</f>
        <v/>
      </c>
    </row>
    <row r="76">
      <c r="A76" s="34">
        <f t="array" ref="A76">IF(ROWS(A$4:A76)&lt;=$B$2,INDEX(data!C$3:C$106299,SMALL(IF(data!$D$3:$D$106299=$B$1,ROW($A$2:$A$98971)-ROW($A$2)+1),ROWS(A$4:A76))),"")</f>
        <v>46098</v>
      </c>
      <c r="B76" s="12" t="str">
        <f t="array" ref="B76">IF(ROWS(B$4:B76)&lt;=$B$2,INDEX(data!A$3:A$106299,SMALL(IF(data!$D$3:$D$106299=$B$1,ROW($A$2:$A$98971)-ROW($A$2)+1),ROWS(B$4:B76))),"")</f>
        <v>КАСОВА КНИГА</v>
      </c>
      <c r="C76" s="12">
        <f t="array" ref="C76">IF(ROWS(C$4:C76)&lt;=$B$2,INDEX(data!B$3:B$106299,SMALL(IF(data!$D$3:$D$106299=$B$1,ROW($A$2:$A$98971)-ROW($A$2)+1),ROWS(C$4:C76))),"")</f>
        <v>-611.04</v>
      </c>
      <c r="D76" s="12" t="str">
        <f t="array" ref="D76">IF(ROWS(D$4:D76)&lt;=$B$2,INDEX(data!E$3:E$106299,SMALL(IF(data!$D$3:$D$106299=$B$1,ROW($A$2:$A$98971)-ROW($A$2)+1),ROWS(D$4:D76))),"")</f>
        <v>платени банани</v>
      </c>
    </row>
    <row r="77">
      <c r="A77" s="34">
        <f t="array" ref="A77">IF(ROWS(A$4:A77)&lt;=$B$2,INDEX(data!C$3:C$106299,SMALL(IF(data!$D$3:$D$106299=$B$1,ROW($A$2:$A$98971)-ROW($A$2)+1),ROWS(A$4:A77))),"")</f>
        <v>46101</v>
      </c>
      <c r="B77" s="12" t="str">
        <f t="array" ref="B77">IF(ROWS(B$4:B77)&lt;=$B$2,INDEX(data!A$3:A$106299,SMALL(IF(data!$D$3:$D$106299=$B$1,ROW($A$2:$A$98971)-ROW($A$2)+1),ROWS(B$4:B77))),"")</f>
        <v>КАСОВА КНИГА</v>
      </c>
      <c r="C77" s="12">
        <f t="array" ref="C77">IF(ROWS(C$4:C77)&lt;=$B$2,INDEX(data!B$3:B$106299,SMALL(IF(data!$D$3:$D$106299=$B$1,ROW($A$2:$A$98971)-ROW($A$2)+1),ROWS(C$4:C77))),"")</f>
        <v>-789.26</v>
      </c>
      <c r="D77" s="12" t="str">
        <f t="array" ref="D77">IF(ROWS(D$4:D77)&lt;=$B$2,INDEX(data!E$3:E$106299,SMALL(IF(data!$D$3:$D$106299=$B$1,ROW($A$2:$A$98971)-ROW($A$2)+1),ROWS(D$4:D77))),"")</f>
        <v>платени банани</v>
      </c>
    </row>
    <row r="78">
      <c r="A78" s="34">
        <f t="array" ref="A78">IF(ROWS(A$4:A78)&lt;=$B$2,INDEX(data!C$3:C$106299,SMALL(IF(data!$D$3:$D$106299=$B$1,ROW($A$2:$A$98971)-ROW($A$2)+1),ROWS(A$4:A78))),"")</f>
        <v>46101</v>
      </c>
      <c r="B78" s="12" t="str">
        <f t="array" ref="B78">IF(ROWS(B$4:B78)&lt;=$B$2,INDEX(data!A$3:A$106299,SMALL(IF(data!$D$3:$D$106299=$B$1,ROW($A$2:$A$98971)-ROW($A$2)+1),ROWS(B$4:B78))),"")</f>
        <v>Каса ВАУЧЕРИ</v>
      </c>
      <c r="C78" s="12">
        <f t="array" ref="C78">IF(ROWS(C$4:C78)&lt;=$B$2,INDEX(data!B$3:B$106299,SMALL(IF(data!$D$3:$D$106299=$B$1,ROW($A$2:$A$98971)-ROW($A$2)+1),ROWS(C$4:C78))),"")</f>
        <v>-77</v>
      </c>
      <c r="D78" s="12" t="str">
        <f t="array" ref="D78">IF(ROWS(D$4:D78)&lt;=$B$2,INDEX(data!E$3:E$106299,SMALL(IF(data!$D$3:$D$106299=$B$1,ROW($A$2:$A$98971)-ROW($A$2)+1),ROWS(D$4:D78))),"")</f>
        <v>от 02-08.03</v>
      </c>
    </row>
    <row r="79">
      <c r="A79" s="34">
        <f t="array" ref="A79">IF(ROWS(A$4:A79)&lt;=$B$2,INDEX(data!C$3:C$106299,SMALL(IF(data!$D$3:$D$106299=$B$1,ROW($A$2:$A$98971)-ROW($A$2)+1),ROWS(A$4:A79))),"")</f>
        <v>46101</v>
      </c>
      <c r="B79" s="12" t="str">
        <f t="array" ref="B79">IF(ROWS(B$4:B79)&lt;=$B$2,INDEX(data!A$3:A$106299,SMALL(IF(data!$D$3:$D$106299=$B$1,ROW($A$2:$A$98971)-ROW($A$2)+1),ROWS(B$4:B79))),"")</f>
        <v>Каса ВАУЧЕРИ</v>
      </c>
      <c r="C79" s="12">
        <f t="array" ref="C79">IF(ROWS(C$4:C79)&lt;=$B$2,INDEX(data!B$3:B$106299,SMALL(IF(data!$D$3:$D$106299=$B$1,ROW($A$2:$A$98971)-ROW($A$2)+1),ROWS(C$4:C79))),"")</f>
        <v>-10</v>
      </c>
      <c r="D79" s="12" t="str">
        <f t="array" ref="D79">IF(ROWS(D$4:D79)&lt;=$B$2,INDEX(data!E$3:E$106299,SMALL(IF(data!$D$3:$D$106299=$B$1,ROW($A$2:$A$98971)-ROW($A$2)+1),ROWS(D$4:D79))),"")</f>
        <v>от 09-15.02</v>
      </c>
    </row>
    <row r="80">
      <c r="A80" s="34">
        <f t="array" ref="A80">IF(ROWS(A$4:A80)&lt;=$B$2,INDEX(data!C$3:C$106299,SMALL(IF(data!$D$3:$D$106299=$B$1,ROW($A$2:$A$98971)-ROW($A$2)+1),ROWS(A$4:A80))),"")</f>
        <v>46104</v>
      </c>
      <c r="B80" s="12" t="str">
        <f t="array" ref="B80">IF(ROWS(B$4:B80)&lt;=$B$2,INDEX(data!A$3:A$106299,SMALL(IF(data!$D$3:$D$106299=$B$1,ROW($A$2:$A$98971)-ROW($A$2)+1),ROWS(B$4:B80))),"")</f>
        <v>MYPOS Бакалия</v>
      </c>
      <c r="C80" s="12">
        <f t="array" ref="C80">IF(ROWS(C$4:C80)&lt;=$B$2,INDEX(data!B$3:B$106299,SMALL(IF(data!$D$3:$D$106299=$B$1,ROW($A$2:$A$98971)-ROW($A$2)+1),ROWS(C$4:C80))),"")</f>
        <v>-17543.812</v>
      </c>
      <c r="D80" s="12" t="str">
        <f t="array" ref="D80">IF(ROWS(D$4:D80)&lt;=$B$2,INDEX(data!E$3:E$106299,SMALL(IF(data!$D$3:$D$106299=$B$1,ROW($A$2:$A$98971)-ROW($A$2)+1),ROWS(D$4:D80))),"")</f>
        <v/>
      </c>
    </row>
    <row r="81">
      <c r="A81" s="34">
        <f t="array" ref="A81">IF(ROWS(A$4:A81)&lt;=$B$2,INDEX(data!C$3:C$106299,SMALL(IF(data!$D$3:$D$106299=$B$1,ROW($A$2:$A$98971)-ROW($A$2)+1),ROWS(A$4:A81))),"")</f>
        <v>46104</v>
      </c>
      <c r="B81" s="12" t="str">
        <f t="array" ref="B81">IF(ROWS(B$4:B81)&lt;=$B$2,INDEX(data!A$3:A$106299,SMALL(IF(data!$D$3:$D$106299=$B$1,ROW($A$2:$A$98971)-ROW($A$2)+1),ROWS(B$4:B81))),"")</f>
        <v>КАСОВА КНИГА</v>
      </c>
      <c r="C81" s="12">
        <f t="array" ref="C81">IF(ROWS(C$4:C81)&lt;=$B$2,INDEX(data!B$3:B$106299,SMALL(IF(data!$D$3:$D$106299=$B$1,ROW($A$2:$A$98971)-ROW($A$2)+1),ROWS(C$4:C81))),"")</f>
        <v>2000</v>
      </c>
      <c r="D81" s="12" t="str">
        <f t="array" ref="D81">IF(ROWS(D$4:D81)&lt;=$B$2,INDEX(data!E$3:E$106299,SMALL(IF(data!$D$3:$D$106299=$B$1,ROW($A$2:$A$98971)-ROW($A$2)+1),ROWS(D$4:D81))),"")</f>
        <v>заем</v>
      </c>
    </row>
    <row r="82">
      <c r="A82" s="34">
        <f t="array" ref="A82">IF(ROWS(A$4:A82)&lt;=$B$2,INDEX(data!C$3:C$106299,SMALL(IF(data!$D$3:$D$106299=$B$1,ROW($A$2:$A$98971)-ROW($A$2)+1),ROWS(A$4:A82))),"")</f>
        <v>46104</v>
      </c>
      <c r="B82" s="12" t="str">
        <f t="array" ref="B82">IF(ROWS(B$4:B82)&lt;=$B$2,INDEX(data!A$3:A$106299,SMALL(IF(data!$D$3:$D$106299=$B$1,ROW($A$2:$A$98971)-ROW($A$2)+1),ROWS(B$4:B82))),"")</f>
        <v>Каса ВАУЧЕРИ</v>
      </c>
      <c r="C82" s="12">
        <f t="array" ref="C82">IF(ROWS(C$4:C82)&lt;=$B$2,INDEX(data!B$3:B$106299,SMALL(IF(data!$D$3:$D$106299=$B$1,ROW($A$2:$A$98971)-ROW($A$2)+1),ROWS(C$4:C82))),"")</f>
        <v>1000</v>
      </c>
      <c r="D82" s="12" t="str">
        <f t="array" ref="D82">IF(ROWS(D$4:D82)&lt;=$B$2,INDEX(data!E$3:E$106299,SMALL(IF(data!$D$3:$D$106299=$B$1,ROW($A$2:$A$98971)-ROW($A$2)+1),ROWS(D$4:D82))),"")</f>
        <v>ваучери персонал</v>
      </c>
    </row>
    <row r="83">
      <c r="A83" s="34">
        <f t="array" ref="A83">IF(ROWS(A$4:A83)&lt;=$B$2,INDEX(data!C$3:C$106299,SMALL(IF(data!$D$3:$D$106299=$B$1,ROW($A$2:$A$98971)-ROW($A$2)+1),ROWS(A$4:A83))),"")</f>
        <v>46105</v>
      </c>
      <c r="B83" s="12" t="str">
        <f t="array" ref="B83">IF(ROWS(B$4:B83)&lt;=$B$2,INDEX(data!A$3:A$106299,SMALL(IF(data!$D$3:$D$106299=$B$1,ROW($A$2:$A$98971)-ROW($A$2)+1),ROWS(B$4:B83))),"")</f>
        <v>КАСОВА КНИГА</v>
      </c>
      <c r="C83" s="12">
        <f t="array" ref="C83">IF(ROWS(C$4:C83)&lt;=$B$2,INDEX(data!B$3:B$106299,SMALL(IF(data!$D$3:$D$106299=$B$1,ROW($A$2:$A$98971)-ROW($A$2)+1),ROWS(C$4:C83))),"")</f>
        <v>-726.18</v>
      </c>
      <c r="D83" s="12" t="str">
        <f t="array" ref="D83">IF(ROWS(D$4:D83)&lt;=$B$2,INDEX(data!E$3:E$106299,SMALL(IF(data!$D$3:$D$106299=$B$1,ROW($A$2:$A$98971)-ROW($A$2)+1),ROWS(D$4:D83))),"")</f>
        <v>платени банани</v>
      </c>
    </row>
    <row r="84">
      <c r="A84" s="34">
        <f t="array" ref="A84">IF(ROWS(A$4:A84)&lt;=$B$2,INDEX(data!C$3:C$106299,SMALL(IF(data!$D$3:$D$106299=$B$1,ROW($A$2:$A$98971)-ROW($A$2)+1),ROWS(A$4:A84))),"")</f>
        <v>46108</v>
      </c>
      <c r="B84" s="12" t="str">
        <f t="array" ref="B84">IF(ROWS(B$4:B84)&lt;=$B$2,INDEX(data!A$3:A$106299,SMALL(IF(data!$D$3:$D$106299=$B$1,ROW($A$2:$A$98971)-ROW($A$2)+1),ROWS(B$4:B84))),"")</f>
        <v>КАСОВА КНИГА</v>
      </c>
      <c r="C84" s="12">
        <f t="array" ref="C84">IF(ROWS(C$4:C84)&lt;=$B$2,INDEX(data!B$3:B$106299,SMALL(IF(data!$D$3:$D$106299=$B$1,ROW($A$2:$A$98971)-ROW($A$2)+1),ROWS(C$4:C84))),"")</f>
        <v>-754.87</v>
      </c>
      <c r="D84" s="12" t="str">
        <f t="array" ref="D84">IF(ROWS(D$4:D84)&lt;=$B$2,INDEX(data!E$3:E$106299,SMALL(IF(data!$D$3:$D$106299=$B$1,ROW($A$2:$A$98971)-ROW($A$2)+1),ROWS(D$4:D84))),"")</f>
        <v>платени банани</v>
      </c>
    </row>
    <row r="85">
      <c r="A85" s="34">
        <f t="array" ref="A85">IF(ROWS(A$4:A85)&lt;=$B$2,INDEX(data!C$3:C$106299,SMALL(IF(data!$D$3:$D$106299=$B$1,ROW($A$2:$A$98971)-ROW($A$2)+1),ROWS(A$4:A85))),"")</f>
        <v>46111</v>
      </c>
      <c r="B85" s="12" t="str">
        <f t="array" ref="B85">IF(ROWS(B$4:B85)&lt;=$B$2,INDEX(data!A$3:A$106299,SMALL(IF(data!$D$3:$D$106299=$B$1,ROW($A$2:$A$98971)-ROW($A$2)+1),ROWS(B$4:B85))),"")</f>
        <v>MYPOS Бакалия</v>
      </c>
      <c r="C85" s="12">
        <f t="array" ref="C85">IF(ROWS(C$4:C85)&lt;=$B$2,INDEX(data!B$3:B$106299,SMALL(IF(data!$D$3:$D$106299=$B$1,ROW($A$2:$A$98971)-ROW($A$2)+1),ROWS(C$4:C85))),"")</f>
        <v>-16554.82</v>
      </c>
      <c r="D85" s="12" t="str">
        <f t="array" ref="D85">IF(ROWS(D$4:D85)&lt;=$B$2,INDEX(data!E$3:E$106299,SMALL(IF(data!$D$3:$D$106299=$B$1,ROW($A$2:$A$98971)-ROW($A$2)+1),ROWS(D$4:D85))),"")</f>
        <v/>
      </c>
    </row>
    <row r="86">
      <c r="A86" s="34">
        <f t="array" ref="A86">IF(ROWS(A$4:A86)&lt;=$B$2,INDEX(data!C$3:C$106299,SMALL(IF(data!$D$3:$D$106299=$B$1,ROW($A$2:$A$98971)-ROW($A$2)+1),ROWS(A$4:A86))),"")</f>
        <v>46111</v>
      </c>
      <c r="B86" s="12" t="str">
        <f t="array" ref="B86">IF(ROWS(B$4:B86)&lt;=$B$2,INDEX(data!A$3:A$106299,SMALL(IF(data!$D$3:$D$106299=$B$1,ROW($A$2:$A$98971)-ROW($A$2)+1),ROWS(B$4:B86))),"")</f>
        <v>КАСОВА КНИГА</v>
      </c>
      <c r="C86" s="12">
        <f t="array" ref="C86">IF(ROWS(C$4:C86)&lt;=$B$2,INDEX(data!B$3:B$106299,SMALL(IF(data!$D$3:$D$106299=$B$1,ROW($A$2:$A$98971)-ROW($A$2)+1),ROWS(C$4:C86))),"")</f>
        <v>3000</v>
      </c>
      <c r="D86" s="12" t="str">
        <f t="array" ref="D86">IF(ROWS(D$4:D86)&lt;=$B$2,INDEX(data!E$3:E$106299,SMALL(IF(data!$D$3:$D$106299=$B$1,ROW($A$2:$A$98971)-ROW($A$2)+1),ROWS(D$4:D86))),"")</f>
        <v>заем</v>
      </c>
    </row>
    <row r="87">
      <c r="A87" s="34">
        <f t="array" ref="A87">IF(ROWS(A$4:A87)&lt;=$B$2,INDEX(data!C$3:C$106299,SMALL(IF(data!$D$3:$D$106299=$B$1,ROW($A$2:$A$98971)-ROW($A$2)+1),ROWS(A$4:A87))),"")</f>
        <v>46112</v>
      </c>
      <c r="B87" s="12" t="str">
        <f t="array" ref="B87">IF(ROWS(B$4:B87)&lt;=$B$2,INDEX(data!A$3:A$106299,SMALL(IF(data!$D$3:$D$106299=$B$1,ROW($A$2:$A$98971)-ROW($A$2)+1),ROWS(B$4:B87))),"")</f>
        <v>КАСОВА КНИГА</v>
      </c>
      <c r="C87" s="12">
        <f t="array" ref="C87">IF(ROWS(C$4:C87)&lt;=$B$2,INDEX(data!B$3:B$106299,SMALL(IF(data!$D$3:$D$106299=$B$1,ROW($A$2:$A$98971)-ROW($A$2)+1),ROWS(C$4:C87))),"")</f>
        <v>-676.78</v>
      </c>
      <c r="D87" s="12" t="str">
        <f t="array" ref="D87">IF(ROWS(D$4:D87)&lt;=$B$2,INDEX(data!E$3:E$106299,SMALL(IF(data!$D$3:$D$106299=$B$1,ROW($A$2:$A$98971)-ROW($A$2)+1),ROWS(D$4:D87))),"")</f>
        <v>платени банани</v>
      </c>
    </row>
    <row r="88">
      <c r="A88" s="34">
        <f t="array" ref="A88">IF(ROWS(A$4:A88)&lt;=$B$2,INDEX(data!C$3:C$106299,SMALL(IF(data!$D$3:$D$106299=$B$1,ROW($A$2:$A$98971)-ROW($A$2)+1),ROWS(A$4:A88))),"")</f>
        <v>46112</v>
      </c>
      <c r="B88" s="12" t="str">
        <f t="array" ref="B88">IF(ROWS(B$4:B88)&lt;=$B$2,INDEX(data!A$3:A$106299,SMALL(IF(data!$D$3:$D$106299=$B$1,ROW($A$2:$A$98971)-ROW($A$2)+1),ROWS(B$4:B88))),"")</f>
        <v>ЗАЕМ</v>
      </c>
      <c r="C88" s="12">
        <f t="array" ref="C88">IF(ROWS(C$4:C88)&lt;=$B$2,INDEX(data!B$3:B$106299,SMALL(IF(data!$D$3:$D$106299=$B$1,ROW($A$2:$A$98971)-ROW($A$2)+1),ROWS(C$4:C88))),"")</f>
        <v>55242.35</v>
      </c>
      <c r="D88" s="12" t="str">
        <f t="array" ref="D88">IF(ROWS(D$4:D88)&lt;=$B$2,INDEX(data!E$3:E$106299,SMALL(IF(data!$D$3:$D$106299=$B$1,ROW($A$2:$A$98971)-ROW($A$2)+1),ROWS(D$4:D88))),"")</f>
        <v>Салдо склад + вътр</v>
      </c>
    </row>
    <row r="89">
      <c r="A89" s="34">
        <f t="array" ref="A89">IF(ROWS(A$4:A89)&lt;=$B$2,INDEX(data!C$3:C$106299,SMALL(IF(data!$D$3:$D$106299=$B$1,ROW($A$2:$A$98971)-ROW($A$2)+1),ROWS(A$4:A89))),"")</f>
        <v>46113</v>
      </c>
      <c r="B89" s="12" t="str">
        <f t="array" ref="B89">IF(ROWS(B$4:B89)&lt;=$B$2,INDEX(data!A$3:A$106299,SMALL(IF(data!$D$3:$D$106299=$B$1,ROW($A$2:$A$98971)-ROW($A$2)+1),ROWS(B$4:B89))),"")</f>
        <v>КАСОВА КНИГА</v>
      </c>
      <c r="C89" s="12">
        <f t="array" ref="C89">IF(ROWS(C$4:C89)&lt;=$B$2,INDEX(data!B$3:B$106299,SMALL(IF(data!$D$3:$D$106299=$B$1,ROW($A$2:$A$98971)-ROW($A$2)+1),ROWS(C$4:C89))),"")</f>
        <v>1000</v>
      </c>
      <c r="D89" s="12" t="str">
        <f t="array" ref="D89">IF(ROWS(D$4:D89)&lt;=$B$2,INDEX(data!E$3:E$106299,SMALL(IF(data!$D$3:$D$106299=$B$1,ROW($A$2:$A$98971)-ROW($A$2)+1),ROWS(D$4:D89))),"")</f>
        <v>заем</v>
      </c>
    </row>
    <row r="90">
      <c r="A90" s="34">
        <f t="array" ref="A90">IF(ROWS(A$4:A90)&lt;=$B$2,INDEX(data!C$3:C$106299,SMALL(IF(data!$D$3:$D$106299=$B$1,ROW($A$2:$A$98971)-ROW($A$2)+1),ROWS(A$4:A90))),"")</f>
        <v>46115</v>
      </c>
      <c r="B90" s="12" t="str">
        <f t="array" ref="B90">IF(ROWS(B$4:B90)&lt;=$B$2,INDEX(data!A$3:A$106299,SMALL(IF(data!$D$3:$D$106299=$B$1,ROW($A$2:$A$98971)-ROW($A$2)+1),ROWS(B$4:B90))),"")</f>
        <v>КАСОВА КНИГА</v>
      </c>
      <c r="C90" s="12">
        <f t="array" ref="C90">IF(ROWS(C$4:C90)&lt;=$B$2,INDEX(data!B$3:B$106299,SMALL(IF(data!$D$3:$D$106299=$B$1,ROW($A$2:$A$98971)-ROW($A$2)+1),ROWS(C$4:C90))),"")</f>
        <v>3000</v>
      </c>
      <c r="D90" s="12" t="str">
        <f t="array" ref="D90">IF(ROWS(D$4:D90)&lt;=$B$2,INDEX(data!E$3:E$106299,SMALL(IF(data!$D$3:$D$106299=$B$1,ROW($A$2:$A$98971)-ROW($A$2)+1),ROWS(D$4:D90))),"")</f>
        <v>заем</v>
      </c>
    </row>
    <row r="91">
      <c r="A91" s="34">
        <f t="array" ref="A91">IF(ROWS(A$4:A91)&lt;=$B$2,INDEX(data!C$3:C$106299,SMALL(IF(data!$D$3:$D$106299=$B$1,ROW($A$2:$A$98971)-ROW($A$2)+1),ROWS(A$4:A91))),"")</f>
        <v>46115</v>
      </c>
      <c r="B91" s="12" t="str">
        <f t="array" ref="B91">IF(ROWS(B$4:B91)&lt;=$B$2,INDEX(data!A$3:A$106299,SMALL(IF(data!$D$3:$D$106299=$B$1,ROW($A$2:$A$98971)-ROW($A$2)+1),ROWS(B$4:B91))),"")</f>
        <v>КАСОВА КНИГА</v>
      </c>
      <c r="C91" s="12">
        <f t="array" ref="C91">IF(ROWS(C$4:C91)&lt;=$B$2,INDEX(data!B$3:B$106299,SMALL(IF(data!$D$3:$D$106299=$B$1,ROW($A$2:$A$98971)-ROW($A$2)+1),ROWS(C$4:C91))),"")</f>
        <v>-780.9</v>
      </c>
      <c r="D91" s="12" t="str">
        <f t="array" ref="D91">IF(ROWS(D$4:D91)&lt;=$B$2,INDEX(data!E$3:E$106299,SMALL(IF(data!$D$3:$D$106299=$B$1,ROW($A$2:$A$98971)-ROW($A$2)+1),ROWS(D$4:D91))),"")</f>
        <v>платени банани</v>
      </c>
    </row>
    <row r="92">
      <c r="A92" s="34">
        <f t="array" ref="A92">IF(ROWS(A$4:A92)&lt;=$B$2,INDEX(data!C$3:C$106299,SMALL(IF(data!$D$3:$D$106299=$B$1,ROW($A$2:$A$98971)-ROW($A$2)+1),ROWS(A$4:A92))),"")</f>
        <v>46115</v>
      </c>
      <c r="B92" s="12" t="str">
        <f t="array" ref="B92">IF(ROWS(B$4:B92)&lt;=$B$2,INDEX(data!A$3:A$106299,SMALL(IF(data!$D$3:$D$106299=$B$1,ROW($A$2:$A$98971)-ROW($A$2)+1),ROWS(B$4:B92))),"")</f>
        <v>Каса ВАУЧЕРИ</v>
      </c>
      <c r="C92" s="12">
        <f t="array" ref="C92">IF(ROWS(C$4:C92)&lt;=$B$2,INDEX(data!B$3:B$106299,SMALL(IF(data!$D$3:$D$106299=$B$1,ROW($A$2:$A$98971)-ROW($A$2)+1),ROWS(C$4:C92))),"")</f>
        <v>-137.72</v>
      </c>
      <c r="D92" s="12" t="str">
        <f t="array" ref="D92">IF(ROWS(D$4:D92)&lt;=$B$2,INDEX(data!E$3:E$106299,SMALL(IF(data!$D$3:$D$106299=$B$1,ROW($A$2:$A$98971)-ROW($A$2)+1),ROWS(D$4:D92))),"")</f>
        <v>09-15.03</v>
      </c>
    </row>
    <row r="93">
      <c r="A93" s="34">
        <f t="array" ref="A93">IF(ROWS(A$4:A93)&lt;=$B$2,INDEX(data!C$3:C$106299,SMALL(IF(data!$D$3:$D$106299=$B$1,ROW($A$2:$A$98971)-ROW($A$2)+1),ROWS(A$4:A93))),"")</f>
        <v>46115</v>
      </c>
      <c r="B93" s="12" t="str">
        <f t="array" ref="B93">IF(ROWS(B$4:B93)&lt;=$B$2,INDEX(data!A$3:A$106299,SMALL(IF(data!$D$3:$D$106299=$B$1,ROW($A$2:$A$98971)-ROW($A$2)+1),ROWS(B$4:B93))),"")</f>
        <v>Каса ВАУЧЕРИ</v>
      </c>
      <c r="C93" s="12">
        <f t="array" ref="C93">IF(ROWS(C$4:C93)&lt;=$B$2,INDEX(data!B$3:B$106299,SMALL(IF(data!$D$3:$D$106299=$B$1,ROW($A$2:$A$98971)-ROW($A$2)+1),ROWS(C$4:C93))),"")</f>
        <v>-69</v>
      </c>
      <c r="D93" s="12" t="str">
        <f t="array" ref="D93">IF(ROWS(D$4:D93)&lt;=$B$2,INDEX(data!E$3:E$106299,SMALL(IF(data!$D$3:$D$106299=$B$1,ROW($A$2:$A$98971)-ROW($A$2)+1),ROWS(D$4:D93))),"")</f>
        <v>16-22.03</v>
      </c>
    </row>
    <row r="94">
      <c r="A94" s="34">
        <f t="array" ref="A94">IF(ROWS(A$4:A94)&lt;=$B$2,INDEX(data!C$3:C$106299,SMALL(IF(data!$D$3:$D$106299=$B$1,ROW($A$2:$A$98971)-ROW($A$2)+1),ROWS(A$4:A94))),"")</f>
        <v>46115</v>
      </c>
      <c r="B94" s="12" t="str">
        <f t="array" ref="B94">IF(ROWS(B$4:B94)&lt;=$B$2,INDEX(data!A$3:A$106299,SMALL(IF(data!$D$3:$D$106299=$B$1,ROW($A$2:$A$98971)-ROW($A$2)+1),ROWS(B$4:B94))),"")</f>
        <v>каса ФИКТИВНА</v>
      </c>
      <c r="C94" s="12">
        <f t="array" ref="C94">IF(ROWS(C$4:C94)&lt;=$B$2,INDEX(data!B$3:B$106299,SMALL(IF(data!$D$3:$D$106299=$B$1,ROW($A$2:$A$98971)-ROW($A$2)+1),ROWS(C$4:C94))),"")</f>
        <v>-500</v>
      </c>
      <c r="D94" s="12" t="str">
        <f t="array" ref="D94">IF(ROWS(D$4:D94)&lt;=$B$2,INDEX(data!E$3:E$106299,SMALL(IF(data!$D$3:$D$106299=$B$1,ROW($A$2:$A$98971)-ROW($A$2)+1),ROWS(D$4:D94))),"")</f>
        <v>Лили от премиите</v>
      </c>
    </row>
    <row r="95">
      <c r="A95" s="34">
        <f t="array" ref="A95">IF(ROWS(A$4:A95)&lt;=$B$2,INDEX(data!C$3:C$106299,SMALL(IF(data!$D$3:$D$106299=$B$1,ROW($A$2:$A$98971)-ROW($A$2)+1),ROWS(A$4:A95))),"")</f>
        <v>46118</v>
      </c>
      <c r="B95" s="12" t="str">
        <f t="array" ref="B95">IF(ROWS(B$4:B95)&lt;=$B$2,INDEX(data!A$3:A$106299,SMALL(IF(data!$D$3:$D$106299=$B$1,ROW($A$2:$A$98971)-ROW($A$2)+1),ROWS(B$4:B95))),"")</f>
        <v>MYPOS Бакалия</v>
      </c>
      <c r="C95" s="12">
        <f t="array" ref="C95">IF(ROWS(C$4:C95)&lt;=$B$2,INDEX(data!B$3:B$106299,SMALL(IF(data!$D$3:$D$106299=$B$1,ROW($A$2:$A$98971)-ROW($A$2)+1),ROWS(C$4:C95))),"")</f>
        <v>-16491.12</v>
      </c>
      <c r="D95" s="12" t="str">
        <f t="array" ref="D95">IF(ROWS(D$4:D95)&lt;=$B$2,INDEX(data!E$3:E$106299,SMALL(IF(data!$D$3:$D$106299=$B$1,ROW($A$2:$A$98971)-ROW($A$2)+1),ROWS(D$4:D95))),"")</f>
        <v/>
      </c>
    </row>
    <row r="96">
      <c r="A96" s="34">
        <f t="array" ref="A96">IF(ROWS(A$4:A96)&lt;=$B$2,INDEX(data!C$3:C$106299,SMALL(IF(data!$D$3:$D$106299=$B$1,ROW($A$2:$A$98971)-ROW($A$2)+1),ROWS(A$4:A96))),"")</f>
        <v>46118</v>
      </c>
      <c r="B96" s="12" t="str">
        <f t="array" ref="B96">IF(ROWS(B$4:B96)&lt;=$B$2,INDEX(data!A$3:A$106299,SMALL(IF(data!$D$3:$D$106299=$B$1,ROW($A$2:$A$98971)-ROW($A$2)+1),ROWS(B$4:B96))),"")</f>
        <v>каса ФИКТИВНА</v>
      </c>
      <c r="C96" s="12">
        <f t="array" ref="C96">IF(ROWS(C$4:C96)&lt;=$B$2,INDEX(data!B$3:B$106299,SMALL(IF(data!$D$3:$D$106299=$B$1,ROW($A$2:$A$98971)-ROW($A$2)+1),ROWS(C$4:C96))),"")</f>
        <v>-67.08</v>
      </c>
      <c r="D96" s="12" t="str">
        <f t="array" ref="D96">IF(ROWS(D$4:D96)&lt;=$B$2,INDEX(data!E$3:E$106299,SMALL(IF(data!$D$3:$D$106299=$B$1,ROW($A$2:$A$98971)-ROW($A$2)+1),ROWS(D$4:D96))),"")</f>
        <v>пазар Тихомир</v>
      </c>
    </row>
    <row r="97">
      <c r="A97" s="34">
        <f t="array" ref="A97">IF(ROWS(A$4:A97)&lt;=$B$2,INDEX(data!C$3:C$106299,SMALL(IF(data!$D$3:$D$106299=$B$1,ROW($A$2:$A$98971)-ROW($A$2)+1),ROWS(A$4:A97))),"")</f>
        <v>46119</v>
      </c>
      <c r="B97" s="12" t="str">
        <f t="array" ref="B97">IF(ROWS(B$4:B97)&lt;=$B$2,INDEX(data!A$3:A$106299,SMALL(IF(data!$D$3:$D$106299=$B$1,ROW($A$2:$A$98971)-ROW($A$2)+1),ROWS(B$4:B97))),"")</f>
        <v>КАСОВА КНИГА</v>
      </c>
      <c r="C97" s="12">
        <f t="array" ref="C97">IF(ROWS(C$4:C97)&lt;=$B$2,INDEX(data!B$3:B$106299,SMALL(IF(data!$D$3:$D$106299=$B$1,ROW($A$2:$A$98971)-ROW($A$2)+1),ROWS(C$4:C97))),"")</f>
        <v>-702.81</v>
      </c>
      <c r="D97" s="12" t="str">
        <f t="array" ref="D97">IF(ROWS(D$4:D97)&lt;=$B$2,INDEX(data!E$3:E$106299,SMALL(IF(data!$D$3:$D$106299=$B$1,ROW($A$2:$A$98971)-ROW($A$2)+1),ROWS(D$4:D97))),"")</f>
        <v>платени банани</v>
      </c>
    </row>
    <row r="98">
      <c r="A98" s="34">
        <f t="array" ref="A98">IF(ROWS(A$4:A98)&lt;=$B$2,INDEX(data!C$3:C$106299,SMALL(IF(data!$D$3:$D$106299=$B$1,ROW($A$2:$A$98971)-ROW($A$2)+1),ROWS(A$4:A98))),"")</f>
        <v>46122</v>
      </c>
      <c r="B98" s="12" t="str">
        <f t="array" ref="B98">IF(ROWS(B$4:B98)&lt;=$B$2,INDEX(data!A$3:A$106299,SMALL(IF(data!$D$3:$D$106299=$B$1,ROW($A$2:$A$98971)-ROW($A$2)+1),ROWS(B$4:B98))),"")</f>
        <v>КАСОВА КНИГА</v>
      </c>
      <c r="C98" s="12">
        <f t="array" ref="C98">IF(ROWS(C$4:C98)&lt;=$B$2,INDEX(data!B$3:B$106299,SMALL(IF(data!$D$3:$D$106299=$B$1,ROW($A$2:$A$98971)-ROW($A$2)+1),ROWS(C$4:C98))),"")</f>
        <v>-832.96</v>
      </c>
      <c r="D98" s="12" t="str">
        <f t="array" ref="D98">IF(ROWS(D$4:D98)&lt;=$B$2,INDEX(data!E$3:E$106299,SMALL(IF(data!$D$3:$D$106299=$B$1,ROW($A$2:$A$98971)-ROW($A$2)+1),ROWS(D$4:D98))),"")</f>
        <v>платени банани</v>
      </c>
    </row>
    <row r="99">
      <c r="A99" s="34">
        <f t="array" ref="A99">IF(ROWS(A$4:A99)&lt;=$B$2,INDEX(data!C$3:C$106299,SMALL(IF(data!$D$3:$D$106299=$B$1,ROW($A$2:$A$98971)-ROW($A$2)+1),ROWS(A$4:A99))),"")</f>
        <v>46122</v>
      </c>
      <c r="B99" s="12" t="str">
        <f t="array" ref="B99">IF(ROWS(B$4:B99)&lt;=$B$2,INDEX(data!A$3:A$106299,SMALL(IF(data!$D$3:$D$106299=$B$1,ROW($A$2:$A$98971)-ROW($A$2)+1),ROWS(B$4:B99))),"")</f>
        <v>каса ФИКТИВНА</v>
      </c>
      <c r="C99" s="12">
        <f t="array" ref="C99">IF(ROWS(C$4:C99)&lt;=$B$2,INDEX(data!B$3:B$106299,SMALL(IF(data!$D$3:$D$106299=$B$1,ROW($A$2:$A$98971)-ROW($A$2)+1),ROWS(C$4:C99))),"")</f>
        <v>-76.56</v>
      </c>
      <c r="D99" s="12" t="str">
        <f t="array" ref="D99">IF(ROWS(D$4:D99)&lt;=$B$2,INDEX(data!E$3:E$106299,SMALL(IF(data!$D$3:$D$106299=$B$1,ROW($A$2:$A$98971)-ROW($A$2)+1),ROWS(D$4:D99))),"")</f>
        <v>пазар Тихомир</v>
      </c>
    </row>
    <row r="100">
      <c r="A100" s="34">
        <f t="array" ref="A100">IF(ROWS(A$4:A100)&lt;=$B$2,INDEX(data!C$3:C$106299,SMALL(IF(data!$D$3:$D$106299=$B$1,ROW($A$2:$A$98971)-ROW($A$2)+1),ROWS(A$4:A100))),"")</f>
        <v>46126</v>
      </c>
      <c r="B100" s="12" t="str">
        <f t="array" ref="B100">IF(ROWS(B$4:B100)&lt;=$B$2,INDEX(data!A$3:A$106299,SMALL(IF(data!$D$3:$D$106299=$B$1,ROW($A$2:$A$98971)-ROW($A$2)+1),ROWS(B$4:B100))),"")</f>
        <v>MYPOS Бакалия</v>
      </c>
      <c r="C100" s="12">
        <f t="array" ref="C100">IF(ROWS(C$4:C100)&lt;=$B$2,INDEX(data!B$3:B$106299,SMALL(IF(data!$D$3:$D$106299=$B$1,ROW($A$2:$A$98971)-ROW($A$2)+1),ROWS(C$4:C100))),"")</f>
        <v>-17263.47</v>
      </c>
      <c r="D100" s="12" t="str">
        <f t="array" ref="D100">IF(ROWS(D$4:D100)&lt;=$B$2,INDEX(data!E$3:E$106299,SMALL(IF(data!$D$3:$D$106299=$B$1,ROW($A$2:$A$98971)-ROW($A$2)+1),ROWS(D$4:D100))),"")</f>
        <v/>
      </c>
    </row>
    <row r="101">
      <c r="A101" s="34">
        <f t="array" ref="A101">IF(ROWS(A$4:A101)&lt;=$B$2,INDEX(data!C$3:C$106299,SMALL(IF(data!$D$3:$D$106299=$B$1,ROW($A$2:$A$98971)-ROW($A$2)+1),ROWS(A$4:A101))),"")</f>
        <v>46126</v>
      </c>
      <c r="B101" s="12" t="str">
        <f t="array" ref="B101">IF(ROWS(B$4:B101)&lt;=$B$2,INDEX(data!A$3:A$106299,SMALL(IF(data!$D$3:$D$106299=$B$1,ROW($A$2:$A$98971)-ROW($A$2)+1),ROWS(B$4:B101))),"")</f>
        <v>КАСОВА КНИГА</v>
      </c>
      <c r="C101" s="12">
        <f t="array" ref="C101">IF(ROWS(C$4:C101)&lt;=$B$2,INDEX(data!B$3:B$106299,SMALL(IF(data!$D$3:$D$106299=$B$1,ROW($A$2:$A$98971)-ROW($A$2)+1),ROWS(C$4:C101))),"")</f>
        <v>-4000</v>
      </c>
      <c r="D101" s="12" t="str">
        <f t="array" ref="D101">IF(ROWS(D$4:D101)&lt;=$B$2,INDEX(data!E$3:E$106299,SMALL(IF(data!$D$3:$D$106299=$B$1,ROW($A$2:$A$98971)-ROW($A$2)+1),ROWS(D$4:D101))),"")</f>
        <v/>
      </c>
    </row>
    <row r="102">
      <c r="A102" s="34">
        <f t="array" ref="A102">IF(ROWS(A$4:A102)&lt;=$B$2,INDEX(data!C$3:C$106299,SMALL(IF(data!$D$3:$D$106299=$B$1,ROW($A$2:$A$98971)-ROW($A$2)+1),ROWS(A$4:A102))),"")</f>
        <v>46126</v>
      </c>
      <c r="B102" s="12" t="str">
        <f t="array" ref="B102">IF(ROWS(B$4:B102)&lt;=$B$2,INDEX(data!A$3:A$106299,SMALL(IF(data!$D$3:$D$106299=$B$1,ROW($A$2:$A$98971)-ROW($A$2)+1),ROWS(B$4:B102))),"")</f>
        <v>КАСОВА КНИГА</v>
      </c>
      <c r="C102" s="12">
        <f t="array" ref="C102">IF(ROWS(C$4:C102)&lt;=$B$2,INDEX(data!B$3:B$106299,SMALL(IF(data!$D$3:$D$106299=$B$1,ROW($A$2:$A$98971)-ROW($A$2)+1),ROWS(C$4:C102))),"")</f>
        <v>-520</v>
      </c>
      <c r="D102" s="12" t="str">
        <f t="array" ref="D102">IF(ROWS(D$4:D102)&lt;=$B$2,INDEX(data!E$3:E$106299,SMALL(IF(data!$D$3:$D$106299=$B$1,ROW($A$2:$A$98971)-ROW($A$2)+1),ROWS(D$4:D102))),"")</f>
        <v>платени банани</v>
      </c>
    </row>
    <row r="103">
      <c r="A103" s="34">
        <f t="array" ref="A103">IF(ROWS(A$4:A103)&lt;=$B$2,INDEX(data!C$3:C$106299,SMALL(IF(data!$D$3:$D$106299=$B$1,ROW($A$2:$A$98971)-ROW($A$2)+1),ROWS(A$4:A103))),"")</f>
        <v>46129</v>
      </c>
      <c r="B103" s="12" t="str">
        <f t="array" ref="B103">IF(ROWS(B$4:B103)&lt;=$B$2,INDEX(data!A$3:A$106299,SMALL(IF(data!$D$3:$D$106299=$B$1,ROW($A$2:$A$98971)-ROW($A$2)+1),ROWS(B$4:B103))),"")</f>
        <v>КАСОВА КНИГА</v>
      </c>
      <c r="C103" s="12">
        <f t="array" ref="C103">IF(ROWS(C$4:C103)&lt;=$B$2,INDEX(data!B$3:B$106299,SMALL(IF(data!$D$3:$D$106299=$B$1,ROW($A$2:$A$98971)-ROW($A$2)+1),ROWS(C$4:C103))),"")</f>
        <v>-312.96</v>
      </c>
      <c r="D103" s="12" t="str">
        <f t="array" ref="D103">IF(ROWS(D$4:D103)&lt;=$B$2,INDEX(data!E$3:E$106299,SMALL(IF(data!$D$3:$D$106299=$B$1,ROW($A$2:$A$98971)-ROW($A$2)+1),ROWS(D$4:D103))),"")</f>
        <v>платени банани</v>
      </c>
    </row>
    <row r="104">
      <c r="A104" s="34">
        <f t="array" ref="A104">IF(ROWS(A$4:A104)&lt;=$B$2,INDEX(data!C$3:C$106299,SMALL(IF(data!$D$3:$D$106299=$B$1,ROW($A$2:$A$98971)-ROW($A$2)+1),ROWS(A$4:A104))),"")</f>
        <v>46132</v>
      </c>
      <c r="B104" s="12" t="str">
        <f t="array" ref="B104">IF(ROWS(B$4:B104)&lt;=$B$2,INDEX(data!A$3:A$106299,SMALL(IF(data!$D$3:$D$106299=$B$1,ROW($A$2:$A$98971)-ROW($A$2)+1),ROWS(B$4:B104))),"")</f>
        <v>КАСОВА КНИГА</v>
      </c>
      <c r="C104" s="12">
        <f t="array" ref="C104">IF(ROWS(C$4:C104)&lt;=$B$2,INDEX(data!B$3:B$106299,SMALL(IF(data!$D$3:$D$106299=$B$1,ROW($A$2:$A$98971)-ROW($A$2)+1),ROWS(C$4:C104))),"")</f>
        <v>-2500</v>
      </c>
      <c r="D104" s="12" t="str">
        <f t="array" ref="D104">IF(ROWS(D$4:D104)&lt;=$B$2,INDEX(data!E$3:E$106299,SMALL(IF(data!$D$3:$D$106299=$B$1,ROW($A$2:$A$98971)-ROW($A$2)+1),ROWS(D$4:D104))),"")</f>
        <v/>
      </c>
    </row>
    <row r="105">
      <c r="A105" s="34">
        <f t="array" ref="A105">IF(ROWS(A$4:A105)&lt;=$B$2,INDEX(data!C$3:C$106299,SMALL(IF(data!$D$3:$D$106299=$B$1,ROW($A$2:$A$98971)-ROW($A$2)+1),ROWS(A$4:A105))),"")</f>
        <v>46132</v>
      </c>
      <c r="B105" s="12" t="str">
        <f t="array" ref="B105">IF(ROWS(B$4:B105)&lt;=$B$2,INDEX(data!A$3:A$106299,SMALL(IF(data!$D$3:$D$106299=$B$1,ROW($A$2:$A$98971)-ROW($A$2)+1),ROWS(B$4:B105))),"")</f>
        <v>MYPOS Бакалия</v>
      </c>
      <c r="C105" s="12">
        <f t="array" ref="C105">IF(ROWS(C$4:C105)&lt;=$B$2,INDEX(data!B$3:B$106299,SMALL(IF(data!$D$3:$D$106299=$B$1,ROW($A$2:$A$98971)-ROW($A$2)+1),ROWS(C$4:C105))),"")</f>
        <v>-15575.18</v>
      </c>
      <c r="D105" s="12" t="str">
        <f t="array" ref="D105">IF(ROWS(D$4:D105)&lt;=$B$2,INDEX(data!E$3:E$106299,SMALL(IF(data!$D$3:$D$106299=$B$1,ROW($A$2:$A$98971)-ROW($A$2)+1),ROWS(D$4:D105))),"")</f>
        <v/>
      </c>
    </row>
    <row r="106">
      <c r="A106" s="34">
        <f t="array" ref="A106">IF(ROWS(A$4:A106)&lt;=$B$2,INDEX(data!C$3:C$106299,SMALL(IF(data!$D$3:$D$106299=$B$1,ROW($A$2:$A$98971)-ROW($A$2)+1),ROWS(A$4:A106))),"")</f>
        <v>46133</v>
      </c>
      <c r="B106" s="12" t="str">
        <f t="array" ref="B106">IF(ROWS(B$4:B106)&lt;=$B$2,INDEX(data!A$3:A$106299,SMALL(IF(data!$D$3:$D$106299=$B$1,ROW($A$2:$A$98971)-ROW($A$2)+1),ROWS(B$4:B106))),"")</f>
        <v>КАСОВА КНИГА</v>
      </c>
      <c r="C106" s="12">
        <f t="array" ref="C106">IF(ROWS(C$4:C106)&lt;=$B$2,INDEX(data!B$3:B$106299,SMALL(IF(data!$D$3:$D$106299=$B$1,ROW($A$2:$A$98971)-ROW($A$2)+1),ROWS(C$4:C106))),"")</f>
        <v>-624.72</v>
      </c>
      <c r="D106" s="12" t="str">
        <f t="array" ref="D106">IF(ROWS(D$4:D106)&lt;=$B$2,INDEX(data!E$3:E$106299,SMALL(IF(data!$D$3:$D$106299=$B$1,ROW($A$2:$A$98971)-ROW($A$2)+1),ROWS(D$4:D106))),"")</f>
        <v>платени банани</v>
      </c>
    </row>
    <row r="107">
      <c r="A107" s="34">
        <f t="array" ref="A107">IF(ROWS(A$4:A107)&lt;=$B$2,INDEX(data!C$3:C$106299,SMALL(IF(data!$D$3:$D$106299=$B$1,ROW($A$2:$A$98971)-ROW($A$2)+1),ROWS(A$4:A107))),"")</f>
        <v>46134</v>
      </c>
      <c r="B107" s="12" t="str">
        <f t="array" ref="B107">IF(ROWS(B$4:B107)&lt;=$B$2,INDEX(data!A$3:A$106299,SMALL(IF(data!$D$3:$D$106299=$B$1,ROW($A$2:$A$98971)-ROW($A$2)+1),ROWS(B$4:B107))),"")</f>
        <v>Каса ВАУЧЕРИ</v>
      </c>
      <c r="C107" s="12">
        <f t="array" ref="C107">IF(ROWS(C$4:C107)&lt;=$B$2,INDEX(data!B$3:B$106299,SMALL(IF(data!$D$3:$D$106299=$B$1,ROW($A$2:$A$98971)-ROW($A$2)+1),ROWS(C$4:C107))),"")</f>
        <v>1000</v>
      </c>
      <c r="D107" s="12" t="str">
        <f t="array" ref="D107">IF(ROWS(D$4:D107)&lt;=$B$2,INDEX(data!E$3:E$106299,SMALL(IF(data!$D$3:$D$106299=$B$1,ROW($A$2:$A$98971)-ROW($A$2)+1),ROWS(D$4:D107))),"")</f>
        <v>ваучери персонал</v>
      </c>
    </row>
    <row r="108">
      <c r="A108" s="34">
        <f t="array" ref="A108">IF(ROWS(A$4:A108)&lt;=$B$2,INDEX(data!C$3:C$106299,SMALL(IF(data!$D$3:$D$106299=$B$1,ROW($A$2:$A$98971)-ROW($A$2)+1),ROWS(A$4:A108))),"")</f>
        <v>46135</v>
      </c>
      <c r="B108" s="12" t="str">
        <f t="array" ref="B108">IF(ROWS(B$4:B108)&lt;=$B$2,INDEX(data!A$3:A$106299,SMALL(IF(data!$D$3:$D$106299=$B$1,ROW($A$2:$A$98971)-ROW($A$2)+1),ROWS(B$4:B108))),"")</f>
        <v>Каса ВАУЧЕРИ</v>
      </c>
      <c r="C108" s="12">
        <f t="array" ref="C108">IF(ROWS(C$4:C108)&lt;=$B$2,INDEX(data!B$3:B$106299,SMALL(IF(data!$D$3:$D$106299=$B$1,ROW($A$2:$A$98971)-ROW($A$2)+1),ROWS(C$4:C108))),"")</f>
        <v>-10</v>
      </c>
      <c r="D108" s="35">
        <f t="array" ref="D108">IF(ROWS(D$4:D108)&lt;=$B$2,INDEX(data!E$3:E$106299,SMALL(IF(data!$D$3:$D$106299=$B$1,ROW($A$2:$A$98971)-ROW($A$2)+1),ROWS(D$4:D108))),"")</f>
        <v>38327</v>
      </c>
    </row>
    <row r="109">
      <c r="A109" s="34">
        <f t="array" ref="A109">IF(ROWS(A$4:A109)&lt;=$B$2,INDEX(data!C$3:C$106299,SMALL(IF(data!$D$3:$D$106299=$B$1,ROW($A$2:$A$98971)-ROW($A$2)+1),ROWS(A$4:A109))),"")</f>
        <v>46135</v>
      </c>
      <c r="B109" s="12" t="str">
        <f t="array" ref="B109">IF(ROWS(B$4:B109)&lt;=$B$2,INDEX(data!A$3:A$106299,SMALL(IF(data!$D$3:$D$106299=$B$1,ROW($A$2:$A$98971)-ROW($A$2)+1),ROWS(B$4:B109))),"")</f>
        <v>Каса ВАУЧЕРИ</v>
      </c>
      <c r="C109" s="12">
        <f t="array" ref="C109">IF(ROWS(C$4:C109)&lt;=$B$2,INDEX(data!B$3:B$106299,SMALL(IF(data!$D$3:$D$106299=$B$1,ROW($A$2:$A$98971)-ROW($A$2)+1),ROWS(C$4:C109))),"")</f>
        <v>-121.65</v>
      </c>
      <c r="D109" s="12" t="str">
        <f t="array" ref="D109">IF(ROWS(D$4:D109)&lt;=$B$2,INDEX(data!E$3:E$106299,SMALL(IF(data!$D$3:$D$106299=$B$1,ROW($A$2:$A$98971)-ROW($A$2)+1),ROWS(D$4:D109))),"")</f>
        <v>23-29.03</v>
      </c>
    </row>
    <row r="110">
      <c r="A110" s="34">
        <f t="array" ref="A110">IF(ROWS(A$4:A110)&lt;=$B$2,INDEX(data!C$3:C$106299,SMALL(IF(data!$D$3:$D$106299=$B$1,ROW($A$2:$A$98971)-ROW($A$2)+1),ROWS(A$4:A110))),"")</f>
        <v>46135</v>
      </c>
      <c r="B110" s="12" t="str">
        <f t="array" ref="B110">IF(ROWS(B$4:B110)&lt;=$B$2,INDEX(data!A$3:A$106299,SMALL(IF(data!$D$3:$D$106299=$B$1,ROW($A$2:$A$98971)-ROW($A$2)+1),ROWS(B$4:B110))),"")</f>
        <v>Каса ВАУЧЕРИ</v>
      </c>
      <c r="C110" s="12">
        <f t="array" ref="C110">IF(ROWS(C$4:C110)&lt;=$B$2,INDEX(data!B$3:B$106299,SMALL(IF(data!$D$3:$D$106299=$B$1,ROW($A$2:$A$98971)-ROW($A$2)+1),ROWS(C$4:C110))),"")</f>
        <v>-115</v>
      </c>
      <c r="D110" s="12" t="str">
        <f t="array" ref="D110">IF(ROWS(D$4:D110)&lt;=$B$2,INDEX(data!E$3:E$106299,SMALL(IF(data!$D$3:$D$106299=$B$1,ROW($A$2:$A$98971)-ROW($A$2)+1),ROWS(D$4:D110))),"")</f>
        <v>30.03-05.04</v>
      </c>
    </row>
    <row r="111">
      <c r="A111" s="34">
        <f t="array" ref="A111">IF(ROWS(A$4:A111)&lt;=$B$2,INDEX(data!C$3:C$106299,SMALL(IF(data!$D$3:$D$106299=$B$1,ROW($A$2:$A$98971)-ROW($A$2)+1),ROWS(A$4:A111))),"")</f>
        <v>46135</v>
      </c>
      <c r="B111" s="12" t="str">
        <f t="array" ref="B111">IF(ROWS(B$4:B111)&lt;=$B$2,INDEX(data!A$3:A$106299,SMALL(IF(data!$D$3:$D$106299=$B$1,ROW($A$2:$A$98971)-ROW($A$2)+1),ROWS(B$4:B111))),"")</f>
        <v>каса ФИКТИВНА</v>
      </c>
      <c r="C111" s="12">
        <f t="array" ref="C111">IF(ROWS(C$4:C111)&lt;=$B$2,INDEX(data!B$3:B$106299,SMALL(IF(data!$D$3:$D$106299=$B$1,ROW($A$2:$A$98971)-ROW($A$2)+1),ROWS(C$4:C111))),"")</f>
        <v>-500</v>
      </c>
      <c r="D111" s="12" t="str">
        <f t="array" ref="D111">IF(ROWS(D$4:D111)&lt;=$B$2,INDEX(data!E$3:E$106299,SMALL(IF(data!$D$3:$D$106299=$B$1,ROW($A$2:$A$98971)-ROW($A$2)+1),ROWS(D$4:D111))),"")</f>
        <v>Лили от премиите</v>
      </c>
    </row>
    <row r="112">
      <c r="A112" s="34">
        <f t="array" ref="A112">IF(ROWS(A$4:A112)&lt;=$B$2,INDEX(data!C$3:C$106299,SMALL(IF(data!$D$3:$D$106299=$B$1,ROW($A$2:$A$98971)-ROW($A$2)+1),ROWS(A$4:A112))),"")</f>
        <v>46136</v>
      </c>
      <c r="B112" s="12" t="str">
        <f t="array" ref="B112">IF(ROWS(B$4:B112)&lt;=$B$2,INDEX(data!A$3:A$106299,SMALL(IF(data!$D$3:$D$106299=$B$1,ROW($A$2:$A$98971)-ROW($A$2)+1),ROWS(B$4:B112))),"")</f>
        <v>КАСОВА КНИГА</v>
      </c>
      <c r="C112" s="12">
        <f t="array" ref="C112">IF(ROWS(C$4:C112)&lt;=$B$2,INDEX(data!B$3:B$106299,SMALL(IF(data!$D$3:$D$106299=$B$1,ROW($A$2:$A$98971)-ROW($A$2)+1),ROWS(C$4:C112))),"")</f>
        <v>-777.48</v>
      </c>
      <c r="D112" s="12" t="str">
        <f t="array" ref="D112">IF(ROWS(D$4:D112)&lt;=$B$2,INDEX(data!E$3:E$106299,SMALL(IF(data!$D$3:$D$106299=$B$1,ROW($A$2:$A$98971)-ROW($A$2)+1),ROWS(D$4:D112))),"")</f>
        <v>платени банани</v>
      </c>
    </row>
    <row r="113">
      <c r="A113" s="34">
        <f t="array" ref="A113">IF(ROWS(A$4:A113)&lt;=$B$2,INDEX(data!C$3:C$106299,SMALL(IF(data!$D$3:$D$106299=$B$1,ROW($A$2:$A$98971)-ROW($A$2)+1),ROWS(A$4:A113))),"")</f>
        <v>46139</v>
      </c>
      <c r="B113" s="12" t="str">
        <f t="array" ref="B113">IF(ROWS(B$4:B113)&lt;=$B$2,INDEX(data!A$3:A$106299,SMALL(IF(data!$D$3:$D$106299=$B$1,ROW($A$2:$A$98971)-ROW($A$2)+1),ROWS(B$4:B113))),"")</f>
        <v>MYPOS Бакалия</v>
      </c>
      <c r="C113" s="12">
        <f t="array" ref="C113">IF(ROWS(C$4:C113)&lt;=$B$2,INDEX(data!B$3:B$106299,SMALL(IF(data!$D$3:$D$106299=$B$1,ROW($A$2:$A$98971)-ROW($A$2)+1),ROWS(C$4:C113))),"")</f>
        <v>-16920.91</v>
      </c>
      <c r="D113" s="12" t="str">
        <f t="array" ref="D113">IF(ROWS(D$4:D113)&lt;=$B$2,INDEX(data!E$3:E$106299,SMALL(IF(data!$D$3:$D$106299=$B$1,ROW($A$2:$A$98971)-ROW($A$2)+1),ROWS(D$4:D113))),"")</f>
        <v/>
      </c>
    </row>
    <row r="114">
      <c r="A114" s="34">
        <f t="array" ref="A114">IF(ROWS(A$4:A114)&lt;=$B$2,INDEX(data!C$3:C$106299,SMALL(IF(data!$D$3:$D$106299=$B$1,ROW($A$2:$A$98971)-ROW($A$2)+1),ROWS(A$4:A114))),"")</f>
        <v>46140</v>
      </c>
      <c r="B114" s="12" t="str">
        <f t="array" ref="B114">IF(ROWS(B$4:B114)&lt;=$B$2,INDEX(data!A$3:A$106299,SMALL(IF(data!$D$3:$D$106299=$B$1,ROW($A$2:$A$98971)-ROW($A$2)+1),ROWS(B$4:B114))),"")</f>
        <v>КАСОВА КНИГА</v>
      </c>
      <c r="C114" s="12">
        <f t="array" ref="C114">IF(ROWS(C$4:C114)&lt;=$B$2,INDEX(data!B$3:B$106299,SMALL(IF(data!$D$3:$D$106299=$B$1,ROW($A$2:$A$98971)-ROW($A$2)+1),ROWS(C$4:C114))),"")</f>
        <v>-754.87</v>
      </c>
      <c r="D114" s="12" t="str">
        <f t="array" ref="D114">IF(ROWS(D$4:D114)&lt;=$B$2,INDEX(data!E$3:E$106299,SMALL(IF(data!$D$3:$D$106299=$B$1,ROW($A$2:$A$98971)-ROW($A$2)+1),ROWS(D$4:D114))),"")</f>
        <v>платени банани</v>
      </c>
    </row>
    <row r="115">
      <c r="A115" s="34">
        <f t="array" ref="A115">IF(ROWS(A$4:A115)&lt;=$B$2,INDEX(data!C$3:C$106299,SMALL(IF(data!$D$3:$D$106299=$B$1,ROW($A$2:$A$98971)-ROW($A$2)+1),ROWS(A$4:A115))),"")</f>
        <v>46143</v>
      </c>
      <c r="B115" s="12" t="str">
        <f t="array" ref="B115">IF(ROWS(B$4:B115)&lt;=$B$2,INDEX(data!A$3:A$106299,SMALL(IF(data!$D$3:$D$106299=$B$1,ROW($A$2:$A$98971)-ROW($A$2)+1),ROWS(B$4:B115))),"")</f>
        <v>КАСОВА КНИГА</v>
      </c>
      <c r="C115" s="12">
        <f t="array" ref="C115">IF(ROWS(C$4:C115)&lt;=$B$2,INDEX(data!B$3:B$106299,SMALL(IF(data!$D$3:$D$106299=$B$1,ROW($A$2:$A$98971)-ROW($A$2)+1),ROWS(C$4:C115))),"")</f>
        <v>1500</v>
      </c>
      <c r="D115" s="12" t="str">
        <f t="array" ref="D115">IF(ROWS(D$4:D115)&lt;=$B$2,INDEX(data!E$3:E$106299,SMALL(IF(data!$D$3:$D$106299=$B$1,ROW($A$2:$A$98971)-ROW($A$2)+1),ROWS(D$4:D115))),"")</f>
        <v>заем</v>
      </c>
    </row>
    <row r="116">
      <c r="A116" s="34">
        <f t="array" ref="A116">IF(ROWS(A$4:A116)&lt;=$B$2,INDEX(data!C$3:C$106299,SMALL(IF(data!$D$3:$D$106299=$B$1,ROW($A$2:$A$98971)-ROW($A$2)+1),ROWS(A$4:A116))),"")</f>
        <v>46143</v>
      </c>
      <c r="B116" s="12" t="str">
        <f t="array" ref="B116">IF(ROWS(B$4:B116)&lt;=$B$2,INDEX(data!A$3:A$106299,SMALL(IF(data!$D$3:$D$106299=$B$1,ROW($A$2:$A$98971)-ROW($A$2)+1),ROWS(B$4:B116))),"")</f>
        <v>КАСОВА КНИГА</v>
      </c>
      <c r="C116" s="12">
        <f t="array" ref="C116">IF(ROWS(C$4:C116)&lt;=$B$2,INDEX(data!B$3:B$106299,SMALL(IF(data!$D$3:$D$106299=$B$1,ROW($A$2:$A$98971)-ROW($A$2)+1),ROWS(C$4:C116))),"")</f>
        <v>-572.66</v>
      </c>
      <c r="D116" s="12" t="str">
        <f t="array" ref="D116">IF(ROWS(D$4:D116)&lt;=$B$2,INDEX(data!E$3:E$106299,SMALL(IF(data!$D$3:$D$106299=$B$1,ROW($A$2:$A$98971)-ROW($A$2)+1),ROWS(D$4:D116))),"")</f>
        <v>платени банани</v>
      </c>
    </row>
    <row r="117">
      <c r="A117" s="34">
        <f t="array" ref="A117">IF(ROWS(A$4:A117)&lt;=$B$2,INDEX(data!C$3:C$106299,SMALL(IF(data!$D$3:$D$106299=$B$1,ROW($A$2:$A$98971)-ROW($A$2)+1),ROWS(A$4:A117))),"")</f>
        <v>46143</v>
      </c>
      <c r="B117" s="12" t="str">
        <f t="array" ref="B117">IF(ROWS(B$4:B117)&lt;=$B$2,INDEX(data!A$3:A$106299,SMALL(IF(data!$D$3:$D$106299=$B$1,ROW($A$2:$A$98971)-ROW($A$2)+1),ROWS(B$4:B117))),"")</f>
        <v>каса ФИКТИВНА</v>
      </c>
      <c r="C117" s="12">
        <f t="array" ref="C117">IF(ROWS(C$4:C117)&lt;=$B$2,INDEX(data!B$3:B$106299,SMALL(IF(data!$D$3:$D$106299=$B$1,ROW($A$2:$A$98971)-ROW($A$2)+1),ROWS(C$4:C117))),"")</f>
        <v>-636.8</v>
      </c>
      <c r="D117" s="12" t="str">
        <f t="array" ref="D117">IF(ROWS(D$4:D117)&lt;=$B$2,INDEX(data!E$3:E$106299,SMALL(IF(data!$D$3:$D$106299=$B$1,ROW($A$2:$A$98971)-ROW($A$2)+1),ROWS(D$4:D117))),"")</f>
        <v>платени домати</v>
      </c>
    </row>
    <row r="118">
      <c r="A118" s="34">
        <f t="array" ref="A118">IF(ROWS(A$4:A118)&lt;=$B$2,INDEX(data!C$3:C$106299,SMALL(IF(data!$D$3:$D$106299=$B$1,ROW($A$2:$A$98971)-ROW($A$2)+1),ROWS(A$4:A118))),"")</f>
        <v>46146</v>
      </c>
      <c r="B118" s="12" t="str">
        <f t="array" ref="B118">IF(ROWS(B$4:B118)&lt;=$B$2,INDEX(data!A$3:A$106299,SMALL(IF(data!$D$3:$D$106299=$B$1,ROW($A$2:$A$98971)-ROW($A$2)+1),ROWS(B$4:B118))),"")</f>
        <v>MYPOS Бакалия</v>
      </c>
      <c r="C118" s="12">
        <f t="array" ref="C118">IF(ROWS(C$4:C118)&lt;=$B$2,INDEX(data!B$3:B$106299,SMALL(IF(data!$D$3:$D$106299=$B$1,ROW($A$2:$A$98971)-ROW($A$2)+1),ROWS(C$4:C118))),"")</f>
        <v>-15382.79</v>
      </c>
      <c r="D118" s="12" t="str">
        <f t="array" ref="D118">IF(ROWS(D$4:D118)&lt;=$B$2,INDEX(data!E$3:E$106299,SMALL(IF(data!$D$3:$D$106299=$B$1,ROW($A$2:$A$98971)-ROW($A$2)+1),ROWS(D$4:D118))),"")</f>
        <v/>
      </c>
    </row>
    <row r="119">
      <c r="A119" s="34">
        <f t="array" ref="A119">IF(ROWS(A$4:A119)&lt;=$B$2,INDEX(data!C$3:C$106299,SMALL(IF(data!$D$3:$D$106299=$B$1,ROW($A$2:$A$98971)-ROW($A$2)+1),ROWS(A$4:A119))),"")</f>
        <v>46146</v>
      </c>
      <c r="B119" s="12" t="str">
        <f t="array" ref="B119">IF(ROWS(B$4:B119)&lt;=$B$2,INDEX(data!A$3:A$106299,SMALL(IF(data!$D$3:$D$106299=$B$1,ROW($A$2:$A$98971)-ROW($A$2)+1),ROWS(B$4:B119))),"")</f>
        <v>КАСОВА КНИГА</v>
      </c>
      <c r="C119" s="12">
        <f t="array" ref="C119">IF(ROWS(C$4:C119)&lt;=$B$2,INDEX(data!B$3:B$106299,SMALL(IF(data!$D$3:$D$106299=$B$1,ROW($A$2:$A$98971)-ROW($A$2)+1),ROWS(C$4:C119))),"")</f>
        <v>-1000</v>
      </c>
      <c r="D119" s="12" t="str">
        <f t="array" ref="D119">IF(ROWS(D$4:D119)&lt;=$B$2,INDEX(data!E$3:E$106299,SMALL(IF(data!$D$3:$D$106299=$B$1,ROW($A$2:$A$98971)-ROW($A$2)+1),ROWS(D$4:D119))),"")</f>
        <v/>
      </c>
    </row>
    <row r="120">
      <c r="A120" s="34">
        <f t="array" ref="A120">IF(ROWS(A$4:A120)&lt;=$B$2,INDEX(data!C$3:C$106299,SMALL(IF(data!$D$3:$D$106299=$B$1,ROW($A$2:$A$98971)-ROW($A$2)+1),ROWS(A$4:A120))),"")</f>
        <v>46147</v>
      </c>
      <c r="B120" s="12" t="str">
        <f t="array" ref="B120">IF(ROWS(B$4:B120)&lt;=$B$2,INDEX(data!A$3:A$106299,SMALL(IF(data!$D$3:$D$106299=$B$1,ROW($A$2:$A$98971)-ROW($A$2)+1),ROWS(B$4:B120))),"")</f>
        <v>КАСОВА КНИГА</v>
      </c>
      <c r="C120" s="12">
        <f t="array" ref="C120">IF(ROWS(C$4:C120)&lt;=$B$2,INDEX(data!B$3:B$106299,SMALL(IF(data!$D$3:$D$106299=$B$1,ROW($A$2:$A$98971)-ROW($A$2)+1),ROWS(C$4:C120))),"")</f>
        <v>-650.75</v>
      </c>
      <c r="D120" s="12" t="str">
        <f t="array" ref="D120">IF(ROWS(D$4:D120)&lt;=$B$2,INDEX(data!E$3:E$106299,SMALL(IF(data!$D$3:$D$106299=$B$1,ROW($A$2:$A$98971)-ROW($A$2)+1),ROWS(D$4:D120))),"")</f>
        <v>платени банани</v>
      </c>
    </row>
    <row r="121">
      <c r="A121" s="34">
        <f t="array" ref="A121">IF(ROWS(A$4:A121)&lt;=$B$2,INDEX(data!C$3:C$106299,SMALL(IF(data!$D$3:$D$106299=$B$1,ROW($A$2:$A$98971)-ROW($A$2)+1),ROWS(A$4:A121))),"")</f>
        <v>46147</v>
      </c>
      <c r="B121" s="12" t="str">
        <f t="array" ref="B121">IF(ROWS(B$4:B121)&lt;=$B$2,INDEX(data!A$3:A$106299,SMALL(IF(data!$D$3:$D$106299=$B$1,ROW($A$2:$A$98971)-ROW($A$2)+1),ROWS(B$4:B121))),"")</f>
        <v>каса ФИКТИВНА</v>
      </c>
      <c r="C121" s="12">
        <f t="array" ref="C121">IF(ROWS(C$4:C121)&lt;=$B$2,INDEX(data!B$3:B$106299,SMALL(IF(data!$D$3:$D$106299=$B$1,ROW($A$2:$A$98971)-ROW($A$2)+1),ROWS(C$4:C121))),"")</f>
        <v>-26.4</v>
      </c>
      <c r="D121" s="12" t="str">
        <f t="array" ref="D121">IF(ROWS(D$4:D121)&lt;=$B$2,INDEX(data!E$3:E$106299,SMALL(IF(data!$D$3:$D$106299=$B$1,ROW($A$2:$A$98971)-ROW($A$2)+1),ROWS(D$4:D121))),"")</f>
        <v>пазар Тихомир</v>
      </c>
    </row>
    <row r="122">
      <c r="A122" s="34">
        <f t="array" ref="A122">IF(ROWS(A$4:A122)&lt;=$B$2,INDEX(data!C$3:C$106299,SMALL(IF(data!$D$3:$D$106299=$B$1,ROW($A$2:$A$98971)-ROW($A$2)+1),ROWS(A$4:A122))),"")</f>
        <v>46148</v>
      </c>
      <c r="B122" s="12" t="str">
        <f t="array" ref="B122">IF(ROWS(B$4:B122)&lt;=$B$2,INDEX(data!A$3:A$106299,SMALL(IF(data!$D$3:$D$106299=$B$1,ROW($A$2:$A$98971)-ROW($A$2)+1),ROWS(B$4:B122))),"")</f>
        <v>ЗАЕМ</v>
      </c>
      <c r="C122" s="12">
        <f t="array" ref="C122">IF(ROWS(C$4:C122)&lt;=$B$2,INDEX(data!B$3:B$106299,SMALL(IF(data!$D$3:$D$106299=$B$1,ROW($A$2:$A$98971)-ROW($A$2)+1),ROWS(C$4:C122))),"")</f>
        <v>109573.05</v>
      </c>
      <c r="D122" s="12" t="str">
        <f t="array" ref="D122">IF(ROWS(D$4:D122)&lt;=$B$2,INDEX(data!E$3:E$106299,SMALL(IF(data!$D$3:$D$106299=$B$1,ROW($A$2:$A$98971)-ROW($A$2)+1),ROWS(D$4:D122))),"")</f>
        <v>Салдо склад + вътр. п-не</v>
      </c>
    </row>
    <row r="123">
      <c r="A123" s="34">
        <f t="array" ref="A123">IF(ROWS(A$4:A123)&lt;=$B$2,INDEX(data!C$3:C$106299,SMALL(IF(data!$D$3:$D$106299=$B$1,ROW($A$2:$A$98971)-ROW($A$2)+1),ROWS(A$4:A123))),"")</f>
        <v>46149</v>
      </c>
      <c r="B123" s="12" t="str">
        <f t="array" ref="B123">IF(ROWS(B$4:B123)&lt;=$B$2,INDEX(data!A$3:A$106299,SMALL(IF(data!$D$3:$D$106299=$B$1,ROW($A$2:$A$98971)-ROW($A$2)+1),ROWS(B$4:B123))),"")</f>
        <v>КАСОВА КНИГА</v>
      </c>
      <c r="C123" s="12">
        <f t="array" ref="C123">IF(ROWS(C$4:C123)&lt;=$B$2,INDEX(data!B$3:B$106299,SMALL(IF(data!$D$3:$D$106299=$B$1,ROW($A$2:$A$98971)-ROW($A$2)+1),ROWS(C$4:C123))),"")</f>
        <v>-1000</v>
      </c>
      <c r="D123" s="12" t="str">
        <f t="array" ref="D123">IF(ROWS(D$4:D123)&lt;=$B$2,INDEX(data!E$3:E$106299,SMALL(IF(data!$D$3:$D$106299=$B$1,ROW($A$2:$A$98971)-ROW($A$2)+1),ROWS(D$4:D123))),"")</f>
        <v/>
      </c>
    </row>
    <row r="124">
      <c r="A124" s="34">
        <f t="array" ref="A124">IF(ROWS(A$4:A124)&lt;=$B$2,INDEX(data!C$3:C$106299,SMALL(IF(data!$D$3:$D$106299=$B$1,ROW($A$2:$A$98971)-ROW($A$2)+1),ROWS(A$4:A124))),"")</f>
        <v>46149</v>
      </c>
      <c r="B124" s="12" t="str">
        <f t="array" ref="B124">IF(ROWS(B$4:B124)&lt;=$B$2,INDEX(data!A$3:A$106299,SMALL(IF(data!$D$3:$D$106299=$B$1,ROW($A$2:$A$98971)-ROW($A$2)+1),ROWS(B$4:B124))),"")</f>
        <v>Каса ВАУЧЕРИ</v>
      </c>
      <c r="C124" s="12">
        <f t="array" ref="C124">IF(ROWS(C$4:C124)&lt;=$B$2,INDEX(data!B$3:B$106299,SMALL(IF(data!$D$3:$D$106299=$B$1,ROW($A$2:$A$98971)-ROW($A$2)+1),ROWS(C$4:C124))),"")</f>
        <v>-40.08</v>
      </c>
      <c r="D124" s="12" t="str">
        <f t="array" ref="D124">IF(ROWS(D$4:D124)&lt;=$B$2,INDEX(data!E$3:E$106299,SMALL(IF(data!$D$3:$D$106299=$B$1,ROW($A$2:$A$98971)-ROW($A$2)+1),ROWS(D$4:D124))),"")</f>
        <v>към 20.04</v>
      </c>
    </row>
    <row r="125">
      <c r="A125" s="34">
        <f t="array" ref="A125">IF(ROWS(A$4:A125)&lt;=$B$2,INDEX(data!C$3:C$106299,SMALL(IF(data!$D$3:$D$106299=$B$1,ROW($A$2:$A$98971)-ROW($A$2)+1),ROWS(A$4:A125))),"")</f>
        <v>46150</v>
      </c>
      <c r="B125" s="12" t="str">
        <f t="array" ref="B125">IF(ROWS(B$4:B125)&lt;=$B$2,INDEX(data!A$3:A$106299,SMALL(IF(data!$D$3:$D$106299=$B$1,ROW($A$2:$A$98971)-ROW($A$2)+1),ROWS(B$4:B125))),"")</f>
        <v>КАСОВА КНИГА</v>
      </c>
      <c r="C125" s="12">
        <f t="array" ref="C125">IF(ROWS(C$4:C125)&lt;=$B$2,INDEX(data!B$3:B$106299,SMALL(IF(data!$D$3:$D$106299=$B$1,ROW($A$2:$A$98971)-ROW($A$2)+1),ROWS(C$4:C125))),"")</f>
        <v>1000</v>
      </c>
      <c r="D125" s="12" t="str">
        <f t="array" ref="D125">IF(ROWS(D$4:D125)&lt;=$B$2,INDEX(data!E$3:E$106299,SMALL(IF(data!$D$3:$D$106299=$B$1,ROW($A$2:$A$98971)-ROW($A$2)+1),ROWS(D$4:D125))),"")</f>
        <v>заем</v>
      </c>
    </row>
    <row r="126">
      <c r="A126" s="34">
        <f t="array" ref="A126">IF(ROWS(A$4:A126)&lt;=$B$2,INDEX(data!C$3:C$106299,SMALL(IF(data!$D$3:$D$106299=$B$1,ROW($A$2:$A$98971)-ROW($A$2)+1),ROWS(A$4:A126))),"")</f>
        <v>46150</v>
      </c>
      <c r="B126" s="12" t="str">
        <f t="array" ref="B126">IF(ROWS(B$4:B126)&lt;=$B$2,INDEX(data!A$3:A$106299,SMALL(IF(data!$D$3:$D$106299=$B$1,ROW($A$2:$A$98971)-ROW($A$2)+1),ROWS(B$4:B126))),"")</f>
        <v>КАСОВА КНИГА</v>
      </c>
      <c r="C126" s="12">
        <f t="array" ref="C126">IF(ROWS(C$4:C126)&lt;=$B$2,INDEX(data!B$3:B$106299,SMALL(IF(data!$D$3:$D$106299=$B$1,ROW($A$2:$A$98971)-ROW($A$2)+1),ROWS(C$4:C126))),"")</f>
        <v>-598.69</v>
      </c>
      <c r="D126" s="12" t="str">
        <f t="array" ref="D126">IF(ROWS(D$4:D126)&lt;=$B$2,INDEX(data!E$3:E$106299,SMALL(IF(data!$D$3:$D$106299=$B$1,ROW($A$2:$A$98971)-ROW($A$2)+1),ROWS(D$4:D126))),"")</f>
        <v>платени банани</v>
      </c>
    </row>
    <row r="127">
      <c r="A127" s="34">
        <f t="array" ref="A127">IF(ROWS(A$4:A127)&lt;=$B$2,INDEX(data!C$3:C$106299,SMALL(IF(data!$D$3:$D$106299=$B$1,ROW($A$2:$A$98971)-ROW($A$2)+1),ROWS(A$4:A127))),"")</f>
        <v>46153</v>
      </c>
      <c r="B127" s="12" t="str">
        <f t="array" ref="B127">IF(ROWS(B$4:B127)&lt;=$B$2,INDEX(data!A$3:A$106299,SMALL(IF(data!$D$3:$D$106299=$B$1,ROW($A$2:$A$98971)-ROW($A$2)+1),ROWS(B$4:B127))),"")</f>
        <v>MYPOS Бакалия</v>
      </c>
      <c r="C127" s="12">
        <f t="array" ref="C127">IF(ROWS(C$4:C127)&lt;=$B$2,INDEX(data!B$3:B$106299,SMALL(IF(data!$D$3:$D$106299=$B$1,ROW($A$2:$A$98971)-ROW($A$2)+1),ROWS(C$4:C127))),"")</f>
        <v>-16176.67</v>
      </c>
      <c r="D127" s="12" t="str">
        <f t="array" ref="D127">IF(ROWS(D$4:D127)&lt;=$B$2,INDEX(data!E$3:E$106299,SMALL(IF(data!$D$3:$D$106299=$B$1,ROW($A$2:$A$98971)-ROW($A$2)+1),ROWS(D$4:D127))),"")</f>
        <v/>
      </c>
    </row>
    <row r="128">
      <c r="A128" s="34">
        <f t="array" ref="A128">IF(ROWS(A$4:A128)&lt;=$B$2,INDEX(data!C$3:C$106299,SMALL(IF(data!$D$3:$D$106299=$B$1,ROW($A$2:$A$98971)-ROW($A$2)+1),ROWS(A$4:A128))),"")</f>
        <v>46153</v>
      </c>
      <c r="B128" s="12" t="str">
        <f t="array" ref="B128">IF(ROWS(B$4:B128)&lt;=$B$2,INDEX(data!A$3:A$106299,SMALL(IF(data!$D$3:$D$106299=$B$1,ROW($A$2:$A$98971)-ROW($A$2)+1),ROWS(B$4:B128))),"")</f>
        <v>КАСОВА КНИГА</v>
      </c>
      <c r="C128" s="12">
        <f t="array" ref="C128">IF(ROWS(C$4:C128)&lt;=$B$2,INDEX(data!B$3:B$106299,SMALL(IF(data!$D$3:$D$106299=$B$1,ROW($A$2:$A$98971)-ROW($A$2)+1),ROWS(C$4:C128))),"")</f>
        <v>-2500</v>
      </c>
      <c r="D128" s="12" t="str">
        <f t="array" ref="D128">IF(ROWS(D$4:D128)&lt;=$B$2,INDEX(data!E$3:E$106299,SMALL(IF(data!$D$3:$D$106299=$B$1,ROW($A$2:$A$98971)-ROW($A$2)+1),ROWS(D$4:D128))),"")</f>
        <v/>
      </c>
    </row>
    <row r="129">
      <c r="A129" s="34">
        <f t="array" ref="A129">IF(ROWS(A$4:A129)&lt;=$B$2,INDEX(data!C$3:C$106299,SMALL(IF(data!$D$3:$D$106299=$B$1,ROW($A$2:$A$98971)-ROW($A$2)+1),ROWS(A$4:A129))),"")</f>
        <v>46154</v>
      </c>
      <c r="B129" s="12" t="str">
        <f t="array" ref="B129">IF(ROWS(B$4:B129)&lt;=$B$2,INDEX(data!A$3:A$106299,SMALL(IF(data!$D$3:$D$106299=$B$1,ROW($A$2:$A$98971)-ROW($A$2)+1),ROWS(B$4:B129))),"")</f>
        <v>КАСОВА КНИГА</v>
      </c>
      <c r="C129" s="12">
        <f t="array" ref="C129">IF(ROWS(C$4:C129)&lt;=$B$2,INDEX(data!B$3:B$106299,SMALL(IF(data!$D$3:$D$106299=$B$1,ROW($A$2:$A$98971)-ROW($A$2)+1),ROWS(C$4:C129))),"")</f>
        <v>-624</v>
      </c>
      <c r="D129" s="12" t="str">
        <f t="array" ref="D129">IF(ROWS(D$4:D129)&lt;=$B$2,INDEX(data!E$3:E$106299,SMALL(IF(data!$D$3:$D$106299=$B$1,ROW($A$2:$A$98971)-ROW($A$2)+1),ROWS(D$4:D129))),"")</f>
        <v>Банани</v>
      </c>
    </row>
    <row r="130">
      <c r="A130" s="34">
        <f t="array" ref="A130">IF(ROWS(A$4:A130)&lt;=$B$2,INDEX(data!C$3:C$106299,SMALL(IF(data!$D$3:$D$106299=$B$1,ROW($A$2:$A$98971)-ROW($A$2)+1),ROWS(A$4:A130))),"")</f>
        <v>46157</v>
      </c>
      <c r="B130" s="12" t="str">
        <f t="array" ref="B130">IF(ROWS(B$4:B130)&lt;=$B$2,INDEX(data!A$3:A$106299,SMALL(IF(data!$D$3:$D$106299=$B$1,ROW($A$2:$A$98971)-ROW($A$2)+1),ROWS(B$4:B130))),"")</f>
        <v>Каса ВАУЧЕРИ</v>
      </c>
      <c r="C130" s="12">
        <f t="array" ref="C130">IF(ROWS(C$4:C130)&lt;=$B$2,INDEX(data!B$3:B$106299,SMALL(IF(data!$D$3:$D$106299=$B$1,ROW($A$2:$A$98971)-ROW($A$2)+1),ROWS(C$4:C130))),"")</f>
        <v>-60.2</v>
      </c>
      <c r="D130" s="12" t="str">
        <f t="array" ref="D130">IF(ROWS(D$4:D130)&lt;=$B$2,INDEX(data!E$3:E$106299,SMALL(IF(data!$D$3:$D$106299=$B$1,ROW($A$2:$A$98971)-ROW($A$2)+1),ROWS(D$4:D130))),"")</f>
        <v/>
      </c>
    </row>
    <row r="131">
      <c r="A131" s="34">
        <f t="array" ref="A131">IF(ROWS(A$4:A131)&lt;=$B$2,INDEX(data!C$3:C$106299,SMALL(IF(data!$D$3:$D$106299=$B$1,ROW($A$2:$A$98971)-ROW($A$2)+1),ROWS(A$4:A131))),"")</f>
        <v>46157</v>
      </c>
      <c r="B131" s="12" t="str">
        <f t="array" ref="B131">IF(ROWS(B$4:B131)&lt;=$B$2,INDEX(data!A$3:A$106299,SMALL(IF(data!$D$3:$D$106299=$B$1,ROW($A$2:$A$98971)-ROW($A$2)+1),ROWS(B$4:B131))),"")</f>
        <v>каса ФИКТИВНА</v>
      </c>
      <c r="C131" s="12">
        <f t="array" ref="C131">IF(ROWS(C$4:C131)&lt;=$B$2,INDEX(data!B$3:B$106299,SMALL(IF(data!$D$3:$D$106299=$B$1,ROW($A$2:$A$98971)-ROW($A$2)+1),ROWS(C$4:C131))),"")</f>
        <v>-768.96</v>
      </c>
      <c r="D131" s="12" t="str">
        <f t="array" ref="D131">IF(ROWS(D$4:D131)&lt;=$B$2,INDEX(data!E$3:E$106299,SMALL(IF(data!$D$3:$D$106299=$B$1,ROW($A$2:$A$98971)-ROW($A$2)+1),ROWS(D$4:D131))),"")</f>
        <v>Домати</v>
      </c>
    </row>
    <row r="132">
      <c r="A132" s="34">
        <f t="array" ref="A132">IF(ROWS(A$4:A132)&lt;=$B$2,INDEX(data!C$3:C$106299,SMALL(IF(data!$D$3:$D$106299=$B$1,ROW($A$2:$A$98971)-ROW($A$2)+1),ROWS(A$4:A132))),"")</f>
        <v>46160</v>
      </c>
      <c r="B132" s="12" t="str">
        <f t="array" ref="B132">IF(ROWS(B$4:B132)&lt;=$B$2,INDEX(data!A$3:A$106299,SMALL(IF(data!$D$3:$D$106299=$B$1,ROW($A$2:$A$98971)-ROW($A$2)+1),ROWS(B$4:B132))),"")</f>
        <v>MYPOS Бакалия</v>
      </c>
      <c r="C132" s="12">
        <f t="array" ref="C132">IF(ROWS(C$4:C132)&lt;=$B$2,INDEX(data!B$3:B$106299,SMALL(IF(data!$D$3:$D$106299=$B$1,ROW($A$2:$A$98971)-ROW($A$2)+1),ROWS(C$4:C132))),"")</f>
        <v>-16943.61</v>
      </c>
      <c r="D132" s="12" t="str">
        <f t="array" ref="D132">IF(ROWS(D$4:D132)&lt;=$B$2,INDEX(data!E$3:E$106299,SMALL(IF(data!$D$3:$D$106299=$B$1,ROW($A$2:$A$98971)-ROW($A$2)+1),ROWS(D$4:D132))),"")</f>
        <v/>
      </c>
    </row>
    <row r="133">
      <c r="A133" s="34">
        <f t="array" ref="A133">IF(ROWS(A$4:A133)&lt;=$B$2,INDEX(data!C$3:C$106299,SMALL(IF(data!$D$3:$D$106299=$B$1,ROW($A$2:$A$98971)-ROW($A$2)+1),ROWS(A$4:A133))),"")</f>
        <v>46160</v>
      </c>
      <c r="B133" s="12" t="str">
        <f t="array" ref="B133">IF(ROWS(B$4:B133)&lt;=$B$2,INDEX(data!A$3:A$106299,SMALL(IF(data!$D$3:$D$106299=$B$1,ROW($A$2:$A$98971)-ROW($A$2)+1),ROWS(B$4:B133))),"")</f>
        <v>КАСОВА КНИГА</v>
      </c>
      <c r="C133" s="12">
        <f t="array" ref="C133">IF(ROWS(C$4:C133)&lt;=$B$2,INDEX(data!B$3:B$106299,SMALL(IF(data!$D$3:$D$106299=$B$1,ROW($A$2:$A$98971)-ROW($A$2)+1),ROWS(C$4:C133))),"")</f>
        <v>-1000</v>
      </c>
      <c r="D133" s="12" t="str">
        <f t="array" ref="D133">IF(ROWS(D$4:D133)&lt;=$B$2,INDEX(data!E$3:E$106299,SMALL(IF(data!$D$3:$D$106299=$B$1,ROW($A$2:$A$98971)-ROW($A$2)+1),ROWS(D$4:D133))),"")</f>
        <v/>
      </c>
    </row>
    <row r="134">
      <c r="A134" s="34">
        <f t="array" ref="A134">IF(ROWS(A$4:A134)&lt;=$B$2,INDEX(data!C$3:C$106299,SMALL(IF(data!$D$3:$D$106299=$B$1,ROW($A$2:$A$98971)-ROW($A$2)+1),ROWS(A$4:A134))),"")</f>
        <v>46160</v>
      </c>
      <c r="B134" s="12" t="str">
        <f t="array" ref="B134">IF(ROWS(B$4:B134)&lt;=$B$2,INDEX(data!A$3:A$106299,SMALL(IF(data!$D$3:$D$106299=$B$1,ROW($A$2:$A$98971)-ROW($A$2)+1),ROWS(B$4:B134))),"")</f>
        <v>КАСОВА КНИГА</v>
      </c>
      <c r="C134" s="12">
        <f t="array" ref="C134">IF(ROWS(C$4:C134)&lt;=$B$2,INDEX(data!B$3:B$106299,SMALL(IF(data!$D$3:$D$106299=$B$1,ROW($A$2:$A$98971)-ROW($A$2)+1),ROWS(C$4:C134))),"")</f>
        <v>-652.54</v>
      </c>
      <c r="D134" s="12" t="str">
        <f t="array" ref="D134">IF(ROWS(D$4:D134)&lt;=$B$2,INDEX(data!E$3:E$106299,SMALL(IF(data!$D$3:$D$106299=$B$1,ROW($A$2:$A$98971)-ROW($A$2)+1),ROWS(D$4:D134))),"")</f>
        <v>платени банани</v>
      </c>
    </row>
    <row r="135">
      <c r="A135" s="34">
        <f t="array" ref="A135">IF(ROWS(A$4:A135)&lt;=$B$2,INDEX(data!C$3:C$106299,SMALL(IF(data!$D$3:$D$106299=$B$1,ROW($A$2:$A$98971)-ROW($A$2)+1),ROWS(A$4:A135))),"")</f>
        <v>46161</v>
      </c>
      <c r="B135" s="12" t="str">
        <f t="array" ref="B135">IF(ROWS(B$4:B135)&lt;=$B$2,INDEX(data!A$3:A$106299,SMALL(IF(data!$D$3:$D$106299=$B$1,ROW($A$2:$A$98971)-ROW($A$2)+1),ROWS(B$4:B135))),"")</f>
        <v>КАСОВА КНИГА</v>
      </c>
      <c r="C135" s="12">
        <f t="array" ref="C135">IF(ROWS(C$4:C135)&lt;=$B$2,INDEX(data!B$3:B$106299,SMALL(IF(data!$D$3:$D$106299=$B$1,ROW($A$2:$A$98971)-ROW($A$2)+1),ROWS(C$4:C135))),"")</f>
        <v>-598.69</v>
      </c>
      <c r="D135" s="12" t="str">
        <f t="array" ref="D135">IF(ROWS(D$4:D135)&lt;=$B$2,INDEX(data!E$3:E$106299,SMALL(IF(data!$D$3:$D$106299=$B$1,ROW($A$2:$A$98971)-ROW($A$2)+1),ROWS(D$4:D135))),"")</f>
        <v>платени банани</v>
      </c>
    </row>
    <row r="136">
      <c r="A136" s="34">
        <f t="array" ref="A136">IF(ROWS(A$4:A136)&lt;=$B$2,INDEX(data!C$3:C$106299,SMALL(IF(data!$D$3:$D$106299=$B$1,ROW($A$2:$A$98971)-ROW($A$2)+1),ROWS(A$4:A136))),"")</f>
        <v>46162</v>
      </c>
      <c r="B136" s="12" t="str">
        <f t="array" ref="B136">IF(ROWS(B$4:B136)&lt;=$B$2,INDEX(data!A$3:A$106299,SMALL(IF(data!$D$3:$D$106299=$B$1,ROW($A$2:$A$98971)-ROW($A$2)+1),ROWS(B$4:B136))),"")</f>
        <v>КАСОВА КНИГА</v>
      </c>
      <c r="C136" s="12">
        <f t="array" ref="C136">IF(ROWS(C$4:C136)&lt;=$B$2,INDEX(data!B$3:B$106299,SMALL(IF(data!$D$3:$D$106299=$B$1,ROW($A$2:$A$98971)-ROW($A$2)+1),ROWS(C$4:C136))),"")</f>
        <v>-769.48</v>
      </c>
      <c r="D136" s="12" t="str">
        <f t="array" ref="D136">IF(ROWS(D$4:D136)&lt;=$B$2,INDEX(data!E$3:E$106299,SMALL(IF(data!$D$3:$D$106299=$B$1,ROW($A$2:$A$98971)-ROW($A$2)+1),ROWS(D$4:D136))),"")</f>
        <v>платен зеленчук</v>
      </c>
    </row>
    <row r="137">
      <c r="A137" s="34">
        <f t="array" ref="A137">IF(ROWS(A$4:A137)&lt;=$B$2,INDEX(data!C$3:C$106299,SMALL(IF(data!$D$3:$D$106299=$B$1,ROW($A$2:$A$98971)-ROW($A$2)+1),ROWS(A$4:A137))),"")</f>
        <v>46162</v>
      </c>
      <c r="B137" s="12" t="str">
        <f t="array" ref="B137">IF(ROWS(B$4:B137)&lt;=$B$2,INDEX(data!A$3:A$106299,SMALL(IF(data!$D$3:$D$106299=$B$1,ROW($A$2:$A$98971)-ROW($A$2)+1),ROWS(B$4:B137))),"")</f>
        <v>Каса ВАУЧЕРИ</v>
      </c>
      <c r="C137" s="12">
        <f t="array" ref="C137">IF(ROWS(C$4:C137)&lt;=$B$2,INDEX(data!B$3:B$106299,SMALL(IF(data!$D$3:$D$106299=$B$1,ROW($A$2:$A$98971)-ROW($A$2)+1),ROWS(C$4:C137))),"")</f>
        <v>800</v>
      </c>
      <c r="D137" s="12" t="str">
        <f t="array" ref="D137">IF(ROWS(D$4:D137)&lt;=$B$2,INDEX(data!E$3:E$106299,SMALL(IF(data!$D$3:$D$106299=$B$1,ROW($A$2:$A$98971)-ROW($A$2)+1),ROWS(D$4:D137))),"")</f>
        <v>ваучери персонал</v>
      </c>
    </row>
    <row r="138">
      <c r="A138" s="34">
        <f t="array" ref="A138">IF(ROWS(A$4:A138)&lt;=$B$2,INDEX(data!C$3:C$106299,SMALL(IF(data!$D$3:$D$106299=$B$1,ROW($A$2:$A$98971)-ROW($A$2)+1),ROWS(A$4:A138))),"")</f>
        <v>46163</v>
      </c>
      <c r="B138" s="12" t="str">
        <f t="array" ref="B138">IF(ROWS(B$4:B138)&lt;=$B$2,INDEX(data!A$3:A$106299,SMALL(IF(data!$D$3:$D$106299=$B$1,ROW($A$2:$A$98971)-ROW($A$2)+1),ROWS(B$4:B138))),"")</f>
        <v>Каса ВАУЧЕРИ</v>
      </c>
      <c r="C138" s="12">
        <f t="array" ref="C138">IF(ROWS(C$4:C138)&lt;=$B$2,INDEX(data!B$3:B$106299,SMALL(IF(data!$D$3:$D$106299=$B$1,ROW($A$2:$A$98971)-ROW($A$2)+1),ROWS(C$4:C138))),"")</f>
        <v>-91</v>
      </c>
      <c r="D138" s="12" t="str">
        <f t="array" ref="D138">IF(ROWS(D$4:D138)&lt;=$B$2,INDEX(data!E$3:E$106299,SMALL(IF(data!$D$3:$D$106299=$B$1,ROW($A$2:$A$98971)-ROW($A$2)+1),ROWS(D$4:D138))),"")</f>
        <v/>
      </c>
    </row>
    <row r="139">
      <c r="A139" s="34">
        <f t="array" ref="A139">IF(ROWS(A$4:A139)&lt;=$B$2,INDEX(data!C$3:C$106299,SMALL(IF(data!$D$3:$D$106299=$B$1,ROW($A$2:$A$98971)-ROW($A$2)+1),ROWS(A$4:A139))),"")</f>
        <v>46164</v>
      </c>
      <c r="B139" s="12" t="str">
        <f t="array" ref="B139">IF(ROWS(B$4:B139)&lt;=$B$2,INDEX(data!A$3:A$106299,SMALL(IF(data!$D$3:$D$106299=$B$1,ROW($A$2:$A$98971)-ROW($A$2)+1),ROWS(B$4:B139))),"")</f>
        <v>КАСОВА КНИГА</v>
      </c>
      <c r="C139" s="12">
        <f t="array" ref="C139">IF(ROWS(C$4:C139)&lt;=$B$2,INDEX(data!B$3:B$106299,SMALL(IF(data!$D$3:$D$106299=$B$1,ROW($A$2:$A$98971)-ROW($A$2)+1),ROWS(C$4:C139))),"")</f>
        <v>-598.69</v>
      </c>
      <c r="D139" s="12" t="str">
        <f t="array" ref="D139">IF(ROWS(D$4:D139)&lt;=$B$2,INDEX(data!E$3:E$106299,SMALL(IF(data!$D$3:$D$106299=$B$1,ROW($A$2:$A$98971)-ROW($A$2)+1),ROWS(D$4:D139))),"")</f>
        <v>платени банани</v>
      </c>
    </row>
    <row r="140">
      <c r="A140" s="34">
        <f t="array" ref="A140">IF(ROWS(A$4:A140)&lt;=$B$2,INDEX(data!C$3:C$106299,SMALL(IF(data!$D$3:$D$106299=$B$1,ROW($A$2:$A$98971)-ROW($A$2)+1),ROWS(A$4:A140))),"")</f>
        <v>46167</v>
      </c>
      <c r="B140" s="12" t="str">
        <f t="array" ref="B140">IF(ROWS(B$4:B140)&lt;=$B$2,INDEX(data!A$3:A$106299,SMALL(IF(data!$D$3:$D$106299=$B$1,ROW($A$2:$A$98971)-ROW($A$2)+1),ROWS(B$4:B140))),"")</f>
        <v>MYPOS Бакалия</v>
      </c>
      <c r="C140" s="12">
        <f t="array" ref="C140">IF(ROWS(C$4:C140)&lt;=$B$2,INDEX(data!B$3:B$106299,SMALL(IF(data!$D$3:$D$106299=$B$1,ROW($A$2:$A$98971)-ROW($A$2)+1),ROWS(C$4:C140))),"")</f>
        <v>-11042.19</v>
      </c>
      <c r="D140" s="12" t="str">
        <f t="array" ref="D140">IF(ROWS(D$4:D140)&lt;=$B$2,INDEX(data!E$3:E$106299,SMALL(IF(data!$D$3:$D$106299=$B$1,ROW($A$2:$A$98971)-ROW($A$2)+1),ROWS(D$4:D140))),"")</f>
        <v/>
      </c>
    </row>
    <row r="141">
      <c r="A141" s="34">
        <f t="array" ref="A141">IF(ROWS(A$4:A141)&lt;=$B$2,INDEX(data!C$3:C$106299,SMALL(IF(data!$D$3:$D$106299=$B$1,ROW($A$2:$A$98971)-ROW($A$2)+1),ROWS(A$4:A141))),"")</f>
        <v>46168</v>
      </c>
      <c r="B141" s="12" t="str">
        <f t="array" ref="B141">IF(ROWS(B$4:B141)&lt;=$B$2,INDEX(data!A$3:A$106299,SMALL(IF(data!$D$3:$D$106299=$B$1,ROW($A$2:$A$98971)-ROW($A$2)+1),ROWS(B$4:B141))),"")</f>
        <v>КАСОВА КНИГА</v>
      </c>
      <c r="C141" s="12">
        <f t="array" ref="C141">IF(ROWS(C$4:C141)&lt;=$B$2,INDEX(data!B$3:B$106299,SMALL(IF(data!$D$3:$D$106299=$B$1,ROW($A$2:$A$98971)-ROW($A$2)+1),ROWS(C$4:C141))),"")</f>
        <v>-1500</v>
      </c>
      <c r="D141" s="12" t="str">
        <f t="array" ref="D141">IF(ROWS(D$4:D141)&lt;=$B$2,INDEX(data!E$3:E$106299,SMALL(IF(data!$D$3:$D$106299=$B$1,ROW($A$2:$A$98971)-ROW($A$2)+1),ROWS(D$4:D141))),"")</f>
        <v/>
      </c>
    </row>
    <row r="142">
      <c r="A142" s="34">
        <f t="array" ref="A142">IF(ROWS(A$4:A142)&lt;=$B$2,INDEX(data!C$3:C$106299,SMALL(IF(data!$D$3:$D$106299=$B$1,ROW($A$2:$A$98971)-ROW($A$2)+1),ROWS(A$4:A142))),"")</f>
        <v>46168</v>
      </c>
      <c r="B142" s="12" t="str">
        <f t="array" ref="B142">IF(ROWS(B$4:B142)&lt;=$B$2,INDEX(data!A$3:A$106299,SMALL(IF(data!$D$3:$D$106299=$B$1,ROW($A$2:$A$98971)-ROW($A$2)+1),ROWS(B$4:B142))),"")</f>
        <v>КАСОВА КНИГА</v>
      </c>
      <c r="C142" s="12">
        <f t="array" ref="C142">IF(ROWS(C$4:C142)&lt;=$B$2,INDEX(data!B$3:B$106299,SMALL(IF(data!$D$3:$D$106299=$B$1,ROW($A$2:$A$98971)-ROW($A$2)+1),ROWS(C$4:C142))),"")</f>
        <v>-572.66</v>
      </c>
      <c r="D142" s="12" t="str">
        <f t="array" ref="D142">IF(ROWS(D$4:D142)&lt;=$B$2,INDEX(data!E$3:E$106299,SMALL(IF(data!$D$3:$D$106299=$B$1,ROW($A$2:$A$98971)-ROW($A$2)+1),ROWS(D$4:D142))),"")</f>
        <v>платени банани</v>
      </c>
    </row>
    <row r="143">
      <c r="A143" s="34">
        <f t="array" ref="A143">IF(ROWS(A$4:A143)&lt;=$B$2,INDEX(data!C$3:C$106299,SMALL(IF(data!$D$3:$D$106299=$B$1,ROW($A$2:$A$98971)-ROW($A$2)+1),ROWS(A$4:A143))),"")</f>
        <v>46169</v>
      </c>
      <c r="B143" s="12" t="str">
        <f t="array" ref="B143">IF(ROWS(B$4:B143)&lt;=$B$2,INDEX(data!A$3:A$106299,SMALL(IF(data!$D$3:$D$106299=$B$1,ROW($A$2:$A$98971)-ROW($A$2)+1),ROWS(B$4:B143))),"")</f>
        <v>каса ФИКТИВНА</v>
      </c>
      <c r="C143" s="12">
        <f t="array" ref="C143">IF(ROWS(C$4:C143)&lt;=$B$2,INDEX(data!B$3:B$106299,SMALL(IF(data!$D$3:$D$106299=$B$1,ROW($A$2:$A$98971)-ROW($A$2)+1),ROWS(C$4:C143))),"")</f>
        <v>-817.7</v>
      </c>
      <c r="D143" s="12" t="str">
        <f t="array" ref="D143">IF(ROWS(D$4:D143)&lt;=$B$2,INDEX(data!E$3:E$106299,SMALL(IF(data!$D$3:$D$106299=$B$1,ROW($A$2:$A$98971)-ROW($A$2)+1),ROWS(D$4:D143))),"")</f>
        <v>платени домати</v>
      </c>
    </row>
    <row r="144">
      <c r="A144" s="34">
        <f t="array" ref="A144">IF(ROWS(A$4:A144)&lt;=$B$2,INDEX(data!C$3:C$106299,SMALL(IF(data!$D$3:$D$106299=$B$1,ROW($A$2:$A$98971)-ROW($A$2)+1),ROWS(A$4:A144))),"")</f>
        <v>46171</v>
      </c>
      <c r="B144" s="12" t="str">
        <f t="array" ref="B144">IF(ROWS(B$4:B144)&lt;=$B$2,INDEX(data!A$3:A$106299,SMALL(IF(data!$D$3:$D$106299=$B$1,ROW($A$2:$A$98971)-ROW($A$2)+1),ROWS(B$4:B144))),"")</f>
        <v>КАСОВА КНИГА</v>
      </c>
      <c r="C144" s="12">
        <f t="array" ref="C144">IF(ROWS(C$4:C144)&lt;=$B$2,INDEX(data!B$3:B$106299,SMALL(IF(data!$D$3:$D$106299=$B$1,ROW($A$2:$A$98971)-ROW($A$2)+1),ROWS(C$4:C144))),"")</f>
        <v>-728.84</v>
      </c>
      <c r="D144" s="12" t="str">
        <f t="array" ref="D144">IF(ROWS(D$4:D144)&lt;=$B$2,INDEX(data!E$3:E$106299,SMALL(IF(data!$D$3:$D$106299=$B$1,ROW($A$2:$A$98971)-ROW($A$2)+1),ROWS(D$4:D144))),"")</f>
        <v>платени банани</v>
      </c>
    </row>
    <row r="145">
      <c r="A145" s="34">
        <f t="array" ref="A145">IF(ROWS(A$4:A145)&lt;=$B$2,INDEX(data!C$3:C$106299,SMALL(IF(data!$D$3:$D$106299=$B$1,ROW($A$2:$A$98971)-ROW($A$2)+1),ROWS(A$4:A145))),"")</f>
        <v>46174</v>
      </c>
      <c r="B145" s="12" t="str">
        <f t="array" ref="B145">IF(ROWS(B$4:B145)&lt;=$B$2,INDEX(data!A$3:A$106299,SMALL(IF(data!$D$3:$D$106299=$B$1,ROW($A$2:$A$98971)-ROW($A$2)+1),ROWS(B$4:B145))),"")</f>
        <v>MYPOS Бакалия</v>
      </c>
      <c r="C145" s="12">
        <f t="array" ref="C145">IF(ROWS(C$4:C145)&lt;=$B$2,INDEX(data!B$3:B$106299,SMALL(IF(data!$D$3:$D$106299=$B$1,ROW($A$2:$A$98971)-ROW($A$2)+1),ROWS(C$4:C145))),"")</f>
        <v>-12748.65</v>
      </c>
      <c r="D145" s="12" t="str">
        <f t="array" ref="D145">IF(ROWS(D$4:D145)&lt;=$B$2,INDEX(data!E$3:E$106299,SMALL(IF(data!$D$3:$D$106299=$B$1,ROW($A$2:$A$98971)-ROW($A$2)+1),ROWS(D$4:D145))),"")</f>
        <v/>
      </c>
    </row>
    <row r="146">
      <c r="A146" s="34">
        <f t="array" ref="A146">IF(ROWS(A$4:A146)&lt;=$B$2,INDEX(data!C$3:C$106299,SMALL(IF(data!$D$3:$D$106299=$B$1,ROW($A$2:$A$98971)-ROW($A$2)+1),ROWS(A$4:A146))),"")</f>
        <v>46174</v>
      </c>
      <c r="B146" s="12" t="str">
        <f t="array" ref="B146">IF(ROWS(B$4:B146)&lt;=$B$2,INDEX(data!A$3:A$106299,SMALL(IF(data!$D$3:$D$106299=$B$1,ROW($A$2:$A$98971)-ROW($A$2)+1),ROWS(B$4:B146))),"")</f>
        <v>КАСОВА КНИГА</v>
      </c>
      <c r="C146" s="12">
        <f t="array" ref="C146">IF(ROWS(C$4:C146)&lt;=$B$2,INDEX(data!B$3:B$106299,SMALL(IF(data!$D$3:$D$106299=$B$1,ROW($A$2:$A$98971)-ROW($A$2)+1),ROWS(C$4:C146))),"")</f>
        <v>-2500</v>
      </c>
      <c r="D146" s="12" t="str">
        <f t="array" ref="D146">IF(ROWS(D$4:D146)&lt;=$B$2,INDEX(data!E$3:E$106299,SMALL(IF(data!$D$3:$D$106299=$B$1,ROW($A$2:$A$98971)-ROW($A$2)+1),ROWS(D$4:D146))),"")</f>
        <v/>
      </c>
    </row>
    <row r="147">
      <c r="A147" s="34">
        <f t="array" ref="A147">IF(ROWS(A$4:A147)&lt;=$B$2,INDEX(data!C$3:C$106299,SMALL(IF(data!$D$3:$D$106299=$B$1,ROW($A$2:$A$98971)-ROW($A$2)+1),ROWS(A$4:A147))),"")</f>
        <v>46175</v>
      </c>
      <c r="B147" s="12" t="str">
        <f t="array" ref="B147">IF(ROWS(B$4:B147)&lt;=$B$2,INDEX(data!A$3:A$106299,SMALL(IF(data!$D$3:$D$106299=$B$1,ROW($A$2:$A$98971)-ROW($A$2)+1),ROWS(B$4:B147))),"")</f>
        <v>КАСОВА КНИГА</v>
      </c>
      <c r="C147" s="12">
        <f t="array" ref="C147">IF(ROWS(C$4:C147)&lt;=$B$2,INDEX(data!B$3:B$106299,SMALL(IF(data!$D$3:$D$106299=$B$1,ROW($A$2:$A$98971)-ROW($A$2)+1),ROWS(C$4:C147))),"")</f>
        <v>-494.57</v>
      </c>
      <c r="D147" s="12" t="str">
        <f t="array" ref="D147">IF(ROWS(D$4:D147)&lt;=$B$2,INDEX(data!E$3:E$106299,SMALL(IF(data!$D$3:$D$106299=$B$1,ROW($A$2:$A$98971)-ROW($A$2)+1),ROWS(D$4:D147))),"")</f>
        <v>платени банани</v>
      </c>
    </row>
    <row r="148">
      <c r="A148" s="34">
        <f t="array" ref="A148">IF(ROWS(A$4:A148)&lt;=$B$2,INDEX(data!C$3:C$106299,SMALL(IF(data!$D$3:$D$106299=$B$1,ROW($A$2:$A$98971)-ROW($A$2)+1),ROWS(A$4:A148))),"")</f>
        <v>46175</v>
      </c>
      <c r="B148" s="12" t="str">
        <f t="array" ref="B148">IF(ROWS(B$4:B148)&lt;=$B$2,INDEX(data!A$3:A$106299,SMALL(IF(data!$D$3:$D$106299=$B$1,ROW($A$2:$A$98971)-ROW($A$2)+1),ROWS(B$4:B148))),"")</f>
        <v>ПОС ДСК Бакалия</v>
      </c>
      <c r="C148" s="12">
        <f t="array" ref="C148">IF(ROWS(C$4:C148)&lt;=$B$2,INDEX(data!B$3:B$106299,SMALL(IF(data!$D$3:$D$106299=$B$1,ROW($A$2:$A$98971)-ROW($A$2)+1),ROWS(C$4:C148))),"")</f>
        <v>-4227.06</v>
      </c>
      <c r="D148" s="12" t="str">
        <f t="array" ref="D148">IF(ROWS(D$4:D148)&lt;=$B$2,INDEX(data!E$3:E$106299,SMALL(IF(data!$D$3:$D$106299=$B$1,ROW($A$2:$A$98971)-ROW($A$2)+1),ROWS(D$4:D148))),"")</f>
        <v/>
      </c>
    </row>
    <row r="149">
      <c r="A149" s="34">
        <f t="array" ref="A149">IF(ROWS(A$4:A149)&lt;=$B$2,INDEX(data!C$3:C$106299,SMALL(IF(data!$D$3:$D$106299=$B$1,ROW($A$2:$A$98971)-ROW($A$2)+1),ROWS(A$4:A149))),"")</f>
        <v>46176</v>
      </c>
      <c r="B149" s="12" t="str">
        <f t="array" ref="B149">IF(ROWS(B$4:B149)&lt;=$B$2,INDEX(data!A$3:A$106299,SMALL(IF(data!$D$3:$D$106299=$B$1,ROW($A$2:$A$98971)-ROW($A$2)+1),ROWS(B$4:B149))),"")</f>
        <v>Каса ВАУЧЕРИ</v>
      </c>
      <c r="C149" s="12">
        <f t="array" ref="C149">IF(ROWS(C$4:C149)&lt;=$B$2,INDEX(data!B$3:B$106299,SMALL(IF(data!$D$3:$D$106299=$B$1,ROW($A$2:$A$98971)-ROW($A$2)+1),ROWS(C$4:C149))),"")</f>
        <v>-260.36</v>
      </c>
      <c r="D149" s="12" t="str">
        <f t="array" ref="D149">IF(ROWS(D$4:D149)&lt;=$B$2,INDEX(data!E$3:E$106299,SMALL(IF(data!$D$3:$D$106299=$B$1,ROW($A$2:$A$98971)-ROW($A$2)+1),ROWS(D$4:D149))),"")</f>
        <v>към 18.05</v>
      </c>
    </row>
    <row r="150">
      <c r="A150" s="34">
        <f t="array" ref="A150">IF(ROWS(A$4:A150)&lt;=$B$2,INDEX(data!C$3:C$106299,SMALL(IF(data!$D$3:$D$106299=$B$1,ROW($A$2:$A$98971)-ROW($A$2)+1),ROWS(A$4:A150))),"")</f>
        <v>46176</v>
      </c>
      <c r="B150" s="12" t="str">
        <f t="array" ref="B150">IF(ROWS(B$4:B150)&lt;=$B$2,INDEX(data!A$3:A$106299,SMALL(IF(data!$D$3:$D$106299=$B$1,ROW($A$2:$A$98971)-ROW($A$2)+1),ROWS(B$4:B150))),"")</f>
        <v>Каса ВАУЧЕРИ</v>
      </c>
      <c r="C150" s="12">
        <f t="array" ref="C150">IF(ROWS(C$4:C150)&lt;=$B$2,INDEX(data!B$3:B$106299,SMALL(IF(data!$D$3:$D$106299=$B$1,ROW($A$2:$A$98971)-ROW($A$2)+1),ROWS(C$4:C150))),"")</f>
        <v>-84</v>
      </c>
      <c r="D150" s="12" t="str">
        <f t="array" ref="D150">IF(ROWS(D$4:D150)&lt;=$B$2,INDEX(data!E$3:E$106299,SMALL(IF(data!$D$3:$D$106299=$B$1,ROW($A$2:$A$98971)-ROW($A$2)+1),ROWS(D$4:D150))),"")</f>
        <v>към 25.05</v>
      </c>
    </row>
    <row r="151">
      <c r="A151" s="34">
        <f t="array" ref="A151">IF(ROWS(A$4:A151)&lt;=$B$2,INDEX(data!C$3:C$106299,SMALL(IF(data!$D$3:$D$106299=$B$1,ROW($A$2:$A$98971)-ROW($A$2)+1),ROWS(A$4:A151))),"")</f>
        <v>46176</v>
      </c>
      <c r="B151" s="12" t="str">
        <f t="array" ref="B151">IF(ROWS(B$4:B151)&lt;=$B$2,INDEX(data!A$3:A$106299,SMALL(IF(data!$D$3:$D$106299=$B$1,ROW($A$2:$A$98971)-ROW($A$2)+1),ROWS(B$4:B151))),"")</f>
        <v>каса ФИКТИВНА</v>
      </c>
      <c r="C151" s="12">
        <f t="array" ref="C151">IF(ROWS(C$4:C151)&lt;=$B$2,INDEX(data!B$3:B$106299,SMALL(IF(data!$D$3:$D$106299=$B$1,ROW($A$2:$A$98971)-ROW($A$2)+1),ROWS(C$4:C151))),"")</f>
        <v>-300</v>
      </c>
      <c r="D151" s="12" t="str">
        <f t="array" ref="D151">IF(ROWS(D$4:D151)&lt;=$B$2,INDEX(data!E$3:E$106299,SMALL(IF(data!$D$3:$D$106299=$B$1,ROW($A$2:$A$98971)-ROW($A$2)+1),ROWS(D$4:D151))),"")</f>
        <v>Стефчо от заплатата</v>
      </c>
    </row>
    <row r="152">
      <c r="A152" s="34">
        <f t="array" ref="A152">IF(ROWS(A$4:A152)&lt;=$B$2,INDEX(data!C$3:C$106299,SMALL(IF(data!$D$3:$D$106299=$B$1,ROW($A$2:$A$98971)-ROW($A$2)+1),ROWS(A$4:A152))),"")</f>
        <v>46177</v>
      </c>
      <c r="B152" s="12" t="str">
        <f t="array" ref="B152">IF(ROWS(B$4:B152)&lt;=$B$2,INDEX(data!A$3:A$106299,SMALL(IF(data!$D$3:$D$106299=$B$1,ROW($A$2:$A$98971)-ROW($A$2)+1),ROWS(B$4:B152))),"")</f>
        <v>КАСОВА КНИГА</v>
      </c>
      <c r="C152" s="12">
        <f t="array" ref="C152">IF(ROWS(C$4:C152)&lt;=$B$2,INDEX(data!B$3:B$106299,SMALL(IF(data!$D$3:$D$106299=$B$1,ROW($A$2:$A$98971)-ROW($A$2)+1),ROWS(C$4:C152))),"")</f>
        <v>-364.42</v>
      </c>
      <c r="D152" s="12" t="str">
        <f t="array" ref="D152">IF(ROWS(D$4:D152)&lt;=$B$2,INDEX(data!E$3:E$106299,SMALL(IF(data!$D$3:$D$106299=$B$1,ROW($A$2:$A$98971)-ROW($A$2)+1),ROWS(D$4:D152))),"")</f>
        <v>платени банани</v>
      </c>
    </row>
    <row r="153">
      <c r="A153" s="34">
        <f t="array" ref="A153">IF(ROWS(A$4:A153)&lt;=$B$2,INDEX(data!C$3:C$106299,SMALL(IF(data!$D$3:$D$106299=$B$1,ROW($A$2:$A$98971)-ROW($A$2)+1),ROWS(A$4:A153))),"")</f>
        <v>46177</v>
      </c>
      <c r="B153" s="12" t="str">
        <f t="array" ref="B153">IF(ROWS(B$4:B153)&lt;=$B$2,INDEX(data!A$3:A$106299,SMALL(IF(data!$D$3:$D$106299=$B$1,ROW($A$2:$A$98971)-ROW($A$2)+1),ROWS(B$4:B153))),"")</f>
        <v>каса ФИКТИВНА</v>
      </c>
      <c r="C153" s="12">
        <f t="array" ref="C153">IF(ROWS(C$4:C153)&lt;=$B$2,INDEX(data!B$3:B$106299,SMALL(IF(data!$D$3:$D$106299=$B$1,ROW($A$2:$A$98971)-ROW($A$2)+1),ROWS(C$4:C153))),"")</f>
        <v>-301</v>
      </c>
      <c r="D153" s="12" t="str">
        <f t="array" ref="D153">IF(ROWS(D$4:D153)&lt;=$B$2,INDEX(data!E$3:E$106299,SMALL(IF(data!$D$3:$D$106299=$B$1,ROW($A$2:$A$98971)-ROW($A$2)+1),ROWS(D$4:D153))),"")</f>
        <v>Лили от премиите</v>
      </c>
    </row>
    <row r="154">
      <c r="A154" s="34">
        <f t="array" ref="A154">IF(ROWS(A$4:A154)&lt;=$B$2,INDEX(data!C$3:C$106299,SMALL(IF(data!$D$3:$D$106299=$B$1,ROW($A$2:$A$98971)-ROW($A$2)+1),ROWS(A$4:A154))),"")</f>
        <v>46177</v>
      </c>
      <c r="B154" s="12" t="str">
        <f t="array" ref="B154">IF(ROWS(B$4:B154)&lt;=$B$2,INDEX(data!A$3:A$106299,SMALL(IF(data!$D$3:$D$106299=$B$1,ROW($A$2:$A$98971)-ROW($A$2)+1),ROWS(B$4:B154))),"")</f>
        <v>каса ФИКТИВНА</v>
      </c>
      <c r="C154" s="12">
        <f t="array" ref="C154">IF(ROWS(C$4:C154)&lt;=$B$2,INDEX(data!B$3:B$106299,SMALL(IF(data!$D$3:$D$106299=$B$1,ROW($A$2:$A$98971)-ROW($A$2)+1),ROWS(C$4:C154))),"")</f>
        <v>-894.64</v>
      </c>
      <c r="D154" s="12" t="str">
        <f t="array" ref="D154">IF(ROWS(D$4:D154)&lt;=$B$2,INDEX(data!E$3:E$106299,SMALL(IF(data!$D$3:$D$106299=$B$1,ROW($A$2:$A$98971)-ROW($A$2)+1),ROWS(D$4:D154))),"")</f>
        <v>платени домати</v>
      </c>
    </row>
    <row r="155">
      <c r="A155" s="34">
        <f t="array" ref="A155">IF(ROWS(A$4:A155)&lt;=$B$2,INDEX(data!C$3:C$106299,SMALL(IF(data!$D$3:$D$106299=$B$1,ROW($A$2:$A$98971)-ROW($A$2)+1),ROWS(A$4:A155))),"")</f>
        <v>46178</v>
      </c>
      <c r="B155" s="12" t="str">
        <f t="array" ref="B155">IF(ROWS(B$4:B155)&lt;=$B$2,INDEX(data!A$3:A$106299,SMALL(IF(data!$D$3:$D$106299=$B$1,ROW($A$2:$A$98971)-ROW($A$2)+1),ROWS(B$4:B155))),"")</f>
        <v>каса ФИКТИВНА</v>
      </c>
      <c r="C155" s="12">
        <f t="array" ref="C155">IF(ROWS(C$4:C155)&lt;=$B$2,INDEX(data!B$3:B$106299,SMALL(IF(data!$D$3:$D$106299=$B$1,ROW($A$2:$A$98971)-ROW($A$2)+1),ROWS(C$4:C155))),"")</f>
        <v>-90</v>
      </c>
      <c r="D155" s="12" t="str">
        <f t="array" ref="D155">IF(ROWS(D$4:D155)&lt;=$B$2,INDEX(data!E$3:E$106299,SMALL(IF(data!$D$3:$D$106299=$B$1,ROW($A$2:$A$98971)-ROW($A$2)+1),ROWS(D$4:D155))),"")</f>
        <v>Стефчо от заплатата</v>
      </c>
    </row>
    <row r="156">
      <c r="A156" s="34">
        <f t="array" ref="A156">IF(ROWS(A$4:A156)&lt;=$B$2,INDEX(data!C$3:C$106299,SMALL(IF(data!$D$3:$D$106299=$B$1,ROW($A$2:$A$98971)-ROW($A$2)+1),ROWS(A$4:A156))),"")</f>
        <v>46181</v>
      </c>
      <c r="B156" s="12" t="str">
        <f t="array" ref="B156">IF(ROWS(B$4:B156)&lt;=$B$2,INDEX(data!A$3:A$106299,SMALL(IF(data!$D$3:$D$106299=$B$1,ROW($A$2:$A$98971)-ROW($A$2)+1),ROWS(B$4:B156))),"")</f>
        <v>каса ФИКТИВНА</v>
      </c>
      <c r="C156" s="12">
        <f t="array" ref="C156">IF(ROWS(C$4:C156)&lt;=$B$2,INDEX(data!B$3:B$106299,SMALL(IF(data!$D$3:$D$106299=$B$1,ROW($A$2:$A$98971)-ROW($A$2)+1),ROWS(C$4:C156))),"")</f>
        <v>-226.9</v>
      </c>
      <c r="D156" s="12" t="str">
        <f t="array" ref="D156">IF(ROWS(D$4:D156)&lt;=$B$2,INDEX(data!E$3:E$106299,SMALL(IF(data!$D$3:$D$106299=$B$1,ROW($A$2:$A$98971)-ROW($A$2)+1),ROWS(D$4:D156))),"")</f>
        <v>пазар ТБ</v>
      </c>
    </row>
    <row r="157">
      <c r="A157" s="34">
        <f t="array" ref="A157">IF(ROWS(A$4:A157)&lt;=$B$2,INDEX(data!C$3:C$106299,SMALL(IF(data!$D$3:$D$106299=$B$1,ROW($A$2:$A$98971)-ROW($A$2)+1),ROWS(A$4:A157))),"")</f>
        <v>46182</v>
      </c>
      <c r="B157" s="12" t="str">
        <f t="array" ref="B157">IF(ROWS(B$4:B157)&lt;=$B$2,INDEX(data!A$3:A$106299,SMALL(IF(data!$D$3:$D$106299=$B$1,ROW($A$2:$A$98971)-ROW($A$2)+1),ROWS(B$4:B157))),"")</f>
        <v>КАСОВА КНИГА</v>
      </c>
      <c r="C157" s="12">
        <f t="array" ref="C157">IF(ROWS(C$4:C157)&lt;=$B$2,INDEX(data!B$3:B$106299,SMALL(IF(data!$D$3:$D$106299=$B$1,ROW($A$2:$A$98971)-ROW($A$2)+1),ROWS(C$4:C157))),"")</f>
        <v>-598.69</v>
      </c>
      <c r="D157" s="12" t="str">
        <f t="array" ref="D157">IF(ROWS(D$4:D157)&lt;=$B$2,INDEX(data!E$3:E$106299,SMALL(IF(data!$D$3:$D$106299=$B$1,ROW($A$2:$A$98971)-ROW($A$2)+1),ROWS(D$4:D157))),"")</f>
        <v>платени банани</v>
      </c>
    </row>
    <row r="158">
      <c r="A158" s="34">
        <f t="array" ref="A158">IF(ROWS(A$4:A158)&lt;=$B$2,INDEX(data!C$3:C$106299,SMALL(IF(data!$D$3:$D$106299=$B$1,ROW($A$2:$A$98971)-ROW($A$2)+1),ROWS(A$4:A158))),"")</f>
        <v>46182</v>
      </c>
      <c r="B158" s="12" t="str">
        <f t="array" ref="B158">IF(ROWS(B$4:B158)&lt;=$B$2,INDEX(data!A$3:A$106299,SMALL(IF(data!$D$3:$D$106299=$B$1,ROW($A$2:$A$98971)-ROW($A$2)+1),ROWS(B$4:B158))),"")</f>
        <v>MYPOS Бакалия</v>
      </c>
      <c r="C158" s="12">
        <f t="array" ref="C158">IF(ROWS(C$4:C158)&lt;=$B$2,INDEX(data!B$3:B$106299,SMALL(IF(data!$D$3:$D$106299=$B$1,ROW($A$2:$A$98971)-ROW($A$2)+1),ROWS(C$4:C158))),"")</f>
        <v>-15667.95</v>
      </c>
      <c r="D158" s="12" t="str">
        <f t="array" ref="D158">IF(ROWS(D$4:D158)&lt;=$B$2,INDEX(data!E$3:E$106299,SMALL(IF(data!$D$3:$D$106299=$B$1,ROW($A$2:$A$98971)-ROW($A$2)+1),ROWS(D$4:D158))),"")</f>
        <v/>
      </c>
    </row>
    <row r="159">
      <c r="A159" s="34">
        <f t="array" ref="A159">IF(ROWS(A$4:A159)&lt;=$B$2,INDEX(data!C$3:C$106299,SMALL(IF(data!$D$3:$D$106299=$B$1,ROW($A$2:$A$98971)-ROW($A$2)+1),ROWS(A$4:A159))),"")</f>
        <v>46182</v>
      </c>
      <c r="B159" s="12" t="str">
        <f t="array" ref="B159">IF(ROWS(B$4:B159)&lt;=$B$2,INDEX(data!A$3:A$106299,SMALL(IF(data!$D$3:$D$106299=$B$1,ROW($A$2:$A$98971)-ROW($A$2)+1),ROWS(B$4:B159))),"")</f>
        <v>ПОС ДСК Бакалия</v>
      </c>
      <c r="C159" s="12">
        <f t="array" ref="C159">IF(ROWS(C$4:C159)&lt;=$B$2,INDEX(data!B$3:B$106299,SMALL(IF(data!$D$3:$D$106299=$B$1,ROW($A$2:$A$98971)-ROW($A$2)+1),ROWS(C$4:C159))),"")</f>
        <v>-4227.06</v>
      </c>
      <c r="D159" s="12" t="str">
        <f t="array" ref="D159">IF(ROWS(D$4:D159)&lt;=$B$2,INDEX(data!E$3:E$106299,SMALL(IF(data!$D$3:$D$106299=$B$1,ROW($A$2:$A$98971)-ROW($A$2)+1),ROWS(D$4:D159))),"")</f>
        <v/>
      </c>
    </row>
    <row r="160">
      <c r="A160" s="34">
        <f t="array" ref="A160">IF(ROWS(A$4:A160)&lt;=$B$2,INDEX(data!C$3:C$106299,SMALL(IF(data!$D$3:$D$106299=$B$1,ROW($A$2:$A$98971)-ROW($A$2)+1),ROWS(A$4:A160))),"")</f>
        <v>46183</v>
      </c>
      <c r="B160" s="12" t="str">
        <f t="array" ref="B160">IF(ROWS(B$4:B160)&lt;=$B$2,INDEX(data!A$3:A$106299,SMALL(IF(data!$D$3:$D$106299=$B$1,ROW($A$2:$A$98971)-ROW($A$2)+1),ROWS(B$4:B160))),"")</f>
        <v>ПОС ДСК Бакалия</v>
      </c>
      <c r="C160" s="12">
        <f t="array" ref="C160">IF(ROWS(C$4:C160)&lt;=$B$2,INDEX(data!B$3:B$106299,SMALL(IF(data!$D$3:$D$106299=$B$1,ROW($A$2:$A$98971)-ROW($A$2)+1),ROWS(C$4:C160))),"")</f>
        <v>4227.06</v>
      </c>
      <c r="D160" s="12" t="str">
        <f t="array" ref="D160">IF(ROWS(D$4:D160)&lt;=$B$2,INDEX(data!E$3:E$106299,SMALL(IF(data!$D$3:$D$106299=$B$1,ROW($A$2:$A$98971)-ROW($A$2)+1),ROWS(D$4:D160))),"")</f>
        <v>с обратен знак дубл пос 25-31,04</v>
      </c>
    </row>
    <row r="161">
      <c r="A161" s="34">
        <f t="array" ref="A161">IF(ROWS(A$4:A161)&lt;=$B$2,INDEX(data!C$3:C$106299,SMALL(IF(data!$D$3:$D$106299=$B$1,ROW($A$2:$A$98971)-ROW($A$2)+1),ROWS(A$4:A161))),"")</f>
        <v>46183</v>
      </c>
      <c r="B161" s="12" t="str">
        <f t="array" ref="B161">IF(ROWS(B$4:B161)&lt;=$B$2,INDEX(data!A$3:A$106299,SMALL(IF(data!$D$3:$D$106299=$B$1,ROW($A$2:$A$98971)-ROW($A$2)+1),ROWS(B$4:B161))),"")</f>
        <v>ПОС ДСК Бакалия</v>
      </c>
      <c r="C161" s="12">
        <f t="array" ref="C161">IF(ROWS(C$4:C161)&lt;=$B$2,INDEX(data!B$3:B$106299,SMALL(IF(data!$D$3:$D$106299=$B$1,ROW($A$2:$A$98971)-ROW($A$2)+1),ROWS(C$4:C161))),"")</f>
        <v>-4222.29</v>
      </c>
      <c r="D161" s="12" t="str">
        <f t="array" ref="D161">IF(ROWS(D$4:D161)&lt;=$B$2,INDEX(data!E$3:E$106299,SMALL(IF(data!$D$3:$D$106299=$B$1,ROW($A$2:$A$98971)-ROW($A$2)+1),ROWS(D$4:D161))),"")</f>
        <v>18-24,05</v>
      </c>
    </row>
    <row r="162">
      <c r="A162" s="34">
        <f t="array" ref="A162">IF(ROWS(A$4:A162)&lt;=$B$2,INDEX(data!C$3:C$106299,SMALL(IF(data!$D$3:$D$106299=$B$1,ROW($A$2:$A$98971)-ROW($A$2)+1),ROWS(A$4:A162))),"")</f>
        <v>46183</v>
      </c>
      <c r="B162" s="12" t="str">
        <f t="array" ref="B162">IF(ROWS(B$4:B162)&lt;=$B$2,INDEX(data!A$3:A$106299,SMALL(IF(data!$D$3:$D$106299=$B$1,ROW($A$2:$A$98971)-ROW($A$2)+1),ROWS(B$4:B162))),"")</f>
        <v>КАСОВА КНИГА</v>
      </c>
      <c r="C162" s="12">
        <f t="array" ref="C162">IF(ROWS(C$4:C162)&lt;=$B$2,INDEX(data!B$3:B$106299,SMALL(IF(data!$D$3:$D$106299=$B$1,ROW($A$2:$A$98971)-ROW($A$2)+1),ROWS(C$4:C162))),"")</f>
        <v>-817.86</v>
      </c>
      <c r="D162" s="12" t="str">
        <f t="array" ref="D162">IF(ROWS(D$4:D162)&lt;=$B$2,INDEX(data!E$3:E$106299,SMALL(IF(data!$D$3:$D$106299=$B$1,ROW($A$2:$A$98971)-ROW($A$2)+1),ROWS(D$4:D162))),"")</f>
        <v>платени домати</v>
      </c>
    </row>
    <row r="163">
      <c r="A163" s="34">
        <f t="array" ref="A163">IF(ROWS(A$4:A163)&lt;=$B$2,INDEX(data!C$3:C$106299,SMALL(IF(data!$D$3:$D$106299=$B$1,ROW($A$2:$A$98971)-ROW($A$2)+1),ROWS(A$4:A163))),"")</f>
        <v>46185</v>
      </c>
      <c r="B163" s="12" t="str">
        <f t="array" ref="B163">IF(ROWS(B$4:B163)&lt;=$B$2,INDEX(data!A$3:A$106299,SMALL(IF(data!$D$3:$D$106299=$B$1,ROW($A$2:$A$98971)-ROW($A$2)+1),ROWS(B$4:B163))),"")</f>
        <v>КАСОВА КНИГА</v>
      </c>
      <c r="C163" s="12">
        <f t="array" ref="C163">IF(ROWS(C$4:C163)&lt;=$B$2,INDEX(data!B$3:B$106299,SMALL(IF(data!$D$3:$D$106299=$B$1,ROW($A$2:$A$98971)-ROW($A$2)+1),ROWS(C$4:C163))),"")</f>
        <v>-624.72</v>
      </c>
      <c r="D163" s="12" t="str">
        <f t="array" ref="D163">IF(ROWS(D$4:D163)&lt;=$B$2,INDEX(data!E$3:E$106299,SMALL(IF(data!$D$3:$D$106299=$B$1,ROW($A$2:$A$98971)-ROW($A$2)+1),ROWS(D$4:D163))),"")</f>
        <v>платени банани</v>
      </c>
    </row>
    <row r="164">
      <c r="A164" s="34">
        <f t="array" ref="A164">IF(ROWS(A$4:A164)&lt;=$B$2,INDEX(data!C$3:C$106299,SMALL(IF(data!$D$3:$D$106299=$B$1,ROW($A$2:$A$98971)-ROW($A$2)+1),ROWS(A$4:A164))),"")</f>
        <v>46188</v>
      </c>
      <c r="B164" s="12" t="str">
        <f t="array" ref="B164">IF(ROWS(B$4:B164)&lt;=$B$2,INDEX(data!A$3:A$106299,SMALL(IF(data!$D$3:$D$106299=$B$1,ROW($A$2:$A$98971)-ROW($A$2)+1),ROWS(B$4:B164))),"")</f>
        <v>MYPOS Бакалия</v>
      </c>
      <c r="C164" s="12">
        <f t="array" ref="C164">IF(ROWS(C$4:C164)&lt;=$B$2,INDEX(data!B$3:B$106299,SMALL(IF(data!$D$3:$D$106299=$B$1,ROW($A$2:$A$98971)-ROW($A$2)+1),ROWS(C$4:C164))),"")</f>
        <v>-15287.86</v>
      </c>
      <c r="D164" s="12" t="str">
        <f t="array" ref="D164">IF(ROWS(D$4:D164)&lt;=$B$2,INDEX(data!E$3:E$106299,SMALL(IF(data!$D$3:$D$106299=$B$1,ROW($A$2:$A$98971)-ROW($A$2)+1),ROWS(D$4:D164))),"")</f>
        <v/>
      </c>
    </row>
    <row r="165">
      <c r="A165" s="34">
        <f t="array" ref="A165">IF(ROWS(A$4:A165)&lt;=$B$2,INDEX(data!C$3:C$106299,SMALL(IF(data!$D$3:$D$106299=$B$1,ROW($A$2:$A$98971)-ROW($A$2)+1),ROWS(A$4:A165))),"")</f>
        <v>46188</v>
      </c>
      <c r="B165" s="12" t="str">
        <f t="array" ref="B165">IF(ROWS(B$4:B165)&lt;=$B$2,INDEX(data!A$3:A$106299,SMALL(IF(data!$D$3:$D$106299=$B$1,ROW($A$2:$A$98971)-ROW($A$2)+1),ROWS(B$4:B165))),"")</f>
        <v>КАСОВА КНИГА</v>
      </c>
      <c r="C165" s="12">
        <f t="array" ref="C165">IF(ROWS(C$4:C165)&lt;=$B$2,INDEX(data!B$3:B$106299,SMALL(IF(data!$D$3:$D$106299=$B$1,ROW($A$2:$A$98971)-ROW($A$2)+1),ROWS(C$4:C165))),"")</f>
        <v>-2000</v>
      </c>
      <c r="D165" s="12" t="str">
        <f t="array" ref="D165">IF(ROWS(D$4:D165)&lt;=$B$2,INDEX(data!E$3:E$106299,SMALL(IF(data!$D$3:$D$106299=$B$1,ROW($A$2:$A$98971)-ROW($A$2)+1),ROWS(D$4:D165))),"")</f>
        <v/>
      </c>
    </row>
    <row r="166">
      <c r="A166" s="34">
        <f t="array" ref="A166">IF(ROWS(A$4:A166)&lt;=$B$2,INDEX(data!C$3:C$106299,SMALL(IF(data!$D$3:$D$106299=$B$1,ROW($A$2:$A$98971)-ROW($A$2)+1),ROWS(A$4:A166))),"")</f>
        <v>46188</v>
      </c>
      <c r="B166" s="12" t="str">
        <f t="array" ref="B166">IF(ROWS(B$4:B166)&lt;=$B$2,INDEX(data!A$3:A$106299,SMALL(IF(data!$D$3:$D$106299=$B$1,ROW($A$2:$A$98971)-ROW($A$2)+1),ROWS(B$4:B166))),"")</f>
        <v>ЗАЕМ</v>
      </c>
      <c r="C166" s="12">
        <f t="array" ref="C166">IF(ROWS(C$4:C166)&lt;=$B$2,INDEX(data!B$3:B$106299,SMALL(IF(data!$D$3:$D$106299=$B$1,ROW($A$2:$A$98971)-ROW($A$2)+1),ROWS(C$4:C166))),"")</f>
        <v>103912.79</v>
      </c>
      <c r="D166" s="12" t="str">
        <f t="array" ref="D166">IF(ROWS(D$4:D166)&lt;=$B$2,INDEX(data!E$3:E$106299,SMALL(IF(data!$D$3:$D$106299=$B$1,ROW($A$2:$A$98971)-ROW($A$2)+1),ROWS(D$4:D166))),"")</f>
        <v>Салдо склад + вътр. п-не</v>
      </c>
    </row>
    <row r="167">
      <c r="A167" s="34">
        <f t="array" ref="A167">IF(ROWS(A$4:A167)&lt;=$B$2,INDEX(data!C$3:C$106299,SMALL(IF(data!$D$3:$D$106299=$B$1,ROW($A$2:$A$98971)-ROW($A$2)+1),ROWS(A$4:A167))),"")</f>
        <v>46189</v>
      </c>
      <c r="B167" s="12" t="str">
        <f t="array" ref="B167">IF(ROWS(B$4:B167)&lt;=$B$2,INDEX(data!A$3:A$106299,SMALL(IF(data!$D$3:$D$106299=$B$1,ROW($A$2:$A$98971)-ROW($A$2)+1),ROWS(B$4:B167))),"")</f>
        <v>КАСОВА КНИГА</v>
      </c>
      <c r="C167" s="12">
        <f t="array" ref="C167">IF(ROWS(C$4:C167)&lt;=$B$2,INDEX(data!B$3:B$106299,SMALL(IF(data!$D$3:$D$106299=$B$1,ROW($A$2:$A$98971)-ROW($A$2)+1),ROWS(C$4:C167))),"")</f>
        <v>-494.57</v>
      </c>
      <c r="D167" s="12" t="str">
        <f t="array" ref="D167">IF(ROWS(D$4:D167)&lt;=$B$2,INDEX(data!E$3:E$106299,SMALL(IF(data!$D$3:$D$106299=$B$1,ROW($A$2:$A$98971)-ROW($A$2)+1),ROWS(D$4:D167))),"")</f>
        <v>платени банани</v>
      </c>
    </row>
    <row r="168">
      <c r="A168" s="34">
        <f t="array" ref="A168">IF(ROWS(A$4:A168)&lt;=$B$2,INDEX(data!C$3:C$106299,SMALL(IF(data!$D$3:$D$106299=$B$1,ROW($A$2:$A$98971)-ROW($A$2)+1),ROWS(A$4:A168))),"")</f>
        <v>46189</v>
      </c>
      <c r="B168" s="12" t="str">
        <f t="array" ref="B168">IF(ROWS(B$4:B168)&lt;=$B$2,INDEX(data!A$3:A$106299,SMALL(IF(data!$D$3:$D$106299=$B$1,ROW($A$2:$A$98971)-ROW($A$2)+1),ROWS(B$4:B168))),"")</f>
        <v>каса ФИКТИВНА</v>
      </c>
      <c r="C168" s="12">
        <f t="array" ref="C168">IF(ROWS(C$4:C168)&lt;=$B$2,INDEX(data!B$3:B$106299,SMALL(IF(data!$D$3:$D$106299=$B$1,ROW($A$2:$A$98971)-ROW($A$2)+1),ROWS(C$4:C168))),"")</f>
        <v>-1300</v>
      </c>
      <c r="D168" s="12" t="str">
        <f t="array" ref="D168">IF(ROWS(D$4:D168)&lt;=$B$2,INDEX(data!E$3:E$106299,SMALL(IF(data!$D$3:$D$106299=$B$1,ROW($A$2:$A$98971)-ROW($A$2)+1),ROWS(D$4:D168))),"")</f>
        <v>Лили от премиите</v>
      </c>
    </row>
    <row r="169">
      <c r="A169" s="34">
        <f t="array" ref="A169">IF(ROWS(A$4:A169)&lt;=$B$2,INDEX(data!C$3:C$106299,SMALL(IF(data!$D$3:$D$106299=$B$1,ROW($A$2:$A$98971)-ROW($A$2)+1),ROWS(A$4:A169))),"")</f>
        <v>46189</v>
      </c>
      <c r="B169" s="12" t="str">
        <f t="array" ref="B169">IF(ROWS(B$4:B169)&lt;=$B$2,INDEX(data!A$3:A$106299,SMALL(IF(data!$D$3:$D$106299=$B$1,ROW($A$2:$A$98971)-ROW($A$2)+1),ROWS(B$4:B169))),"")</f>
        <v>каса ФИКТИВНА</v>
      </c>
      <c r="C169" s="12">
        <f t="array" ref="C169">IF(ROWS(C$4:C169)&lt;=$B$2,INDEX(data!B$3:B$106299,SMALL(IF(data!$D$3:$D$106299=$B$1,ROW($A$2:$A$98971)-ROW($A$2)+1),ROWS(C$4:C169))),"")</f>
        <v>-76</v>
      </c>
      <c r="D169" s="12" t="str">
        <f t="array" ref="D169">IF(ROWS(D$4:D169)&lt;=$B$2,INDEX(data!E$3:E$106299,SMALL(IF(data!$D$3:$D$106299=$B$1,ROW($A$2:$A$98971)-ROW($A$2)+1),ROWS(D$4:D169))),"")</f>
        <v>Стефан от заплатата</v>
      </c>
    </row>
    <row r="170">
      <c r="A170" s="34">
        <f t="array" ref="A170">IF(ROWS(A$4:A170)&lt;=$B$2,INDEX(data!C$3:C$106299,SMALL(IF(data!$D$3:$D$106299=$B$1,ROW($A$2:$A$98971)-ROW($A$2)+1),ROWS(A$4:A170))),"")</f>
        <v>46190</v>
      </c>
      <c r="B170" s="12" t="str">
        <f t="array" ref="B170">IF(ROWS(B$4:B170)&lt;=$B$2,INDEX(data!A$3:A$106299,SMALL(IF(data!$D$3:$D$106299=$B$1,ROW($A$2:$A$98971)-ROW($A$2)+1),ROWS(B$4:B170))),"")</f>
        <v>КАСОВА КНИГА</v>
      </c>
      <c r="C170" s="12">
        <f t="array" ref="C170">IF(ROWS(C$4:C170)&lt;=$B$2,INDEX(data!B$3:B$106299,SMALL(IF(data!$D$3:$D$106299=$B$1,ROW($A$2:$A$98971)-ROW($A$2)+1),ROWS(C$4:C170))),"")</f>
        <v>-955.2</v>
      </c>
      <c r="D170" s="12" t="str">
        <f t="array" ref="D170">IF(ROWS(D$4:D170)&lt;=$B$2,INDEX(data!E$3:E$106299,SMALL(IF(data!$D$3:$D$106299=$B$1,ROW($A$2:$A$98971)-ROW($A$2)+1),ROWS(D$4:D170))),"")</f>
        <v>платени домати</v>
      </c>
    </row>
    <row r="171">
      <c r="A171" s="34">
        <f t="array" ref="A171">IF(ROWS(A$4:A171)&lt;=$B$2,INDEX(data!C$3:C$106299,SMALL(IF(data!$D$3:$D$106299=$B$1,ROW($A$2:$A$98971)-ROW($A$2)+1),ROWS(A$4:A171))),"")</f>
        <v>46190</v>
      </c>
      <c r="B171" s="12" t="str">
        <f t="array" ref="B171">IF(ROWS(B$4:B171)&lt;=$B$2,INDEX(data!A$3:A$106299,SMALL(IF(data!$D$3:$D$106299=$B$1,ROW($A$2:$A$98971)-ROW($A$2)+1),ROWS(B$4:B171))),"")</f>
        <v>Каса ВАУЧЕРИ</v>
      </c>
      <c r="C171" s="12">
        <f t="array" ref="C171">IF(ROWS(C$4:C171)&lt;=$B$2,INDEX(data!B$3:B$106299,SMALL(IF(data!$D$3:$D$106299=$B$1,ROW($A$2:$A$98971)-ROW($A$2)+1),ROWS(C$4:C171))),"")</f>
        <v>-60.72</v>
      </c>
      <c r="D171" s="12" t="str">
        <f t="array" ref="D171">IF(ROWS(D$4:D171)&lt;=$B$2,INDEX(data!E$3:E$106299,SMALL(IF(data!$D$3:$D$106299=$B$1,ROW($A$2:$A$98971)-ROW($A$2)+1),ROWS(D$4:D171))),"")</f>
        <v>за 01-07.06</v>
      </c>
    </row>
    <row r="172">
      <c r="A172" s="34">
        <f t="array" ref="A172">IF(ROWS(A$4:A172)&lt;=$B$2,INDEX(data!C$3:C$106299,SMALL(IF(data!$D$3:$D$106299=$B$1,ROW($A$2:$A$98971)-ROW($A$2)+1),ROWS(A$4:A172))),"")</f>
        <v>46190</v>
      </c>
      <c r="B172" s="12" t="str">
        <f t="array" ref="B172">IF(ROWS(B$4:B172)&lt;=$B$2,INDEX(data!A$3:A$106299,SMALL(IF(data!$D$3:$D$106299=$B$1,ROW($A$2:$A$98971)-ROW($A$2)+1),ROWS(B$4:B172))),"")</f>
        <v>Каса ВАУЧЕРИ</v>
      </c>
      <c r="C172" s="12">
        <f t="array" ref="C172">IF(ROWS(C$4:C172)&lt;=$B$2,INDEX(data!B$3:B$106299,SMALL(IF(data!$D$3:$D$106299=$B$1,ROW($A$2:$A$98971)-ROW($A$2)+1),ROWS(C$4:C172))),"")</f>
        <v>-42</v>
      </c>
      <c r="D172" s="12" t="str">
        <f t="array" ref="D172">IF(ROWS(D$4:D172)&lt;=$B$2,INDEX(data!E$3:E$106299,SMALL(IF(data!$D$3:$D$106299=$B$1,ROW($A$2:$A$98971)-ROW($A$2)+1),ROWS(D$4:D172))),"")</f>
        <v>за 25-31.05</v>
      </c>
    </row>
    <row r="173">
      <c r="A173" s="34">
        <f t="array" ref="A173">IF(ROWS(A$4:A173)&lt;=$B$2,INDEX(data!C$3:C$106299,SMALL(IF(data!$D$3:$D$106299=$B$1,ROW($A$2:$A$98971)-ROW($A$2)+1),ROWS(A$4:A173))),"")</f>
        <v>46192</v>
      </c>
      <c r="B173" s="12" t="str">
        <f t="array" ref="B173">IF(ROWS(B$4:B173)&lt;=$B$2,INDEX(data!A$3:A$106299,SMALL(IF(data!$D$3:$D$106299=$B$1,ROW($A$2:$A$98971)-ROW($A$2)+1),ROWS(B$4:B173))),"")</f>
        <v>КАСОВА КНИГА</v>
      </c>
      <c r="C173" s="12">
        <f t="array" ref="C173">IF(ROWS(C$4:C173)&lt;=$B$2,INDEX(data!B$3:B$106299,SMALL(IF(data!$D$3:$D$106299=$B$1,ROW($A$2:$A$98971)-ROW($A$2)+1),ROWS(C$4:C173))),"")</f>
        <v>-598.69</v>
      </c>
      <c r="D173" s="12" t="str">
        <f t="array" ref="D173">IF(ROWS(D$4:D173)&lt;=$B$2,INDEX(data!E$3:E$106299,SMALL(IF(data!$D$3:$D$106299=$B$1,ROW($A$2:$A$98971)-ROW($A$2)+1),ROWS(D$4:D173))),"")</f>
        <v>платени банани</v>
      </c>
    </row>
    <row r="174">
      <c r="A174" s="34">
        <f t="array" ref="A174">IF(ROWS(A$4:A174)&lt;=$B$2,INDEX(data!C$3:C$106299,SMALL(IF(data!$D$3:$D$106299=$B$1,ROW($A$2:$A$98971)-ROW($A$2)+1),ROWS(A$4:A174))),"")</f>
        <v>46192</v>
      </c>
      <c r="B174" s="12" t="str">
        <f t="array" ref="B174">IF(ROWS(B$4:B174)&lt;=$B$2,INDEX(data!A$3:A$106299,SMALL(IF(data!$D$3:$D$106299=$B$1,ROW($A$2:$A$98971)-ROW($A$2)+1),ROWS(B$4:B174))),"")</f>
        <v>Каса ВАУЧЕРИ</v>
      </c>
      <c r="C174" s="12">
        <f t="array" ref="C174">IF(ROWS(C$4:C174)&lt;=$B$2,INDEX(data!B$3:B$106299,SMALL(IF(data!$D$3:$D$106299=$B$1,ROW($A$2:$A$98971)-ROW($A$2)+1),ROWS(C$4:C174))),"")</f>
        <v>1000</v>
      </c>
      <c r="D174" s="12" t="str">
        <f t="array" ref="D174">IF(ROWS(D$4:D174)&lt;=$B$2,INDEX(data!E$3:E$106299,SMALL(IF(data!$D$3:$D$106299=$B$1,ROW($A$2:$A$98971)-ROW($A$2)+1),ROWS(D$4:D174))),"")</f>
        <v>ваучери персонал</v>
      </c>
    </row>
    <row r="175">
      <c r="A175" s="34">
        <f t="array" ref="A175">IF(ROWS(A$4:A175)&lt;=$B$2,INDEX(data!C$3:C$106299,SMALL(IF(data!$D$3:$D$106299=$B$1,ROW($A$2:$A$98971)-ROW($A$2)+1),ROWS(A$4:A175))),"")</f>
        <v>46195</v>
      </c>
      <c r="B175" s="12" t="str">
        <f t="array" ref="B175">IF(ROWS(B$4:B175)&lt;=$B$2,INDEX(data!A$3:A$106299,SMALL(IF(data!$D$3:$D$106299=$B$1,ROW($A$2:$A$98971)-ROW($A$2)+1),ROWS(B$4:B175))),"")</f>
        <v>MYPOS Бакалия</v>
      </c>
      <c r="C175" s="12">
        <f t="array" ref="C175">IF(ROWS(C$4:C175)&lt;=$B$2,INDEX(data!B$3:B$106299,SMALL(IF(data!$D$3:$D$106299=$B$1,ROW($A$2:$A$98971)-ROW($A$2)+1),ROWS(C$4:C175))),"")</f>
        <v>-15656.51</v>
      </c>
      <c r="D175" s="12" t="str">
        <f t="array" ref="D175">IF(ROWS(D$4:D175)&lt;=$B$2,INDEX(data!E$3:E$106299,SMALL(IF(data!$D$3:$D$106299=$B$1,ROW($A$2:$A$98971)-ROW($A$2)+1),ROWS(D$4:D175))),"")</f>
        <v/>
      </c>
    </row>
    <row r="176">
      <c r="A176" s="34">
        <f t="array" ref="A176">IF(ROWS(A$4:A176)&lt;=$B$2,INDEX(data!C$3:C$106299,SMALL(IF(data!$D$3:$D$106299=$B$1,ROW($A$2:$A$98971)-ROW($A$2)+1),ROWS(A$4:A176))),"")</f>
        <v>46195</v>
      </c>
      <c r="B176" s="12" t="str">
        <f t="array" ref="B176">IF(ROWS(B$4:B176)&lt;=$B$2,INDEX(data!A$3:A$106299,SMALL(IF(data!$D$3:$D$106299=$B$1,ROW($A$2:$A$98971)-ROW($A$2)+1),ROWS(B$4:B176))),"")</f>
        <v>КАСОВА КНИГА</v>
      </c>
      <c r="C176" s="12">
        <f t="array" ref="C176">IF(ROWS(C$4:C176)&lt;=$B$2,INDEX(data!B$3:B$106299,SMALL(IF(data!$D$3:$D$106299=$B$1,ROW($A$2:$A$98971)-ROW($A$2)+1),ROWS(C$4:C176))),"")</f>
        <v>-2500</v>
      </c>
      <c r="D176" s="12" t="str">
        <f t="array" ref="D176">IF(ROWS(D$4:D176)&lt;=$B$2,INDEX(data!E$3:E$106299,SMALL(IF(data!$D$3:$D$106299=$B$1,ROW($A$2:$A$98971)-ROW($A$2)+1),ROWS(D$4:D176))),"")</f>
        <v/>
      </c>
    </row>
    <row r="177">
      <c r="A177" s="34">
        <f t="array" ref="A177">IF(ROWS(A$4:A177)&lt;=$B$2,INDEX(data!C$3:C$106299,SMALL(IF(data!$D$3:$D$106299=$B$1,ROW($A$2:$A$98971)-ROW($A$2)+1),ROWS(A$4:A177))),"")</f>
        <v>46197</v>
      </c>
      <c r="B177" s="12" t="str">
        <f t="array" ref="B177">IF(ROWS(B$4:B177)&lt;=$B$2,INDEX(data!A$3:A$106299,SMALL(IF(data!$D$3:$D$106299=$B$1,ROW($A$2:$A$98971)-ROW($A$2)+1),ROWS(B$4:B177))),"")</f>
        <v>КАСОВА КНИГА</v>
      </c>
      <c r="C177" s="12">
        <f t="array" ref="C177">IF(ROWS(C$4:C177)&lt;=$B$2,INDEX(data!B$3:B$106299,SMALL(IF(data!$D$3:$D$106299=$B$1,ROW($A$2:$A$98971)-ROW($A$2)+1),ROWS(C$4:C177))),"")</f>
        <v>-364.42</v>
      </c>
      <c r="D177" s="12" t="str">
        <f t="array" ref="D177">IF(ROWS(D$4:D177)&lt;=$B$2,INDEX(data!E$3:E$106299,SMALL(IF(data!$D$3:$D$106299=$B$1,ROW($A$2:$A$98971)-ROW($A$2)+1),ROWS(D$4:D177))),"")</f>
        <v>платени банани</v>
      </c>
    </row>
    <row r="178">
      <c r="A178" s="34">
        <f t="array" ref="A178">IF(ROWS(A$4:A178)&lt;=$B$2,INDEX(data!C$3:C$106299,SMALL(IF(data!$D$3:$D$106299=$B$1,ROW($A$2:$A$98971)-ROW($A$2)+1),ROWS(A$4:A178))),"")</f>
        <v>46197</v>
      </c>
      <c r="B178" s="12" t="str">
        <f t="array" ref="B178">IF(ROWS(B$4:B178)&lt;=$B$2,INDEX(data!A$3:A$106299,SMALL(IF(data!$D$3:$D$106299=$B$1,ROW($A$2:$A$98971)-ROW($A$2)+1),ROWS(B$4:B178))),"")</f>
        <v>Каса ВАУЧЕРИ</v>
      </c>
      <c r="C178" s="12">
        <f t="array" ref="C178">IF(ROWS(C$4:C178)&lt;=$B$2,INDEX(data!B$3:B$106299,SMALL(IF(data!$D$3:$D$106299=$B$1,ROW($A$2:$A$98971)-ROW($A$2)+1),ROWS(C$4:C178))),"")</f>
        <v>-63</v>
      </c>
      <c r="D178" s="12" t="str">
        <f t="array" ref="D178">IF(ROWS(D$4:D178)&lt;=$B$2,INDEX(data!E$3:E$106299,SMALL(IF(data!$D$3:$D$106299=$B$1,ROW($A$2:$A$98971)-ROW($A$2)+1),ROWS(D$4:D178))),"")</f>
        <v/>
      </c>
    </row>
    <row r="179">
      <c r="A179" s="34">
        <f t="array" ref="A179">IF(ROWS(A$4:A179)&lt;=$B$2,INDEX(data!C$3:C$106299,SMALL(IF(data!$D$3:$D$106299=$B$1,ROW($A$2:$A$98971)-ROW($A$2)+1),ROWS(A$4:A179))),"")</f>
        <v>46199</v>
      </c>
      <c r="B179" s="12" t="str">
        <f t="array" ref="B179">IF(ROWS(B$4:B179)&lt;=$B$2,INDEX(data!A$3:A$106299,SMALL(IF(data!$D$3:$D$106299=$B$1,ROW($A$2:$A$98971)-ROW($A$2)+1),ROWS(B$4:B179))),"")</f>
        <v>КАСОВА КНИГА</v>
      </c>
      <c r="C179" s="12">
        <f t="array" ref="C179">IF(ROWS(C$4:C179)&lt;=$B$2,INDEX(data!B$3:B$106299,SMALL(IF(data!$D$3:$D$106299=$B$1,ROW($A$2:$A$98971)-ROW($A$2)+1),ROWS(C$4:C179))),"")</f>
        <v>-390.45</v>
      </c>
      <c r="D179" s="12" t="str">
        <f t="array" ref="D179">IF(ROWS(D$4:D179)&lt;=$B$2,INDEX(data!E$3:E$106299,SMALL(IF(data!$D$3:$D$106299=$B$1,ROW($A$2:$A$98971)-ROW($A$2)+1),ROWS(D$4:D179))),"")</f>
        <v>платени банани</v>
      </c>
    </row>
    <row r="180">
      <c r="A180" s="34">
        <f t="array" ref="A180">IF(ROWS(A$4:A180)&lt;=$B$2,INDEX(data!C$3:C$106299,SMALL(IF(data!$D$3:$D$106299=$B$1,ROW($A$2:$A$98971)-ROW($A$2)+1),ROWS(A$4:A180))),"")</f>
        <v>46199</v>
      </c>
      <c r="B180" s="12" t="str">
        <f t="array" ref="B180">IF(ROWS(B$4:B180)&lt;=$B$2,INDEX(data!A$3:A$106299,SMALL(IF(data!$D$3:$D$106299=$B$1,ROW($A$2:$A$98971)-ROW($A$2)+1),ROWS(B$4:B180))),"")</f>
        <v>каса ФИКТИВНА</v>
      </c>
      <c r="C180" s="12">
        <f t="array" ref="C180">IF(ROWS(C$4:C180)&lt;=$B$2,INDEX(data!B$3:B$106299,SMALL(IF(data!$D$3:$D$106299=$B$1,ROW($A$2:$A$98971)-ROW($A$2)+1),ROWS(C$4:C180))),"")</f>
        <v>-40</v>
      </c>
      <c r="D180" s="12" t="str">
        <f t="array" ref="D180">IF(ROWS(D$4:D180)&lt;=$B$2,INDEX(data!E$3:E$106299,SMALL(IF(data!$D$3:$D$106299=$B$1,ROW($A$2:$A$98971)-ROW($A$2)+1),ROWS(D$4:D180))),"")</f>
        <v/>
      </c>
    </row>
    <row r="181">
      <c r="A181" s="34">
        <f t="array" ref="A181">IF(ROWS(A$4:A181)&lt;=$B$2,INDEX(data!C$3:C$106299,SMALL(IF(data!$D$3:$D$106299=$B$1,ROW($A$2:$A$98971)-ROW($A$2)+1),ROWS(A$4:A181))),"")</f>
        <v>46202</v>
      </c>
      <c r="B181" s="12" t="str">
        <f t="array" ref="B181">IF(ROWS(B$4:B181)&lt;=$B$2,INDEX(data!A$3:A$106299,SMALL(IF(data!$D$3:$D$106299=$B$1,ROW($A$2:$A$98971)-ROW($A$2)+1),ROWS(B$4:B181))),"")</f>
        <v>MYPOS Бакалия</v>
      </c>
      <c r="C181" s="12">
        <f t="array" ref="C181">IF(ROWS(C$4:C181)&lt;=$B$2,INDEX(data!B$3:B$106299,SMALL(IF(data!$D$3:$D$106299=$B$1,ROW($A$2:$A$98971)-ROW($A$2)+1),ROWS(C$4:C181))),"")</f>
        <v>-15452.63</v>
      </c>
      <c r="D181" s="12" t="str">
        <f t="array" ref="D181">IF(ROWS(D$4:D181)&lt;=$B$2,INDEX(data!E$3:E$106299,SMALL(IF(data!$D$3:$D$106299=$B$1,ROW($A$2:$A$98971)-ROW($A$2)+1),ROWS(D$4:D181))),"")</f>
        <v/>
      </c>
    </row>
    <row r="182">
      <c r="A182" s="34">
        <f t="array" ref="A182">IF(ROWS(A$4:A182)&lt;=$B$2,INDEX(data!C$3:C$106299,SMALL(IF(data!$D$3:$D$106299=$B$1,ROW($A$2:$A$98971)-ROW($A$2)+1),ROWS(A$4:A182))),"")</f>
        <v>46202</v>
      </c>
      <c r="B182" s="12" t="str">
        <f t="array" ref="B182">IF(ROWS(B$4:B182)&lt;=$B$2,INDEX(data!A$3:A$106299,SMALL(IF(data!$D$3:$D$106299=$B$1,ROW($A$2:$A$98971)-ROW($A$2)+1),ROWS(B$4:B182))),"")</f>
        <v>КАСОВА КНИГА</v>
      </c>
      <c r="C182" s="12">
        <f t="array" ref="C182">IF(ROWS(C$4:C182)&lt;=$B$2,INDEX(data!B$3:B$106299,SMALL(IF(data!$D$3:$D$106299=$B$1,ROW($A$2:$A$98971)-ROW($A$2)+1),ROWS(C$4:C182))),"")</f>
        <v>-2000</v>
      </c>
      <c r="D182" s="12" t="str">
        <f t="array" ref="D182">IF(ROWS(D$4:D182)&lt;=$B$2,INDEX(data!E$3:E$106299,SMALL(IF(data!$D$3:$D$106299=$B$1,ROW($A$2:$A$98971)-ROW($A$2)+1),ROWS(D$4:D182))),"")</f>
        <v/>
      </c>
    </row>
    <row r="183">
      <c r="A183" s="34">
        <f t="array" ref="A183">IF(ROWS(A$4:A183)&lt;=$B$2,INDEX(data!C$3:C$106299,SMALL(IF(data!$D$3:$D$106299=$B$1,ROW($A$2:$A$98971)-ROW($A$2)+1),ROWS(A$4:A183))),"")</f>
        <v>46203</v>
      </c>
      <c r="B183" s="12" t="str">
        <f t="array" ref="B183">IF(ROWS(B$4:B183)&lt;=$B$2,INDEX(data!A$3:A$106299,SMALL(IF(data!$D$3:$D$106299=$B$1,ROW($A$2:$A$98971)-ROW($A$2)+1),ROWS(B$4:B183))),"")</f>
        <v>КАСОВА КНИГА</v>
      </c>
      <c r="C183" s="12">
        <f t="array" ref="C183">IF(ROWS(C$4:C183)&lt;=$B$2,INDEX(data!B$3:B$106299,SMALL(IF(data!$D$3:$D$106299=$B$1,ROW($A$2:$A$98971)-ROW($A$2)+1),ROWS(C$4:C183))),"")</f>
        <v>-442.51</v>
      </c>
      <c r="D183" s="12" t="str">
        <f t="array" ref="D183">IF(ROWS(D$4:D183)&lt;=$B$2,INDEX(data!E$3:E$106299,SMALL(IF(data!$D$3:$D$106299=$B$1,ROW($A$2:$A$98971)-ROW($A$2)+1),ROWS(D$4:D183))),"")</f>
        <v>платени банани</v>
      </c>
    </row>
    <row r="184">
      <c r="A184" s="34">
        <f t="array" ref="A184">IF(ROWS(A$4:A184)&lt;=$B$2,INDEX(data!C$3:C$106299,SMALL(IF(data!$D$3:$D$106299=$B$1,ROW($A$2:$A$98971)-ROW($A$2)+1),ROWS(A$4:A184))),"")</f>
        <v>46206</v>
      </c>
      <c r="B184" s="12" t="str">
        <f t="array" ref="B184">IF(ROWS(B$4:B184)&lt;=$B$2,INDEX(data!A$3:A$106299,SMALL(IF(data!$D$3:$D$106299=$B$1,ROW($A$2:$A$98971)-ROW($A$2)+1),ROWS(B$4:B184))),"")</f>
        <v>КАСОВА КНИГА</v>
      </c>
      <c r="C184" s="12">
        <f t="array" ref="C184">IF(ROWS(C$4:C184)&lt;=$B$2,INDEX(data!B$3:B$106299,SMALL(IF(data!$D$3:$D$106299=$B$1,ROW($A$2:$A$98971)-ROW($A$2)+1),ROWS(C$4:C184))),"")</f>
        <v>-442.51</v>
      </c>
      <c r="D184" s="12" t="str">
        <f t="array" ref="D184">IF(ROWS(D$4:D184)&lt;=$B$2,INDEX(data!E$3:E$106299,SMALL(IF(data!$D$3:$D$106299=$B$1,ROW($A$2:$A$98971)-ROW($A$2)+1),ROWS(D$4:D184))),"")</f>
        <v>платени банани</v>
      </c>
    </row>
    <row r="185">
      <c r="A185" s="34">
        <f t="array" ref="A185">IF(ROWS(A$4:A185)&lt;=$B$2,INDEX(data!C$3:C$106299,SMALL(IF(data!$D$3:$D$106299=$B$1,ROW($A$2:$A$98971)-ROW($A$2)+1),ROWS(A$4:A185))),"")</f>
        <v>46206</v>
      </c>
      <c r="B185" s="12" t="str">
        <f t="array" ref="B185">IF(ROWS(B$4:B185)&lt;=$B$2,INDEX(data!A$3:A$106299,SMALL(IF(data!$D$3:$D$106299=$B$1,ROW($A$2:$A$98971)-ROW($A$2)+1),ROWS(B$4:B185))),"")</f>
        <v>каса ФИКТИВНА</v>
      </c>
      <c r="C185" s="12">
        <f t="array" ref="C185">IF(ROWS(C$4:C185)&lt;=$B$2,INDEX(data!B$3:B$106299,SMALL(IF(data!$D$3:$D$106299=$B$1,ROW($A$2:$A$98971)-ROW($A$2)+1),ROWS(C$4:C185))),"")</f>
        <v>-300</v>
      </c>
      <c r="D185" s="12" t="str">
        <f t="array" ref="D185">IF(ROWS(D$4:D185)&lt;=$B$2,INDEX(data!E$3:E$106299,SMALL(IF(data!$D$3:$D$106299=$B$1,ROW($A$2:$A$98971)-ROW($A$2)+1),ROWS(D$4:D185))),"")</f>
        <v>Стефчо от заплатата</v>
      </c>
    </row>
    <row r="186">
      <c r="A186" s="34">
        <f t="array" ref="A186">IF(ROWS(A$4:A186)&lt;=$B$2,INDEX(data!C$3:C$106299,SMALL(IF(data!$D$3:$D$106299=$B$1,ROW($A$2:$A$98971)-ROW($A$2)+1),ROWS(A$4:A186))),"")</f>
        <v>46209</v>
      </c>
      <c r="B186" s="12" t="str">
        <f t="array" ref="B186">IF(ROWS(B$4:B186)&lt;=$B$2,INDEX(data!A$3:A$106299,SMALL(IF(data!$D$3:$D$106299=$B$1,ROW($A$2:$A$98971)-ROW($A$2)+1),ROWS(B$4:B186))),"")</f>
        <v>MYPOS Бакалия</v>
      </c>
      <c r="C186" s="12">
        <f t="array" ref="C186">IF(ROWS(C$4:C186)&lt;=$B$2,INDEX(data!B$3:B$106299,SMALL(IF(data!$D$3:$D$106299=$B$1,ROW($A$2:$A$98971)-ROW($A$2)+1),ROWS(C$4:C186))),"")</f>
        <v>-15163.38</v>
      </c>
      <c r="D186" s="12" t="str">
        <f t="array" ref="D186">IF(ROWS(D$4:D186)&lt;=$B$2,INDEX(data!E$3:E$106299,SMALL(IF(data!$D$3:$D$106299=$B$1,ROW($A$2:$A$98971)-ROW($A$2)+1),ROWS(D$4:D186))),"")</f>
        <v/>
      </c>
    </row>
    <row r="187">
      <c r="A187" s="34">
        <f t="array" ref="A187">IF(ROWS(A$4:A187)&lt;=$B$2,INDEX(data!C$3:C$106299,SMALL(IF(data!$D$3:$D$106299=$B$1,ROW($A$2:$A$98971)-ROW($A$2)+1),ROWS(A$4:A187))),"")</f>
        <v>46209</v>
      </c>
      <c r="B187" s="12" t="str">
        <f t="array" ref="B187">IF(ROWS(B$4:B187)&lt;=$B$2,INDEX(data!A$3:A$106299,SMALL(IF(data!$D$3:$D$106299=$B$1,ROW($A$2:$A$98971)-ROW($A$2)+1),ROWS(B$4:B187))),"")</f>
        <v>Каса ВАУЧЕРИ</v>
      </c>
      <c r="C187" s="12">
        <f t="array" ref="C187">IF(ROWS(C$4:C187)&lt;=$B$2,INDEX(data!B$3:B$106299,SMALL(IF(data!$D$3:$D$106299=$B$1,ROW($A$2:$A$98971)-ROW($A$2)+1),ROWS(C$4:C187))),"")</f>
        <v>-121.36</v>
      </c>
      <c r="D187" s="12" t="str">
        <f t="array" ref="D187">IF(ROWS(D$4:D187)&lt;=$B$2,INDEX(data!E$3:E$106299,SMALL(IF(data!$D$3:$D$106299=$B$1,ROW($A$2:$A$98971)-ROW($A$2)+1),ROWS(D$4:D187))),"")</f>
        <v>към 22.06</v>
      </c>
    </row>
    <row r="188">
      <c r="A188" s="34">
        <f t="array" ref="A188">IF(ROWS(A$4:A188)&lt;=$B$2,INDEX(data!C$3:C$106299,SMALL(IF(data!$D$3:$D$106299=$B$1,ROW($A$2:$A$98971)-ROW($A$2)+1),ROWS(A$4:A188))),"")</f>
        <v>46209</v>
      </c>
      <c r="B188" s="12" t="str">
        <f t="array" ref="B188">IF(ROWS(B$4:B188)&lt;=$B$2,INDEX(data!A$3:A$106299,SMALL(IF(data!$D$3:$D$106299=$B$1,ROW($A$2:$A$98971)-ROW($A$2)+1),ROWS(B$4:B188))),"")</f>
        <v>каса ФИКТИВНА</v>
      </c>
      <c r="C188" s="12">
        <f t="array" ref="C188">IF(ROWS(C$4:C188)&lt;=$B$2,INDEX(data!B$3:B$106299,SMALL(IF(data!$D$3:$D$106299=$B$1,ROW($A$2:$A$98971)-ROW($A$2)+1),ROWS(C$4:C188))),"")</f>
        <v>-100</v>
      </c>
      <c r="D188" s="12" t="str">
        <f t="array" ref="D188">IF(ROWS(D$4:D188)&lt;=$B$2,INDEX(data!E$3:E$106299,SMALL(IF(data!$D$3:$D$106299=$B$1,ROW($A$2:$A$98971)-ROW($A$2)+1),ROWS(D$4:D188))),"")</f>
        <v>Стефан от заплатата</v>
      </c>
    </row>
    <row r="189">
      <c r="A189" s="34">
        <f t="array" ref="A189">IF(ROWS(A$4:A189)&lt;=$B$2,INDEX(data!C$3:C$106299,SMALL(IF(data!$D$3:$D$106299=$B$1,ROW($A$2:$A$98971)-ROW($A$2)+1),ROWS(A$4:A189))),"")</f>
        <v>46210</v>
      </c>
      <c r="B189" s="12" t="str">
        <f t="array" ref="B189">IF(ROWS(B$4:B189)&lt;=$B$2,INDEX(data!A$3:A$106299,SMALL(IF(data!$D$3:$D$106299=$B$1,ROW($A$2:$A$98971)-ROW($A$2)+1),ROWS(B$4:B189))),"")</f>
        <v>КАСОВА КНИГА</v>
      </c>
      <c r="C189" s="12">
        <f t="array" ref="C189">IF(ROWS(C$4:C189)&lt;=$B$2,INDEX(data!B$3:B$106299,SMALL(IF(data!$D$3:$D$106299=$B$1,ROW($A$2:$A$98971)-ROW($A$2)+1),ROWS(C$4:C189))),"")</f>
        <v>-468.54</v>
      </c>
      <c r="D189" s="12" t="str">
        <f t="array" ref="D189">IF(ROWS(D$4:D189)&lt;=$B$2,INDEX(data!E$3:E$106299,SMALL(IF(data!$D$3:$D$106299=$B$1,ROW($A$2:$A$98971)-ROW($A$2)+1),ROWS(D$4:D189))),"")</f>
        <v>платени банани</v>
      </c>
    </row>
    <row r="190">
      <c r="A190" s="34">
        <f t="array" ref="A190">IF(ROWS(A$4:A190)&lt;=$B$2,INDEX(data!C$3:C$106299,SMALL(IF(data!$D$3:$D$106299=$B$1,ROW($A$2:$A$98971)-ROW($A$2)+1),ROWS(A$4:A190))),"")</f>
        <v>46211</v>
      </c>
      <c r="B190" s="12" t="str">
        <f t="array" ref="B190">IF(ROWS(B$4:B190)&lt;=$B$2,INDEX(data!A$3:A$106299,SMALL(IF(data!$D$3:$D$106299=$B$1,ROW($A$2:$A$98971)-ROW($A$2)+1),ROWS(B$4:B190))),"")</f>
        <v>КАСОВА КНИГА</v>
      </c>
      <c r="C190" s="12">
        <f t="array" ref="C190">IF(ROWS(C$4:C190)&lt;=$B$2,INDEX(data!B$3:B$106299,SMALL(IF(data!$D$3:$D$106299=$B$1,ROW($A$2:$A$98971)-ROW($A$2)+1),ROWS(C$4:C190))),"")</f>
        <v>-1500</v>
      </c>
      <c r="D190" s="12" t="str">
        <f t="array" ref="D190">IF(ROWS(D$4:D190)&lt;=$B$2,INDEX(data!E$3:E$106299,SMALL(IF(data!$D$3:$D$106299=$B$1,ROW($A$2:$A$98971)-ROW($A$2)+1),ROWS(D$4:D190))),"")</f>
        <v/>
      </c>
    </row>
    <row r="191">
      <c r="A191" s="34">
        <f t="array" ref="A191">IF(ROWS(A$4:A191)&lt;=$B$2,INDEX(data!C$3:C$106299,SMALL(IF(data!$D$3:$D$106299=$B$1,ROW($A$2:$A$98971)-ROW($A$2)+1),ROWS(A$4:A191))),"")</f>
        <v>46213</v>
      </c>
      <c r="B191" s="12" t="str">
        <f t="array" ref="B191">IF(ROWS(B$4:B191)&lt;=$B$2,INDEX(data!A$3:A$106299,SMALL(IF(data!$D$3:$D$106299=$B$1,ROW($A$2:$A$98971)-ROW($A$2)+1),ROWS(B$4:B191))),"")</f>
        <v>КАСОВА КНИГА</v>
      </c>
      <c r="C191" s="12">
        <f t="array" ref="C191">IF(ROWS(C$4:C191)&lt;=$B$2,INDEX(data!B$3:B$106299,SMALL(IF(data!$D$3:$D$106299=$B$1,ROW($A$2:$A$98971)-ROW($A$2)+1),ROWS(C$4:C191))),"")</f>
        <v>-1000</v>
      </c>
      <c r="D191" s="12" t="str">
        <f t="array" ref="D191">IF(ROWS(D$4:D191)&lt;=$B$2,INDEX(data!E$3:E$106299,SMALL(IF(data!$D$3:$D$106299=$B$1,ROW($A$2:$A$98971)-ROW($A$2)+1),ROWS(D$4:D191))),"")</f>
        <v/>
      </c>
    </row>
    <row r="192">
      <c r="A192" s="34">
        <f t="array" ref="A192">IF(ROWS(A$4:A192)&lt;=$B$2,INDEX(data!C$3:C$106299,SMALL(IF(data!$D$3:$D$106299=$B$1,ROW($A$2:$A$98971)-ROW($A$2)+1),ROWS(A$4:A192))),"")</f>
        <v>46213</v>
      </c>
      <c r="B192" s="12" t="str">
        <f t="array" ref="B192">IF(ROWS(B$4:B192)&lt;=$B$2,INDEX(data!A$3:A$106299,SMALL(IF(data!$D$3:$D$106299=$B$1,ROW($A$2:$A$98971)-ROW($A$2)+1),ROWS(B$4:B192))),"")</f>
        <v>КАСОВА КНИГА</v>
      </c>
      <c r="C192" s="12">
        <f t="array" ref="C192">IF(ROWS(C$4:C192)&lt;=$B$2,INDEX(data!B$3:B$106299,SMALL(IF(data!$D$3:$D$106299=$B$1,ROW($A$2:$A$98971)-ROW($A$2)+1),ROWS(C$4:C192))),"")</f>
        <v>-468.54</v>
      </c>
      <c r="D192" s="12" t="str">
        <f t="array" ref="D192">IF(ROWS(D$4:D192)&lt;=$B$2,INDEX(data!E$3:E$106299,SMALL(IF(data!$D$3:$D$106299=$B$1,ROW($A$2:$A$98971)-ROW($A$2)+1),ROWS(D$4:D192))),"")</f>
        <v>платени банани</v>
      </c>
    </row>
    <row r="193">
      <c r="A193" s="34">
        <f t="array" ref="A193">IF(ROWS(A$4:A193)&lt;=$B$2,INDEX(data!C$3:C$106299,SMALL(IF(data!$D$3:$D$106299=$B$1,ROW($A$2:$A$98971)-ROW($A$2)+1),ROWS(A$4:A193))),"")</f>
        <v>46213</v>
      </c>
      <c r="B193" s="12" t="str">
        <f t="array" ref="B193">IF(ROWS(B$4:B193)&lt;=$B$2,INDEX(data!A$3:A$106299,SMALL(IF(data!$D$3:$D$106299=$B$1,ROW($A$2:$A$98971)-ROW($A$2)+1),ROWS(B$4:B193))),"")</f>
        <v>каса ФИКТИВНА</v>
      </c>
      <c r="C193" s="12">
        <f t="array" ref="C193">IF(ROWS(C$4:C193)&lt;=$B$2,INDEX(data!B$3:B$106299,SMALL(IF(data!$D$3:$D$106299=$B$1,ROW($A$2:$A$98971)-ROW($A$2)+1),ROWS(C$4:C193))),"")</f>
        <v>-500</v>
      </c>
      <c r="D193" s="12" t="str">
        <f t="array" ref="D193">IF(ROWS(D$4:D193)&lt;=$B$2,INDEX(data!E$3:E$106299,SMALL(IF(data!$D$3:$D$106299=$B$1,ROW($A$2:$A$98971)-ROW($A$2)+1),ROWS(D$4:D193))),"")</f>
        <v>Лили от премиите</v>
      </c>
    </row>
    <row r="194">
      <c r="A194" s="34">
        <f t="array" ref="A194">IF(ROWS(A$4:A194)&lt;=$B$2,INDEX(data!C$3:C$106299,SMALL(IF(data!$D$3:$D$106299=$B$1,ROW($A$2:$A$98971)-ROW($A$2)+1),ROWS(A$4:A194))),"")</f>
        <v>46213</v>
      </c>
      <c r="B194" s="12" t="str">
        <f t="array" ref="B194">IF(ROWS(B$4:B194)&lt;=$B$2,INDEX(data!A$3:A$106299,SMALL(IF(data!$D$3:$D$106299=$B$1,ROW($A$2:$A$98971)-ROW($A$2)+1),ROWS(B$4:B194))),"")</f>
        <v>каса ФИКТИВНА</v>
      </c>
      <c r="C194" s="12">
        <f t="array" ref="C194">IF(ROWS(C$4:C194)&lt;=$B$2,INDEX(data!B$3:B$106299,SMALL(IF(data!$D$3:$D$106299=$B$1,ROW($A$2:$A$98971)-ROW($A$2)+1),ROWS(C$4:C194))),"")</f>
        <v>-336</v>
      </c>
      <c r="D194" s="12" t="str">
        <f t="array" ref="D194">IF(ROWS(D$4:D194)&lt;=$B$2,INDEX(data!E$3:E$106299,SMALL(IF(data!$D$3:$D$106299=$B$1,ROW($A$2:$A$98971)-ROW($A$2)+1),ROWS(D$4:D194))),"")</f>
        <v>карти за гр.транспорт непалци</v>
      </c>
    </row>
    <row r="195">
      <c r="A195" s="34">
        <f t="array" ref="A195">IF(ROWS(A$4:A195)&lt;=$B$2,INDEX(data!C$3:C$106299,SMALL(IF(data!$D$3:$D$106299=$B$1,ROW($A$2:$A$98971)-ROW($A$2)+1),ROWS(A$4:A195))),"")</f>
        <v>46216</v>
      </c>
      <c r="B195" s="12" t="str">
        <f t="array" ref="B195">IF(ROWS(B$4:B195)&lt;=$B$2,INDEX(data!A$3:A$106299,SMALL(IF(data!$D$3:$D$106299=$B$1,ROW($A$2:$A$98971)-ROW($A$2)+1),ROWS(B$4:B195))),"")</f>
        <v>КАСОВА КНИГА</v>
      </c>
      <c r="C195" s="12">
        <f t="array" ref="C195">IF(ROWS(C$4:C195)&lt;=$B$2,INDEX(data!B$3:B$106299,SMALL(IF(data!$D$3:$D$106299=$B$1,ROW($A$2:$A$98971)-ROW($A$2)+1),ROWS(C$4:C195))),"")</f>
        <v>-2000</v>
      </c>
      <c r="D195" s="12" t="str">
        <f t="array" ref="D195">IF(ROWS(D$4:D195)&lt;=$B$2,INDEX(data!E$3:E$106299,SMALL(IF(data!$D$3:$D$106299=$B$1,ROW($A$2:$A$98971)-ROW($A$2)+1),ROWS(D$4:D195))),"")</f>
        <v/>
      </c>
    </row>
    <row r="196">
      <c r="A196" s="34">
        <f t="array" ref="A196">IF(ROWS(A$4:A196)&lt;=$B$2,INDEX(data!C$3:C$106299,SMALL(IF(data!$D$3:$D$106299=$B$1,ROW($A$2:$A$98971)-ROW($A$2)+1),ROWS(A$4:A196))),"")</f>
        <v>46217</v>
      </c>
      <c r="B196" s="12" t="str">
        <f t="array" ref="B196">IF(ROWS(B$4:B196)&lt;=$B$2,INDEX(data!A$3:A$106299,SMALL(IF(data!$D$3:$D$106299=$B$1,ROW($A$2:$A$98971)-ROW($A$2)+1),ROWS(B$4:B196))),"")</f>
        <v>КАСОВА КНИГА</v>
      </c>
      <c r="C196" s="12">
        <f t="array" ref="C196">IF(ROWS(C$4:C196)&lt;=$B$2,INDEX(data!B$3:B$106299,SMALL(IF(data!$D$3:$D$106299=$B$1,ROW($A$2:$A$98971)-ROW($A$2)+1),ROWS(C$4:C196))),"")</f>
        <v>-442.51</v>
      </c>
      <c r="D196" s="12" t="str">
        <f t="array" ref="D196">IF(ROWS(D$4:D196)&lt;=$B$2,INDEX(data!E$3:E$106299,SMALL(IF(data!$D$3:$D$106299=$B$1,ROW($A$2:$A$98971)-ROW($A$2)+1),ROWS(D$4:D196))),"")</f>
        <v>платени банани</v>
      </c>
    </row>
    <row r="197">
      <c r="A197" s="34">
        <f t="array" ref="A197">IF(ROWS(A$4:A197)&lt;=$B$2,INDEX(data!C$3:C$106299,SMALL(IF(data!$D$3:$D$106299=$B$1,ROW($A$2:$A$98971)-ROW($A$2)+1),ROWS(A$4:A197))),"")</f>
        <v>46218</v>
      </c>
      <c r="B197" s="12" t="str">
        <f t="array" ref="B197">IF(ROWS(B$4:B197)&lt;=$B$2,INDEX(data!A$3:A$106299,SMALL(IF(data!$D$3:$D$106299=$B$1,ROW($A$2:$A$98971)-ROW($A$2)+1),ROWS(B$4:B197))),"")</f>
        <v>КАСОВА КНИГА</v>
      </c>
      <c r="C197" s="12">
        <f t="array" ref="C197">IF(ROWS(C$4:C197)&lt;=$B$2,INDEX(data!B$3:B$106299,SMALL(IF(data!$D$3:$D$106299=$B$1,ROW($A$2:$A$98971)-ROW($A$2)+1),ROWS(C$4:C197))),"")</f>
        <v>-1000</v>
      </c>
      <c r="D197" s="12" t="str">
        <f t="array" ref="D197">IF(ROWS(D$4:D197)&lt;=$B$2,INDEX(data!E$3:E$106299,SMALL(IF(data!$D$3:$D$106299=$B$1,ROW($A$2:$A$98971)-ROW($A$2)+1),ROWS(D$4:D197))),"")</f>
        <v/>
      </c>
    </row>
    <row r="198">
      <c r="A198" s="34">
        <f t="array" ref="A198">IF(ROWS(A$4:A198)&lt;=$B$2,INDEX(data!C$3:C$106299,SMALL(IF(data!$D$3:$D$106299=$B$1,ROW($A$2:$A$98971)-ROW($A$2)+1),ROWS(A$4:A198))),"")</f>
        <v>46219</v>
      </c>
      <c r="B198" s="12" t="str">
        <f t="array" ref="B198">IF(ROWS(B$4:B198)&lt;=$B$2,INDEX(data!A$3:A$106299,SMALL(IF(data!$D$3:$D$106299=$B$1,ROW($A$2:$A$98971)-ROW($A$2)+1),ROWS(B$4:B198))),"")</f>
        <v>Каса ВАУЧЕРИ</v>
      </c>
      <c r="C198" s="12">
        <f t="array" ref="C198">IF(ROWS(C$4:C198)&lt;=$B$2,INDEX(data!B$3:B$106299,SMALL(IF(data!$D$3:$D$106299=$B$1,ROW($A$2:$A$98971)-ROW($A$2)+1),ROWS(C$4:C198))),"")</f>
        <v>-61</v>
      </c>
      <c r="D198" s="12" t="str">
        <f t="array" ref="D198">IF(ROWS(D$4:D198)&lt;=$B$2,INDEX(data!E$3:E$106299,SMALL(IF(data!$D$3:$D$106299=$B$1,ROW($A$2:$A$98971)-ROW($A$2)+1),ROWS(D$4:D198))),"")</f>
        <v>за 29.06-05.07</v>
      </c>
    </row>
    <row r="199">
      <c r="A199" s="34">
        <f t="array" ref="A199">IF(ROWS(A$4:A199)&lt;=$B$2,INDEX(data!C$3:C$106299,SMALL(IF(data!$D$3:$D$106299=$B$1,ROW($A$2:$A$98971)-ROW($A$2)+1),ROWS(A$4:A199))),"")</f>
        <v>46220</v>
      </c>
      <c r="B199" s="12" t="str">
        <f t="array" ref="B199">IF(ROWS(B$4:B199)&lt;=$B$2,INDEX(data!A$3:A$106299,SMALL(IF(data!$D$3:$D$106299=$B$1,ROW($A$2:$A$98971)-ROW($A$2)+1),ROWS(B$4:B199))),"")</f>
        <v>КАСОВА КНИГА</v>
      </c>
      <c r="C199" s="12">
        <f t="array" ref="C199">IF(ROWS(C$4:C199)&lt;=$B$2,INDEX(data!B$3:B$106299,SMALL(IF(data!$D$3:$D$106299=$B$1,ROW($A$2:$A$98971)-ROW($A$2)+1),ROWS(C$4:C199))),"")</f>
        <v>-390.45</v>
      </c>
      <c r="D199" s="12" t="str">
        <f t="array" ref="D199">IF(ROWS(D$4:D199)&lt;=$B$2,INDEX(data!E$3:E$106299,SMALL(IF(data!$D$3:$D$106299=$B$1,ROW($A$2:$A$98971)-ROW($A$2)+1),ROWS(D$4:D199))),"")</f>
        <v>платени банани</v>
      </c>
    </row>
    <row r="200">
      <c r="A200" s="34">
        <f t="array" ref="A200">IF(ROWS(A$4:A200)&lt;=$B$2,INDEX(data!C$3:C$106299,SMALL(IF(data!$D$3:$D$106299=$B$1,ROW($A$2:$A$98971)-ROW($A$2)+1),ROWS(A$4:A200))),"")</f>
        <v>46223</v>
      </c>
      <c r="B200" s="12" t="str">
        <f t="array" ref="B200">IF(ROWS(B$4:B200)&lt;=$B$2,INDEX(data!A$3:A$106299,SMALL(IF(data!$D$3:$D$106299=$B$1,ROW($A$2:$A$98971)-ROW($A$2)+1),ROWS(B$4:B200))),"")</f>
        <v>КАСОВА КНИГА</v>
      </c>
      <c r="C200" s="12">
        <f t="array" ref="C200">IF(ROWS(C$4:C200)&lt;=$B$2,INDEX(data!B$3:B$106299,SMALL(IF(data!$D$3:$D$106299=$B$1,ROW($A$2:$A$98971)-ROW($A$2)+1),ROWS(C$4:C200))),"")</f>
        <v>2000</v>
      </c>
      <c r="D200" s="12" t="str">
        <f t="array" ref="D200">IF(ROWS(D$4:D200)&lt;=$B$2,INDEX(data!E$3:E$106299,SMALL(IF(data!$D$3:$D$106299=$B$1,ROW($A$2:$A$98971)-ROW($A$2)+1),ROWS(D$4:D200))),"")</f>
        <v>заем</v>
      </c>
    </row>
    <row r="201">
      <c r="A201" s="34">
        <f t="array" ref="A201">IF(ROWS(A$4:A201)&lt;=$B$2,INDEX(data!C$3:C$106299,SMALL(IF(data!$D$3:$D$106299=$B$1,ROW($A$2:$A$98971)-ROW($A$2)+1),ROWS(A$4:A201))),"")</f>
        <v>46223</v>
      </c>
      <c r="B201" s="12" t="str">
        <f t="array" ref="B201">IF(ROWS(B$4:B201)&lt;=$B$2,INDEX(data!A$3:A$106299,SMALL(IF(data!$D$3:$D$106299=$B$1,ROW($A$2:$A$98971)-ROW($A$2)+1),ROWS(B$4:B201))),"")</f>
        <v>Каса ВАУЧЕРИ</v>
      </c>
      <c r="C201" s="12">
        <f t="array" ref="C201">IF(ROWS(C$4:C201)&lt;=$B$2,INDEX(data!B$3:B$106299,SMALL(IF(data!$D$3:$D$106299=$B$1,ROW($A$2:$A$98971)-ROW($A$2)+1),ROWS(C$4:C201))),"")</f>
        <v>1100</v>
      </c>
      <c r="D201" s="12" t="str">
        <f t="array" ref="D201">IF(ROWS(D$4:D201)&lt;=$B$2,INDEX(data!E$3:E$106299,SMALL(IF(data!$D$3:$D$106299=$B$1,ROW($A$2:$A$98971)-ROW($A$2)+1),ROWS(D$4:D201))),"")</f>
        <v>ваучери персонал</v>
      </c>
    </row>
    <row r="202">
      <c r="A202" s="34">
        <f t="array" ref="A202">IF(ROWS(A$4:A202)&lt;=$B$2,INDEX(data!C$3:C$106299,SMALL(IF(data!$D$3:$D$106299=$B$1,ROW($A$2:$A$98971)-ROW($A$2)+1),ROWS(A$4:A202))),"")</f>
        <v>46223</v>
      </c>
      <c r="B202" s="12" t="str">
        <f t="array" ref="B202">IF(ROWS(B$4:B202)&lt;=$B$2,INDEX(data!A$3:A$106299,SMALL(IF(data!$D$3:$D$106299=$B$1,ROW($A$2:$A$98971)-ROW($A$2)+1),ROWS(B$4:B202))),"")</f>
        <v>каса ФИКТИВНА</v>
      </c>
      <c r="C202" s="12">
        <f t="array" ref="C202">IF(ROWS(C$4:C202)&lt;=$B$2,INDEX(data!B$3:B$106299,SMALL(IF(data!$D$3:$D$106299=$B$1,ROW($A$2:$A$98971)-ROW($A$2)+1),ROWS(C$4:C202))),"")</f>
        <v>-500</v>
      </c>
      <c r="D202" s="12" t="str">
        <f t="array" ref="D202">IF(ROWS(D$4:D202)&lt;=$B$2,INDEX(data!E$3:E$106299,SMALL(IF(data!$D$3:$D$106299=$B$1,ROW($A$2:$A$98971)-ROW($A$2)+1),ROWS(D$4:D202))),"")</f>
        <v>Лили от премиите</v>
      </c>
    </row>
    <row r="203">
      <c r="A203" s="34">
        <f t="array" ref="A203">IF(ROWS(A$4:A203)&lt;=$B$2,INDEX(data!C$3:C$106299,SMALL(IF(data!$D$3:$D$106299=$B$1,ROW($A$2:$A$98971)-ROW($A$2)+1),ROWS(A$4:A203))),"")</f>
        <v>46223</v>
      </c>
      <c r="B203" s="12" t="str">
        <f t="array" ref="B203">IF(ROWS(B$4:B203)&lt;=$B$2,INDEX(data!A$3:A$106299,SMALL(IF(data!$D$3:$D$106299=$B$1,ROW($A$2:$A$98971)-ROW($A$2)+1),ROWS(B$4:B203))),"")</f>
        <v>MYPOS Бакалия</v>
      </c>
      <c r="C203" s="12">
        <f t="array" ref="C203">IF(ROWS(C$4:C203)&lt;=$B$2,INDEX(data!B$3:B$106299,SMALL(IF(data!$D$3:$D$106299=$B$1,ROW($A$2:$A$98971)-ROW($A$2)+1),ROWS(C$4:C203))),"")</f>
        <v>-28670.76</v>
      </c>
      <c r="D203" s="12" t="str">
        <f t="array" ref="D203">IF(ROWS(D$4:D203)&lt;=$B$2,INDEX(data!E$3:E$106299,SMALL(IF(data!$D$3:$D$106299=$B$1,ROW($A$2:$A$98971)-ROW($A$2)+1),ROWS(D$4:D203))),"")</f>
        <v/>
      </c>
    </row>
    <row r="204">
      <c r="A204" s="34">
        <f t="array" ref="A204">IF(ROWS(A$4:A204)&lt;=$B$2,INDEX(data!C$3:C$106299,SMALL(IF(data!$D$3:$D$106299=$B$1,ROW($A$2:$A$98971)-ROW($A$2)+1),ROWS(A$4:A204))),"")</f>
        <v>46224</v>
      </c>
      <c r="B204" s="12" t="str">
        <f t="array" ref="B204">IF(ROWS(B$4:B204)&lt;=$B$2,INDEX(data!A$3:A$106299,SMALL(IF(data!$D$3:$D$106299=$B$1,ROW($A$2:$A$98971)-ROW($A$2)+1),ROWS(B$4:B204))),"")</f>
        <v>ЗАЕМ</v>
      </c>
      <c r="C204" s="12">
        <f t="array" ref="C204">IF(ROWS(C$4:C204)&lt;=$B$2,INDEX(data!B$3:B$106299,SMALL(IF(data!$D$3:$D$106299=$B$1,ROW($A$2:$A$98971)-ROW($A$2)+1),ROWS(C$4:C204))),"")</f>
        <v>93304.61</v>
      </c>
      <c r="D204" s="12" t="str">
        <f t="array" ref="D204">IF(ROWS(D$4:D204)&lt;=$B$2,INDEX(data!E$3:E$106299,SMALL(IF(data!$D$3:$D$106299=$B$1,ROW($A$2:$A$98971)-ROW($A$2)+1),ROWS(D$4:D204))),"")</f>
        <v>Салдо склад + вътр. п-не</v>
      </c>
    </row>
    <row r="205">
      <c r="A205" s="34">
        <f t="array" ref="A205">IF(ROWS(A$4:A205)&lt;=$B$2,INDEX(data!C$3:C$106299,SMALL(IF(data!$D$3:$D$106299=$B$1,ROW($A$2:$A$98971)-ROW($A$2)+1),ROWS(A$4:A205))),"")</f>
        <v>46225</v>
      </c>
      <c r="B205" s="12" t="str">
        <f t="array" ref="B205">IF(ROWS(B$4:B205)&lt;=$B$2,INDEX(data!A$3:A$106299,SMALL(IF(data!$D$3:$D$106299=$B$1,ROW($A$2:$A$98971)-ROW($A$2)+1),ROWS(B$4:B205))),"")</f>
        <v>КАСОВА КНИГА</v>
      </c>
      <c r="C205" s="12">
        <f t="array" ref="C205">IF(ROWS(C$4:C205)&lt;=$B$2,INDEX(data!B$3:B$106299,SMALL(IF(data!$D$3:$D$106299=$B$1,ROW($A$2:$A$98971)-ROW($A$2)+1),ROWS(C$4:C205))),"")</f>
        <v>-1724.66</v>
      </c>
      <c r="D205" s="12" t="str">
        <f t="array" ref="D205">IF(ROWS(D$4:D205)&lt;=$B$2,INDEX(data!E$3:E$106299,SMALL(IF(data!$D$3:$D$106299=$B$1,ROW($A$2:$A$98971)-ROW($A$2)+1),ROWS(D$4:D205))),"")</f>
        <v>платен зеленчук</v>
      </c>
    </row>
    <row r="206">
      <c r="A206" s="34">
        <f t="array" ref="A206">IF(ROWS(A$4:A206)&lt;=$B$2,INDEX(data!C$3:C$106299,SMALL(IF(data!$D$3:$D$106299=$B$1,ROW($A$2:$A$98971)-ROW($A$2)+1),ROWS(A$4:A206))),"")</f>
        <v>46225</v>
      </c>
      <c r="B206" s="12" t="str">
        <f t="array" ref="B206">IF(ROWS(B$4:B206)&lt;=$B$2,INDEX(data!A$3:A$106299,SMALL(IF(data!$D$3:$D$106299=$B$1,ROW($A$2:$A$98971)-ROW($A$2)+1),ROWS(B$4:B206))),"")</f>
        <v>КАСОВА КНИГА</v>
      </c>
      <c r="C206" s="12">
        <f t="array" ref="C206">IF(ROWS(C$4:C206)&lt;=$B$2,INDEX(data!B$3:B$106299,SMALL(IF(data!$D$3:$D$106299=$B$1,ROW($A$2:$A$98971)-ROW($A$2)+1),ROWS(C$4:C206))),"")</f>
        <v>-312.36</v>
      </c>
      <c r="D206" s="12" t="str">
        <f t="array" ref="D206">IF(ROWS(D$4:D206)&lt;=$B$2,INDEX(data!E$3:E$106299,SMALL(IF(data!$D$3:$D$106299=$B$1,ROW($A$2:$A$98971)-ROW($A$2)+1),ROWS(D$4:D206))),"")</f>
        <v>платени банани</v>
      </c>
    </row>
    <row r="207">
      <c r="A207" s="34">
        <f t="array" ref="A207">IF(ROWS(A$4:A207)&lt;=$B$2,INDEX(data!C$3:C$106299,SMALL(IF(data!$D$3:$D$106299=$B$1,ROW($A$2:$A$98971)-ROW($A$2)+1),ROWS(A$4:A207))),"")</f>
        <v>46226</v>
      </c>
      <c r="B207" s="12" t="str">
        <f t="array" ref="B207">IF(ROWS(B$4:B207)&lt;=$B$2,INDEX(data!A$3:A$106299,SMALL(IF(data!$D$3:$D$106299=$B$1,ROW($A$2:$A$98971)-ROW($A$2)+1),ROWS(B$4:B207))),"")</f>
        <v>Каса ВАУЧЕРИ</v>
      </c>
      <c r="C207" s="12">
        <f t="array" ref="C207">IF(ROWS(C$4:C207)&lt;=$B$2,INDEX(data!B$3:B$106299,SMALL(IF(data!$D$3:$D$106299=$B$1,ROW($A$2:$A$98971)-ROW($A$2)+1),ROWS(C$4:C207))),"")</f>
        <v>-5</v>
      </c>
      <c r="D207" s="12" t="str">
        <f t="array" ref="D207">IF(ROWS(D$4:D207)&lt;=$B$2,INDEX(data!E$3:E$106299,SMALL(IF(data!$D$3:$D$106299=$B$1,ROW($A$2:$A$98971)-ROW($A$2)+1),ROWS(D$4:D207))),"")</f>
        <v>към 13.07</v>
      </c>
    </row>
    <row r="208">
      <c r="A208" s="34">
        <f t="array" ref="A208">IF(ROWS(A$4:A208)&lt;=$B$2,INDEX(data!C$3:C$106299,SMALL(IF(data!$D$3:$D$106299=$B$1,ROW($A$2:$A$98971)-ROW($A$2)+1),ROWS(A$4:A208))),"")</f>
        <v>46226</v>
      </c>
      <c r="B208" s="12" t="str">
        <f t="array" ref="B208">IF(ROWS(B$4:B208)&lt;=$B$2,INDEX(data!A$3:A$106299,SMALL(IF(data!$D$3:$D$106299=$B$1,ROW($A$2:$A$98971)-ROW($A$2)+1),ROWS(B$4:B208))),"")</f>
        <v>каса ФИКТИВНА</v>
      </c>
      <c r="C208" s="12">
        <f t="array" ref="C208">IF(ROWS(C$4:C208)&lt;=$B$2,INDEX(data!B$3:B$106299,SMALL(IF(data!$D$3:$D$106299=$B$1,ROW($A$2:$A$98971)-ROW($A$2)+1),ROWS(C$4:C208))),"")</f>
        <v>-921</v>
      </c>
      <c r="D208" s="12" t="str">
        <f t="array" ref="D208">IF(ROWS(D$4:D208)&lt;=$B$2,INDEX(data!E$3:E$106299,SMALL(IF(data!$D$3:$D$106299=$B$1,ROW($A$2:$A$98971)-ROW($A$2)+1),ROWS(D$4:D208))),"")</f>
        <v>Цвети от заплатата</v>
      </c>
    </row>
    <row r="209">
      <c r="A209" s="34">
        <f t="array" ref="A209">IF(ROWS(A$4:A209)&lt;=$B$2,INDEX(data!C$3:C$106299,SMALL(IF(data!$D$3:$D$106299=$B$1,ROW($A$2:$A$98971)-ROW($A$2)+1),ROWS(A$4:A209))),"")</f>
        <v>46227</v>
      </c>
      <c r="B209" s="12" t="str">
        <f t="array" ref="B209">IF(ROWS(B$4:B209)&lt;=$B$2,INDEX(data!A$3:A$106299,SMALL(IF(data!$D$3:$D$106299=$B$1,ROW($A$2:$A$98971)-ROW($A$2)+1),ROWS(B$4:B209))),"")</f>
        <v>КАСОВА КНИГА</v>
      </c>
      <c r="C209" s="12">
        <f t="array" ref="C209">IF(ROWS(C$4:C209)&lt;=$B$2,INDEX(data!B$3:B$106299,SMALL(IF(data!$D$3:$D$106299=$B$1,ROW($A$2:$A$98971)-ROW($A$2)+1),ROWS(C$4:C209))),"")</f>
        <v>-1500</v>
      </c>
      <c r="D209" s="12" t="str">
        <f t="array" ref="D209">IF(ROWS(D$4:D209)&lt;=$B$2,INDEX(data!E$3:E$106299,SMALL(IF(data!$D$3:$D$106299=$B$1,ROW($A$2:$A$98971)-ROW($A$2)+1),ROWS(D$4:D209))),"")</f>
        <v/>
      </c>
    </row>
    <row r="210">
      <c r="A210" s="34">
        <f t="array" ref="A210">IF(ROWS(A$4:A210)&lt;=$B$2,INDEX(data!C$3:C$106299,SMALL(IF(data!$D$3:$D$106299=$B$1,ROW($A$2:$A$98971)-ROW($A$2)+1),ROWS(A$4:A210))),"")</f>
        <v>46227</v>
      </c>
      <c r="B210" s="12" t="str">
        <f t="array" ref="B210">IF(ROWS(B$4:B210)&lt;=$B$2,INDEX(data!A$3:A$106299,SMALL(IF(data!$D$3:$D$106299=$B$1,ROW($A$2:$A$98971)-ROW($A$2)+1),ROWS(B$4:B210))),"")</f>
        <v>КАСОВА КНИГА</v>
      </c>
      <c r="C210" s="12">
        <f t="array" ref="C210">IF(ROWS(C$4:C210)&lt;=$B$2,INDEX(data!B$3:B$106299,SMALL(IF(data!$D$3:$D$106299=$B$1,ROW($A$2:$A$98971)-ROW($A$2)+1),ROWS(C$4:C210))),"")</f>
        <v>-416.48</v>
      </c>
      <c r="D210" s="12" t="str">
        <f t="array" ref="D210">IF(ROWS(D$4:D210)&lt;=$B$2,INDEX(data!E$3:E$106299,SMALL(IF(data!$D$3:$D$106299=$B$1,ROW($A$2:$A$98971)-ROW($A$2)+1),ROWS(D$4:D210))),"")</f>
        <v>платени банани</v>
      </c>
    </row>
    <row r="211">
      <c r="A211" s="34">
        <f t="array" ref="A211">IF(ROWS(A$4:A211)&lt;=$B$2,INDEX(data!C$3:C$106299,SMALL(IF(data!$D$3:$D$106299=$B$1,ROW($A$2:$A$98971)-ROW($A$2)+1),ROWS(A$4:A211))),"")</f>
        <v>46230</v>
      </c>
      <c r="B211" s="12" t="str">
        <f t="array" ref="B211">IF(ROWS(B$4:B211)&lt;=$B$2,INDEX(data!A$3:A$106299,SMALL(IF(data!$D$3:$D$106299=$B$1,ROW($A$2:$A$98971)-ROW($A$2)+1),ROWS(B$4:B211))),"")</f>
        <v>КАСОВА КНИГА</v>
      </c>
      <c r="C211" s="12">
        <f t="array" ref="C211">IF(ROWS(C$4:C211)&lt;=$B$2,INDEX(data!B$3:B$106299,SMALL(IF(data!$D$3:$D$106299=$B$1,ROW($A$2:$A$98971)-ROW($A$2)+1),ROWS(C$4:C211))),"")</f>
        <v>-2500</v>
      </c>
      <c r="D211" s="12" t="str">
        <f t="array" ref="D211">IF(ROWS(D$4:D211)&lt;=$B$2,INDEX(data!E$3:E$106299,SMALL(IF(data!$D$3:$D$106299=$B$1,ROW($A$2:$A$98971)-ROW($A$2)+1),ROWS(D$4:D211))),"")</f>
        <v/>
      </c>
    </row>
    <row r="212">
      <c r="A212" s="34">
        <f t="array" ref="A212">IF(ROWS(A$4:A212)&lt;=$B$2,INDEX(data!C$3:C$106299,SMALL(IF(data!$D$3:$D$106299=$B$1,ROW($A$2:$A$98971)-ROW($A$2)+1),ROWS(A$4:A212))),"")</f>
        <v>46231</v>
      </c>
      <c r="B212" s="12" t="str">
        <f t="array" ref="B212">IF(ROWS(B$4:B212)&lt;=$B$2,INDEX(data!A$3:A$106299,SMALL(IF(data!$D$3:$D$106299=$B$1,ROW($A$2:$A$98971)-ROW($A$2)+1),ROWS(B$4:B212))),"")</f>
        <v>MYPOS Бакалия</v>
      </c>
      <c r="C212" s="12">
        <f t="array" ref="C212">IF(ROWS(C$4:C212)&lt;=$B$2,INDEX(data!B$3:B$106299,SMALL(IF(data!$D$3:$D$106299=$B$1,ROW($A$2:$A$98971)-ROW($A$2)+1),ROWS(C$4:C212))),"")</f>
        <v>-14525.16</v>
      </c>
      <c r="D212" s="12" t="str">
        <f t="array" ref="D212">IF(ROWS(D$4:D212)&lt;=$B$2,INDEX(data!E$3:E$106299,SMALL(IF(data!$D$3:$D$106299=$B$1,ROW($A$2:$A$98971)-ROW($A$2)+1),ROWS(D$4:D212))),"")</f>
        <v/>
      </c>
    </row>
    <row r="213">
      <c r="A213" s="34">
        <f t="array" ref="A213">IF(ROWS(A$4:A213)&lt;=$B$2,INDEX(data!C$3:C$106299,SMALL(IF(data!$D$3:$D$106299=$B$1,ROW($A$2:$A$98971)-ROW($A$2)+1),ROWS(A$4:A213))),"")</f>
        <v>46231</v>
      </c>
      <c r="B213" s="12" t="str">
        <f t="array" ref="B213">IF(ROWS(B$4:B213)&lt;=$B$2,INDEX(data!A$3:A$106299,SMALL(IF(data!$D$3:$D$106299=$B$1,ROW($A$2:$A$98971)-ROW($A$2)+1),ROWS(B$4:B213))),"")</f>
        <v>КАСОВА КНИГА</v>
      </c>
      <c r="C213" s="12">
        <f t="array" ref="C213">IF(ROWS(C$4:C213)&lt;=$B$2,INDEX(data!B$3:B$106299,SMALL(IF(data!$D$3:$D$106299=$B$1,ROW($A$2:$A$98971)-ROW($A$2)+1),ROWS(C$4:C213))),"")</f>
        <v>-364</v>
      </c>
      <c r="D213" s="12" t="str">
        <f t="array" ref="D213">IF(ROWS(D$4:D213)&lt;=$B$2,INDEX(data!E$3:E$106299,SMALL(IF(data!$D$3:$D$106299=$B$1,ROW($A$2:$A$98971)-ROW($A$2)+1),ROWS(D$4:D213))),"")</f>
        <v>Банани</v>
      </c>
    </row>
    <row r="214">
      <c r="A214" s="34">
        <f t="array" ref="A214">IF(ROWS(A$4:A214)&lt;=$B$2,INDEX(data!C$3:C$106299,SMALL(IF(data!$D$3:$D$106299=$B$1,ROW($A$2:$A$98971)-ROW($A$2)+1),ROWS(A$4:A214))),"")</f>
        <v>46231</v>
      </c>
      <c r="B214" s="12" t="str">
        <f t="array" ref="B214">IF(ROWS(B$4:B214)&lt;=$B$2,INDEX(data!A$3:A$106299,SMALL(IF(data!$D$3:$D$106299=$B$1,ROW($A$2:$A$98971)-ROW($A$2)+1),ROWS(B$4:B214))),"")</f>
        <v>КАСОВА КНИГА</v>
      </c>
      <c r="C214" s="12">
        <f t="array" ref="C214">IF(ROWS(C$4:C214)&lt;=$B$2,INDEX(data!B$3:B$106299,SMALL(IF(data!$D$3:$D$106299=$B$1,ROW($A$2:$A$98971)-ROW($A$2)+1),ROWS(C$4:C214))),"")</f>
        <v>-1585</v>
      </c>
      <c r="D214" s="12" t="str">
        <f t="array" ref="D214">IF(ROWS(D$4:D214)&lt;=$B$2,INDEX(data!E$3:E$106299,SMALL(IF(data!$D$3:$D$106299=$B$1,ROW($A$2:$A$98971)-ROW($A$2)+1),ROWS(D$4:D214))),"")</f>
        <v>Платен ПЗ</v>
      </c>
    </row>
    <row r="215">
      <c r="A215" s="34">
        <f t="array" ref="A215">IF(ROWS(A$4:A215)&lt;=$B$2,INDEX(data!C$3:C$106299,SMALL(IF(data!$D$3:$D$106299=$B$1,ROW($A$2:$A$98971)-ROW($A$2)+1),ROWS(A$4:A215))),"")</f>
        <v>46232</v>
      </c>
      <c r="B215" s="12" t="str">
        <f t="array" ref="B215">IF(ROWS(B$4:B215)&lt;=$B$2,INDEX(data!A$3:A$106299,SMALL(IF(data!$D$3:$D$106299=$B$1,ROW($A$2:$A$98971)-ROW($A$2)+1),ROWS(B$4:B215))),"")</f>
        <v>КАСОВА КНИГА</v>
      </c>
      <c r="C215" s="12">
        <f t="array" ref="C215">IF(ROWS(C$4:C215)&lt;=$B$2,INDEX(data!B$3:B$106299,SMALL(IF(data!$D$3:$D$106299=$B$1,ROW($A$2:$A$98971)-ROW($A$2)+1),ROWS(C$4:C215))),"")</f>
        <v>-1000</v>
      </c>
      <c r="D215" s="12" t="str">
        <f t="array" ref="D215">IF(ROWS(D$4:D215)&lt;=$B$2,INDEX(data!E$3:E$106299,SMALL(IF(data!$D$3:$D$106299=$B$1,ROW($A$2:$A$98971)-ROW($A$2)+1),ROWS(D$4:D215))),"")</f>
        <v/>
      </c>
    </row>
    <row r="216">
      <c r="A216" s="34">
        <f t="array" ref="A216">IF(ROWS(A$4:A216)&lt;=$B$2,INDEX(data!C$3:C$106299,SMALL(IF(data!$D$3:$D$106299=$B$1,ROW($A$2:$A$98971)-ROW($A$2)+1),ROWS(A$4:A216))),"")</f>
        <v>46234</v>
      </c>
      <c r="B216" s="12" t="str">
        <f t="array" ref="B216">IF(ROWS(B$4:B216)&lt;=$B$2,INDEX(data!A$3:A$106299,SMALL(IF(data!$D$3:$D$106299=$B$1,ROW($A$2:$A$98971)-ROW($A$2)+1),ROWS(B$4:B216))),"")</f>
        <v>КАСОВА КНИГА</v>
      </c>
      <c r="C216" s="12">
        <f t="array" ref="C216">IF(ROWS(C$4:C216)&lt;=$B$2,INDEX(data!B$3:B$106299,SMALL(IF(data!$D$3:$D$106299=$B$1,ROW($A$2:$A$98971)-ROW($A$2)+1),ROWS(C$4:C216))),"")</f>
        <v>-390</v>
      </c>
      <c r="D216" s="12" t="str">
        <f t="array" ref="D216">IF(ROWS(D$4:D216)&lt;=$B$2,INDEX(data!E$3:E$106299,SMALL(IF(data!$D$3:$D$106299=$B$1,ROW($A$2:$A$98971)-ROW($A$2)+1),ROWS(D$4:D216))),"")</f>
        <v>Платени банани</v>
      </c>
    </row>
    <row r="217">
      <c r="A217" s="34">
        <f t="array" ref="A217">IF(ROWS(A$4:A217)&lt;=$B$2,INDEX(data!C$3:C$106299,SMALL(IF(data!$D$3:$D$106299=$B$1,ROW($A$2:$A$98971)-ROW($A$2)+1),ROWS(A$4:A217))),"")</f>
        <v>46234</v>
      </c>
      <c r="B217" s="12" t="str">
        <f t="array" ref="B217">IF(ROWS(B$4:B217)&lt;=$B$2,INDEX(data!A$3:A$106299,SMALL(IF(data!$D$3:$D$106299=$B$1,ROW($A$2:$A$98971)-ROW($A$2)+1),ROWS(B$4:B217))),"")</f>
        <v>Каса ВАУЧЕРИ</v>
      </c>
      <c r="C217" s="12">
        <f t="array" ref="C217">IF(ROWS(C$4:C217)&lt;=$B$2,INDEX(data!B$3:B$106299,SMALL(IF(data!$D$3:$D$106299=$B$1,ROW($A$2:$A$98971)-ROW($A$2)+1),ROWS(C$4:C217))),"")</f>
        <v>-92</v>
      </c>
      <c r="D217" s="12" t="str">
        <f t="array" ref="D217">IF(ROWS(D$4:D217)&lt;=$B$2,INDEX(data!E$3:E$106299,SMALL(IF(data!$D$3:$D$106299=$B$1,ROW($A$2:$A$98971)-ROW($A$2)+1),ROWS(D$4:D217))),"")</f>
        <v/>
      </c>
    </row>
    <row r="218">
      <c r="A218" s="34">
        <f t="array" ref="A218">IF(ROWS(A$4:A218)&lt;=$B$2,INDEX(data!C$3:C$106299,SMALL(IF(data!$D$3:$D$106299=$B$1,ROW($A$2:$A$98971)-ROW($A$2)+1),ROWS(A$4:A218))),"")</f>
        <v>46234</v>
      </c>
      <c r="B218" s="12" t="str">
        <f t="array" ref="B218">IF(ROWS(B$4:B218)&lt;=$B$2,INDEX(data!A$3:A$106299,SMALL(IF(data!$D$3:$D$106299=$B$1,ROW($A$2:$A$98971)-ROW($A$2)+1),ROWS(B$4:B218))),"")</f>
        <v>каса ФИКТИВНА</v>
      </c>
      <c r="C218" s="12">
        <f t="array" ref="C218">IF(ROWS(C$4:C218)&lt;=$B$2,INDEX(data!B$3:B$106299,SMALL(IF(data!$D$3:$D$106299=$B$1,ROW($A$2:$A$98971)-ROW($A$2)+1),ROWS(C$4:C218))),"")</f>
        <v>-24.2</v>
      </c>
      <c r="D218" s="12" t="str">
        <f t="array" ref="D218">IF(ROWS(D$4:D218)&lt;=$B$2,INDEX(data!E$3:E$106299,SMALL(IF(data!$D$3:$D$106299=$B$1,ROW($A$2:$A$98971)-ROW($A$2)+1),ROWS(D$4:D218))),"")</f>
        <v>Пазар Милена</v>
      </c>
    </row>
    <row r="219">
      <c r="A219" s="34">
        <f t="array" ref="A219">IF(ROWS(A$4:A219)&lt;=$B$2,INDEX(data!C$3:C$106299,SMALL(IF(data!$D$3:$D$106299=$B$1,ROW($A$2:$A$98971)-ROW($A$2)+1),ROWS(A$4:A219))),"")</f>
        <v>46237</v>
      </c>
      <c r="B219" s="12" t="str">
        <f t="array" ref="B219">IF(ROWS(B$4:B219)&lt;=$B$2,INDEX(data!A$3:A$106299,SMALL(IF(data!$D$3:$D$106299=$B$1,ROW($A$2:$A$98971)-ROW($A$2)+1),ROWS(B$4:B219))),"")</f>
        <v>MYPOS Бакалия</v>
      </c>
      <c r="C219" s="12">
        <f t="array" ref="C219">IF(ROWS(C$4:C219)&lt;=$B$2,INDEX(data!B$3:B$106299,SMALL(IF(data!$D$3:$D$106299=$B$1,ROW($A$2:$A$98971)-ROW($A$2)+1),ROWS(C$4:C219))),"")</f>
        <v>-14870.29</v>
      </c>
      <c r="D219" s="12" t="str">
        <f t="array" ref="D219">IF(ROWS(D$4:D219)&lt;=$B$2,INDEX(data!E$3:E$106299,SMALL(IF(data!$D$3:$D$106299=$B$1,ROW($A$2:$A$98971)-ROW($A$2)+1),ROWS(D$4:D219))),"")</f>
        <v/>
      </c>
    </row>
    <row r="220">
      <c r="A220" s="34">
        <f t="array" ref="A220">IF(ROWS(A$4:A220)&lt;=$B$2,INDEX(data!C$3:C$106299,SMALL(IF(data!$D$3:$D$106299=$B$1,ROW($A$2:$A$98971)-ROW($A$2)+1),ROWS(A$4:A220))),"")</f>
        <v>46237</v>
      </c>
      <c r="B220" s="12" t="str">
        <f t="array" ref="B220">IF(ROWS(B$4:B220)&lt;=$B$2,INDEX(data!A$3:A$106299,SMALL(IF(data!$D$3:$D$106299=$B$1,ROW($A$2:$A$98971)-ROW($A$2)+1),ROWS(B$4:B220))),"")</f>
        <v>КАСОВА КНИГА</v>
      </c>
      <c r="C220" s="12">
        <f t="array" ref="C220">IF(ROWS(C$4:C220)&lt;=$B$2,INDEX(data!B$3:B$106299,SMALL(IF(data!$D$3:$D$106299=$B$1,ROW($A$2:$A$98971)-ROW($A$2)+1),ROWS(C$4:C220))),"")</f>
        <v>-3000</v>
      </c>
      <c r="D220" s="12" t="str">
        <f t="array" ref="D220">IF(ROWS(D$4:D220)&lt;=$B$2,INDEX(data!E$3:E$106299,SMALL(IF(data!$D$3:$D$106299=$B$1,ROW($A$2:$A$98971)-ROW($A$2)+1),ROWS(D$4:D220))),"")</f>
        <v/>
      </c>
    </row>
    <row r="221">
      <c r="A221" s="34">
        <f t="array" ref="A221">IF(ROWS(A$4:A221)&lt;=$B$2,INDEX(data!C$3:C$106299,SMALL(IF(data!$D$3:$D$106299=$B$1,ROW($A$2:$A$98971)-ROW($A$2)+1),ROWS(A$4:A221))),"")</f>
        <v>46238</v>
      </c>
      <c r="B221" s="12" t="str">
        <f t="array" ref="B221">IF(ROWS(B$4:B221)&lt;=$B$2,INDEX(data!A$3:A$106299,SMALL(IF(data!$D$3:$D$106299=$B$1,ROW($A$2:$A$98971)-ROW($A$2)+1),ROWS(B$4:B221))),"")</f>
        <v>КАСОВА КНИГА</v>
      </c>
      <c r="C221" s="12">
        <f t="array" ref="C221">IF(ROWS(C$4:C221)&lt;=$B$2,INDEX(data!B$3:B$106299,SMALL(IF(data!$D$3:$D$106299=$B$1,ROW($A$2:$A$98971)-ROW($A$2)+1),ROWS(C$4:C221))),"")</f>
        <v>-416.48</v>
      </c>
      <c r="D221" s="12" t="str">
        <f t="array" ref="D221">IF(ROWS(D$4:D221)&lt;=$B$2,INDEX(data!E$3:E$106299,SMALL(IF(data!$D$3:$D$106299=$B$1,ROW($A$2:$A$98971)-ROW($A$2)+1),ROWS(D$4:D221))),"")</f>
        <v>платени банани</v>
      </c>
    </row>
    <row r="222">
      <c r="A222" s="34">
        <f t="array" ref="A222">IF(ROWS(A$4:A222)&lt;=$B$2,INDEX(data!C$3:C$106299,SMALL(IF(data!$D$3:$D$106299=$B$1,ROW($A$2:$A$98971)-ROW($A$2)+1),ROWS(A$4:A222))),"")</f>
        <v>46239</v>
      </c>
      <c r="B222" s="12" t="str">
        <f t="array" ref="B222">IF(ROWS(B$4:B222)&lt;=$B$2,INDEX(data!A$3:A$106299,SMALL(IF(data!$D$3:$D$106299=$B$1,ROW($A$2:$A$98971)-ROW($A$2)+1),ROWS(B$4:B222))),"")</f>
        <v>КАСОВА КНИГА</v>
      </c>
      <c r="C222" s="12">
        <f t="array" ref="C222">IF(ROWS(C$4:C222)&lt;=$B$2,INDEX(data!B$3:B$106299,SMALL(IF(data!$D$3:$D$106299=$B$1,ROW($A$2:$A$98971)-ROW($A$2)+1),ROWS(C$4:C222))),"")</f>
        <v>-1000</v>
      </c>
      <c r="D222" s="12" t="str">
        <f t="array" ref="D222">IF(ROWS(D$4:D222)&lt;=$B$2,INDEX(data!E$3:E$106299,SMALL(IF(data!$D$3:$D$106299=$B$1,ROW($A$2:$A$98971)-ROW($A$2)+1),ROWS(D$4:D222))),"")</f>
        <v/>
      </c>
    </row>
    <row r="223">
      <c r="A223" s="34">
        <f t="array" ref="A223">IF(ROWS(A$4:A223)&lt;=$B$2,INDEX(data!C$3:C$106299,SMALL(IF(data!$D$3:$D$106299=$B$1,ROW($A$2:$A$98971)-ROW($A$2)+1),ROWS(A$4:A223))),"")</f>
        <v>46241</v>
      </c>
      <c r="B223" s="12" t="str">
        <f t="array" ref="B223">IF(ROWS(B$4:B223)&lt;=$B$2,INDEX(data!A$3:A$106299,SMALL(IF(data!$D$3:$D$106299=$B$1,ROW($A$2:$A$98971)-ROW($A$2)+1),ROWS(B$4:B223))),"")</f>
        <v>КАСОВА КНИГА</v>
      </c>
      <c r="C223" s="12">
        <f t="array" ref="C223">IF(ROWS(C$4:C223)&lt;=$B$2,INDEX(data!B$3:B$106299,SMALL(IF(data!$D$3:$D$106299=$B$1,ROW($A$2:$A$98971)-ROW($A$2)+1),ROWS(C$4:C223))),"")</f>
        <v>-390.45</v>
      </c>
      <c r="D223" s="12" t="str">
        <f t="array" ref="D223">IF(ROWS(D$4:D223)&lt;=$B$2,INDEX(data!E$3:E$106299,SMALL(IF(data!$D$3:$D$106299=$B$1,ROW($A$2:$A$98971)-ROW($A$2)+1),ROWS(D$4:D223))),"")</f>
        <v>платени банани</v>
      </c>
    </row>
    <row r="224">
      <c r="A224" s="34">
        <f t="array" ref="A224">IF(ROWS(A$4:A224)&lt;=$B$2,INDEX(data!C$3:C$106299,SMALL(IF(data!$D$3:$D$106299=$B$1,ROW($A$2:$A$98971)-ROW($A$2)+1),ROWS(A$4:A224))),"")</f>
        <v>46241</v>
      </c>
      <c r="B224" s="12" t="str">
        <f t="array" ref="B224">IF(ROWS(B$4:B224)&lt;=$B$2,INDEX(data!A$3:A$106299,SMALL(IF(data!$D$3:$D$106299=$B$1,ROW($A$2:$A$98971)-ROW($A$2)+1),ROWS(B$4:B224))),"")</f>
        <v>каса ФИКТИВНА</v>
      </c>
      <c r="C224" s="12">
        <f t="array" ref="C224">IF(ROWS(C$4:C224)&lt;=$B$2,INDEX(data!B$3:B$106299,SMALL(IF(data!$D$3:$D$106299=$B$1,ROW($A$2:$A$98971)-ROW($A$2)+1),ROWS(C$4:C224))),"")</f>
        <v>-13.8</v>
      </c>
      <c r="D224" s="12" t="str">
        <f t="array" ref="D224">IF(ROWS(D$4:D224)&lt;=$B$2,INDEX(data!E$3:E$106299,SMALL(IF(data!$D$3:$D$106299=$B$1,ROW($A$2:$A$98971)-ROW($A$2)+1),ROWS(D$4:D224))),"")</f>
        <v>паза шефката</v>
      </c>
    </row>
    <row r="225">
      <c r="A225" s="34">
        <f t="array" ref="A225">IF(ROWS(A$4:A225)&lt;=$B$2,INDEX(data!C$3:C$106299,SMALL(IF(data!$D$3:$D$106299=$B$1,ROW($A$2:$A$98971)-ROW($A$2)+1),ROWS(A$4:A225))),"")</f>
        <v>46241</v>
      </c>
      <c r="B225" s="12" t="str">
        <f t="array" ref="B225">IF(ROWS(B$4:B225)&lt;=$B$2,INDEX(data!A$3:A$106299,SMALL(IF(data!$D$3:$D$106299=$B$1,ROW($A$2:$A$98971)-ROW($A$2)+1),ROWS(B$4:B225))),"")</f>
        <v>каса ФИКТИВНА</v>
      </c>
      <c r="C225" s="12">
        <f t="array" ref="C225">IF(ROWS(C$4:C225)&lt;=$B$2,INDEX(data!B$3:B$106299,SMALL(IF(data!$D$3:$D$106299=$B$1,ROW($A$2:$A$98971)-ROW($A$2)+1),ROWS(C$4:C225))),"")</f>
        <v>-30.5</v>
      </c>
      <c r="D225" s="12" t="str">
        <f t="array" ref="D225">IF(ROWS(D$4:D225)&lt;=$B$2,INDEX(data!E$3:E$106299,SMALL(IF(data!$D$3:$D$106299=$B$1,ROW($A$2:$A$98971)-ROW($A$2)+1),ROWS(D$4:D225))),"")</f>
        <v>пазар Ния</v>
      </c>
    </row>
    <row r="226">
      <c r="A226" s="34">
        <f t="array" ref="A226">IF(ROWS(A$4:A226)&lt;=$B$2,INDEX(data!C$3:C$106299,SMALL(IF(data!$D$3:$D$106299=$B$1,ROW($A$2:$A$98971)-ROW($A$2)+1),ROWS(A$4:A226))),"")</f>
        <v>46244</v>
      </c>
      <c r="B226" s="12" t="str">
        <f t="array" ref="B226">IF(ROWS(B$4:B226)&lt;=$B$2,INDEX(data!A$3:A$106299,SMALL(IF(data!$D$3:$D$106299=$B$1,ROW($A$2:$A$98971)-ROW($A$2)+1),ROWS(B$4:B226))),"")</f>
        <v>MYPOS Бакалия</v>
      </c>
      <c r="C226" s="12">
        <f t="array" ref="C226">IF(ROWS(C$4:C226)&lt;=$B$2,INDEX(data!B$3:B$106299,SMALL(IF(data!$D$3:$D$106299=$B$1,ROW($A$2:$A$98971)-ROW($A$2)+1),ROWS(C$4:C226))),"")</f>
        <v>-14518.34</v>
      </c>
      <c r="D226" s="12" t="str">
        <f t="array" ref="D226">IF(ROWS(D$4:D226)&lt;=$B$2,INDEX(data!E$3:E$106299,SMALL(IF(data!$D$3:$D$106299=$B$1,ROW($A$2:$A$98971)-ROW($A$2)+1),ROWS(D$4:D226))),"")</f>
        <v/>
      </c>
    </row>
    <row r="227">
      <c r="A227" s="34">
        <f t="array" ref="A227">IF(ROWS(A$4:A227)&lt;=$B$2,INDEX(data!C$3:C$106299,SMALL(IF(data!$D$3:$D$106299=$B$1,ROW($A$2:$A$98971)-ROW($A$2)+1),ROWS(A$4:A227))),"")</f>
        <v>46244</v>
      </c>
      <c r="B227" s="12" t="str">
        <f t="array" ref="B227">IF(ROWS(B$4:B227)&lt;=$B$2,INDEX(data!A$3:A$106299,SMALL(IF(data!$D$3:$D$106299=$B$1,ROW($A$2:$A$98971)-ROW($A$2)+1),ROWS(B$4:B227))),"")</f>
        <v>КАСОВА КНИГА</v>
      </c>
      <c r="C227" s="12">
        <f t="array" ref="C227">IF(ROWS(C$4:C227)&lt;=$B$2,INDEX(data!B$3:B$106299,SMALL(IF(data!$D$3:$D$106299=$B$1,ROW($A$2:$A$98971)-ROW($A$2)+1),ROWS(C$4:C227))),"")</f>
        <v>-2500</v>
      </c>
      <c r="D227" s="12" t="str">
        <f t="array" ref="D227">IF(ROWS(D$4:D227)&lt;=$B$2,INDEX(data!E$3:E$106299,SMALL(IF(data!$D$3:$D$106299=$B$1,ROW($A$2:$A$98971)-ROW($A$2)+1),ROWS(D$4:D227))),"")</f>
        <v/>
      </c>
    </row>
    <row r="228">
      <c r="A228" s="34">
        <f t="array" ref="A228">IF(ROWS(A$4:A228)&lt;=$B$2,INDEX(data!C$3:C$106299,SMALL(IF(data!$D$3:$D$106299=$B$1,ROW($A$2:$A$98971)-ROW($A$2)+1),ROWS(A$4:A228))),"")</f>
        <v>46245</v>
      </c>
      <c r="B228" s="12" t="str">
        <f t="array" ref="B228">IF(ROWS(B$4:B228)&lt;=$B$2,INDEX(data!A$3:A$106299,SMALL(IF(data!$D$3:$D$106299=$B$1,ROW($A$2:$A$98971)-ROW($A$2)+1),ROWS(B$4:B228))),"")</f>
        <v>КАСОВА КНИГА</v>
      </c>
      <c r="C228" s="12">
        <f t="array" ref="C228">IF(ROWS(C$4:C228)&lt;=$B$2,INDEX(data!B$3:B$106299,SMALL(IF(data!$D$3:$D$106299=$B$1,ROW($A$2:$A$98971)-ROW($A$2)+1),ROWS(C$4:C228))),"")</f>
        <v>-468.54</v>
      </c>
      <c r="D228" s="12" t="str">
        <f t="array" ref="D228">IF(ROWS(D$4:D228)&lt;=$B$2,INDEX(data!E$3:E$106299,SMALL(IF(data!$D$3:$D$106299=$B$1,ROW($A$2:$A$98971)-ROW($A$2)+1),ROWS(D$4:D228))),"")</f>
        <v>платени банани</v>
      </c>
    </row>
    <row r="229">
      <c r="A229" s="34">
        <f t="array" ref="A229">IF(ROWS(A$4:A229)&lt;=$B$2,INDEX(data!C$3:C$106299,SMALL(IF(data!$D$3:$D$106299=$B$1,ROW($A$2:$A$98971)-ROW($A$2)+1),ROWS(A$4:A229))),"")</f>
        <v>46246</v>
      </c>
      <c r="B229" s="12" t="str">
        <f t="array" ref="B229">IF(ROWS(B$4:B229)&lt;=$B$2,INDEX(data!A$3:A$106299,SMALL(IF(data!$D$3:$D$106299=$B$1,ROW($A$2:$A$98971)-ROW($A$2)+1),ROWS(B$4:B229))),"")</f>
        <v>КАСОВА КНИГА</v>
      </c>
      <c r="C229" s="12">
        <f t="array" ref="C229">IF(ROWS(C$4:C229)&lt;=$B$2,INDEX(data!B$3:B$106299,SMALL(IF(data!$D$3:$D$106299=$B$1,ROW($A$2:$A$98971)-ROW($A$2)+1),ROWS(C$4:C229))),"")</f>
        <v>-500</v>
      </c>
      <c r="D229" s="12" t="str">
        <f t="array" ref="D229">IF(ROWS(D$4:D229)&lt;=$B$2,INDEX(data!E$3:E$106299,SMALL(IF(data!$D$3:$D$106299=$B$1,ROW($A$2:$A$98971)-ROW($A$2)+1),ROWS(D$4:D229))),"")</f>
        <v/>
      </c>
    </row>
    <row r="230">
      <c r="A230" s="34">
        <f t="array" ref="A230">IF(ROWS(A$4:A230)&lt;=$B$2,INDEX(data!C$3:C$106299,SMALL(IF(data!$D$3:$D$106299=$B$1,ROW($A$2:$A$98971)-ROW($A$2)+1),ROWS(A$4:A230))),"")</f>
        <v>46248</v>
      </c>
      <c r="B230" s="12" t="str">
        <f t="array" ref="B230">IF(ROWS(B$4:B230)&lt;=$B$2,INDEX(data!A$3:A$106299,SMALL(IF(data!$D$3:$D$106299=$B$1,ROW($A$2:$A$98971)-ROW($A$2)+1),ROWS(B$4:B230))),"")</f>
        <v>КАСОВА КНИГА</v>
      </c>
      <c r="C230" s="12">
        <f t="array" ref="C230">IF(ROWS(C$4:C230)&lt;=$B$2,INDEX(data!B$3:B$106299,SMALL(IF(data!$D$3:$D$106299=$B$1,ROW($A$2:$A$98971)-ROW($A$2)+1),ROWS(C$4:C230))),"")</f>
        <v>-468.54</v>
      </c>
      <c r="D230" s="12" t="str">
        <f t="array" ref="D230">IF(ROWS(D$4:D230)&lt;=$B$2,INDEX(data!E$3:E$106299,SMALL(IF(data!$D$3:$D$106299=$B$1,ROW($A$2:$A$98971)-ROW($A$2)+1),ROWS(D$4:D230))),"")</f>
        <v>платени банани</v>
      </c>
    </row>
    <row r="231">
      <c r="A231" s="34">
        <f t="array" ref="A231">IF(ROWS(A$4:A231)&lt;=$B$2,INDEX(data!C$3:C$106299,SMALL(IF(data!$D$3:$D$106299=$B$1,ROW($A$2:$A$98971)-ROW($A$2)+1),ROWS(A$4:A231))),"")</f>
        <v>46248</v>
      </c>
      <c r="B231" s="12" t="str">
        <f t="array" ref="B231">IF(ROWS(B$4:B231)&lt;=$B$2,INDEX(data!A$3:A$106299,SMALL(IF(data!$D$3:$D$106299=$B$1,ROW($A$2:$A$98971)-ROW($A$2)+1),ROWS(B$4:B231))),"")</f>
        <v>Каса ВАУЧЕРИ</v>
      </c>
      <c r="C231" s="12">
        <f t="array" ref="C231">IF(ROWS(C$4:C231)&lt;=$B$2,INDEX(data!B$3:B$106299,SMALL(IF(data!$D$3:$D$106299=$B$1,ROW($A$2:$A$98971)-ROW($A$2)+1),ROWS(C$4:C231))),"")</f>
        <v>-81.36</v>
      </c>
      <c r="D231" s="12" t="str">
        <f t="array" ref="D231">IF(ROWS(D$4:D231)&lt;=$B$2,INDEX(data!E$3:E$106299,SMALL(IF(data!$D$3:$D$106299=$B$1,ROW($A$2:$A$98971)-ROW($A$2)+1),ROWS(D$4:D231))),"")</f>
        <v>към 29.07</v>
      </c>
    </row>
    <row r="232">
      <c r="A232" s="34">
        <f t="array" ref="A232">IF(ROWS(A$4:A232)&lt;=$B$2,INDEX(data!C$3:C$106299,SMALL(IF(data!$D$3:$D$106299=$B$1,ROW($A$2:$A$98971)-ROW($A$2)+1),ROWS(A$4:A232))),"")</f>
        <v>46251</v>
      </c>
      <c r="B232" s="12" t="str">
        <f t="array" ref="B232">IF(ROWS(B$4:B232)&lt;=$B$2,INDEX(data!A$3:A$106299,SMALL(IF(data!$D$3:$D$106299=$B$1,ROW($A$2:$A$98971)-ROW($A$2)+1),ROWS(B$4:B232))),"")</f>
        <v>MYPOS Бакалия</v>
      </c>
      <c r="C232" s="12">
        <f t="array" ref="C232">IF(ROWS(C$4:C232)&lt;=$B$2,INDEX(data!B$3:B$106299,SMALL(IF(data!$D$3:$D$106299=$B$1,ROW($A$2:$A$98971)-ROW($A$2)+1),ROWS(C$4:C232))),"")</f>
        <v>-14687.85</v>
      </c>
      <c r="D232" s="12" t="str">
        <f t="array" ref="D232">IF(ROWS(D$4:D232)&lt;=$B$2,INDEX(data!E$3:E$106299,SMALL(IF(data!$D$3:$D$106299=$B$1,ROW($A$2:$A$98971)-ROW($A$2)+1),ROWS(D$4:D232))),"")</f>
        <v/>
      </c>
    </row>
    <row r="233">
      <c r="A233" s="34">
        <f t="array" ref="A233">IF(ROWS(A$4:A233)&lt;=$B$2,INDEX(data!C$3:C$106299,SMALL(IF(data!$D$3:$D$106299=$B$1,ROW($A$2:$A$98971)-ROW($A$2)+1),ROWS(A$4:A233))),"")</f>
        <v>46251</v>
      </c>
      <c r="B233" s="12" t="str">
        <f t="array" ref="B233">IF(ROWS(B$4:B233)&lt;=$B$2,INDEX(data!A$3:A$106299,SMALL(IF(data!$D$3:$D$106299=$B$1,ROW($A$2:$A$98971)-ROW($A$2)+1),ROWS(B$4:B233))),"")</f>
        <v>КАСОВА КНИГА</v>
      </c>
      <c r="C233" s="12">
        <f t="array" ref="C233">IF(ROWS(C$4:C233)&lt;=$B$2,INDEX(data!B$3:B$106299,SMALL(IF(data!$D$3:$D$106299=$B$1,ROW($A$2:$A$98971)-ROW($A$2)+1),ROWS(C$4:C233))),"")</f>
        <v>-2000</v>
      </c>
      <c r="D233" s="12" t="str">
        <f t="array" ref="D233">IF(ROWS(D$4:D233)&lt;=$B$2,INDEX(data!E$3:E$106299,SMALL(IF(data!$D$3:$D$106299=$B$1,ROW($A$2:$A$98971)-ROW($A$2)+1),ROWS(D$4:D233))),"")</f>
        <v/>
      </c>
    </row>
    <row r="234">
      <c r="A234" s="34">
        <f t="array" ref="A234">IF(ROWS(A$4:A234)&lt;=$B$2,INDEX(data!C$3:C$106299,SMALL(IF(data!$D$3:$D$106299=$B$1,ROW($A$2:$A$98971)-ROW($A$2)+1),ROWS(A$4:A234))),"")</f>
        <v>46251</v>
      </c>
      <c r="B234" s="12" t="str">
        <f t="array" ref="B234">IF(ROWS(B$4:B234)&lt;=$B$2,INDEX(data!A$3:A$106299,SMALL(IF(data!$D$3:$D$106299=$B$1,ROW($A$2:$A$98971)-ROW($A$2)+1),ROWS(B$4:B234))),"")</f>
        <v>КАСОВА КНИГА</v>
      </c>
      <c r="C234" s="12">
        <f t="array" ref="C234">IF(ROWS(C$4:C234)&lt;=$B$2,INDEX(data!B$3:B$106299,SMALL(IF(data!$D$3:$D$106299=$B$1,ROW($A$2:$A$98971)-ROW($A$2)+1),ROWS(C$4:C234))),"")</f>
        <v>-1000</v>
      </c>
      <c r="D234" s="12" t="str">
        <f t="array" ref="D234">IF(ROWS(D$4:D234)&lt;=$B$2,INDEX(data!E$3:E$106299,SMALL(IF(data!$D$3:$D$106299=$B$1,ROW($A$2:$A$98971)-ROW($A$2)+1),ROWS(D$4:D234))),"")</f>
        <v>1000 от 14.08</v>
      </c>
    </row>
    <row r="235">
      <c r="A235" s="34">
        <f t="array" ref="A235">IF(ROWS(A$4:A235)&lt;=$B$2,INDEX(data!C$3:C$106299,SMALL(IF(data!$D$3:$D$106299=$B$1,ROW($A$2:$A$98971)-ROW($A$2)+1),ROWS(A$4:A235))),"")</f>
        <v>46254</v>
      </c>
      <c r="B235" s="12" t="str">
        <f t="array" ref="B235">IF(ROWS(B$4:B235)&lt;=$B$2,INDEX(data!A$3:A$106299,SMALL(IF(data!$D$3:$D$106299=$B$1,ROW($A$2:$A$98971)-ROW($A$2)+1),ROWS(B$4:B235))),"")</f>
        <v>Каса ВАУЧЕРИ</v>
      </c>
      <c r="C235" s="12">
        <f t="array" ref="C235">IF(ROWS(C$4:C235)&lt;=$B$2,INDEX(data!B$3:B$106299,SMALL(IF(data!$D$3:$D$106299=$B$1,ROW($A$2:$A$98971)-ROW($A$2)+1),ROWS(C$4:C235))),"")</f>
        <v>-1</v>
      </c>
      <c r="D235" s="12" t="str">
        <f t="array" ref="D235">IF(ROWS(D$4:D235)&lt;=$B$2,INDEX(data!E$3:E$106299,SMALL(IF(data!$D$3:$D$106299=$B$1,ROW($A$2:$A$98971)-ROW($A$2)+1),ROWS(D$4:D235))),"")</f>
        <v/>
      </c>
    </row>
    <row r="236">
      <c r="A236" s="34">
        <f t="array" ref="A236">IF(ROWS(A$4:A236)&lt;=$B$2,INDEX(data!C$3:C$106299,SMALL(IF(data!$D$3:$D$106299=$B$1,ROW($A$2:$A$98971)-ROW($A$2)+1),ROWS(A$4:A236))),"")</f>
        <v>46255</v>
      </c>
      <c r="B236" s="12" t="str">
        <f t="array" ref="B236">IF(ROWS(B$4:B236)&lt;=$B$2,INDEX(data!A$3:A$106299,SMALL(IF(data!$D$3:$D$106299=$B$1,ROW($A$2:$A$98971)-ROW($A$2)+1),ROWS(B$4:B236))),"")</f>
        <v>КАСОВА КНИГА</v>
      </c>
      <c r="C236" s="12">
        <f t="array" ref="C236">IF(ROWS(C$4:C236)&lt;=$B$2,INDEX(data!B$3:B$106299,SMALL(IF(data!$D$3:$D$106299=$B$1,ROW($A$2:$A$98971)-ROW($A$2)+1),ROWS(C$4:C236))),"")</f>
        <v>-500</v>
      </c>
      <c r="D236" s="12" t="str">
        <f t="array" ref="D236">IF(ROWS(D$4:D236)&lt;=$B$2,INDEX(data!E$3:E$106299,SMALL(IF(data!$D$3:$D$106299=$B$1,ROW($A$2:$A$98971)-ROW($A$2)+1),ROWS(D$4:D236))),"")</f>
        <v/>
      </c>
    </row>
    <row r="237">
      <c r="A237" s="34">
        <f t="array" ref="A237">IF(ROWS(A$4:A237)&lt;=$B$2,INDEX(data!C$3:C$106299,SMALL(IF(data!$D$3:$D$106299=$B$1,ROW($A$2:$A$98971)-ROW($A$2)+1),ROWS(A$4:A237))),"")</f>
        <v>46255</v>
      </c>
      <c r="B237" s="12" t="str">
        <f t="array" ref="B237">IF(ROWS(B$4:B237)&lt;=$B$2,INDEX(data!A$3:A$106299,SMALL(IF(data!$D$3:$D$106299=$B$1,ROW($A$2:$A$98971)-ROW($A$2)+1),ROWS(B$4:B237))),"")</f>
        <v>Каса ВАУЧЕРИ</v>
      </c>
      <c r="C237" s="12">
        <f t="array" ref="C237">IF(ROWS(C$4:C237)&lt;=$B$2,INDEX(data!B$3:B$106299,SMALL(IF(data!$D$3:$D$106299=$B$1,ROW($A$2:$A$98971)-ROW($A$2)+1),ROWS(C$4:C237))),"")</f>
        <v>1100</v>
      </c>
      <c r="D237" s="12" t="str">
        <f t="array" ref="D237">IF(ROWS(D$4:D237)&lt;=$B$2,INDEX(data!E$3:E$106299,SMALL(IF(data!$D$3:$D$106299=$B$1,ROW($A$2:$A$98971)-ROW($A$2)+1),ROWS(D$4:D237))),"")</f>
        <v>ваучери персонал</v>
      </c>
    </row>
    <row r="238">
      <c r="A238" s="34">
        <f t="array" ref="A238">IF(ROWS(A$4:A238)&lt;=$B$2,INDEX(data!C$3:C$106299,SMALL(IF(data!$D$3:$D$106299=$B$1,ROW($A$2:$A$98971)-ROW($A$2)+1),ROWS(A$4:A238))),"")</f>
        <v>46258</v>
      </c>
      <c r="B238" s="12" t="str">
        <f t="array" ref="B238">IF(ROWS(B$4:B238)&lt;=$B$2,INDEX(data!A$3:A$106299,SMALL(IF(data!$D$3:$D$106299=$B$1,ROW($A$2:$A$98971)-ROW($A$2)+1),ROWS(B$4:B238))),"")</f>
        <v>MYPOS Бакалия</v>
      </c>
      <c r="C238" s="12">
        <f t="array" ref="C238">IF(ROWS(C$4:C238)&lt;=$B$2,INDEX(data!B$3:B$106299,SMALL(IF(data!$D$3:$D$106299=$B$1,ROW($A$2:$A$98971)-ROW($A$2)+1),ROWS(C$4:C238))),"")</f>
        <v>-11173.22</v>
      </c>
      <c r="D238" s="12" t="str">
        <f t="array" ref="D238">IF(ROWS(D$4:D238)&lt;=$B$2,INDEX(data!E$3:E$106299,SMALL(IF(data!$D$3:$D$106299=$B$1,ROW($A$2:$A$98971)-ROW($A$2)+1),ROWS(D$4:D238))),"")</f>
        <v/>
      </c>
    </row>
    <row r="239">
      <c r="A239" s="34">
        <f t="array" ref="A239">IF(ROWS(A$4:A239)&lt;=$B$2,INDEX(data!C$3:C$106299,SMALL(IF(data!$D$3:$D$106299=$B$1,ROW($A$2:$A$98971)-ROW($A$2)+1),ROWS(A$4:A239))),"")</f>
        <v>46258</v>
      </c>
      <c r="B239" s="12" t="str">
        <f t="array" ref="B239">IF(ROWS(B$4:B239)&lt;=$B$2,INDEX(data!A$3:A$106299,SMALL(IF(data!$D$3:$D$106299=$B$1,ROW($A$2:$A$98971)-ROW($A$2)+1),ROWS(B$4:B239))),"")</f>
        <v>КАСОВА КНИГА</v>
      </c>
      <c r="C239" s="12">
        <f t="array" ref="C239">IF(ROWS(C$4:C239)&lt;=$B$2,INDEX(data!B$3:B$106299,SMALL(IF(data!$D$3:$D$106299=$B$1,ROW($A$2:$A$98971)-ROW($A$2)+1),ROWS(C$4:C239))),"")</f>
        <v>-3000</v>
      </c>
      <c r="D239" s="12" t="str">
        <f t="array" ref="D239">IF(ROWS(D$4:D239)&lt;=$B$2,INDEX(data!E$3:E$106299,SMALL(IF(data!$D$3:$D$106299=$B$1,ROW($A$2:$A$98971)-ROW($A$2)+1),ROWS(D$4:D239))),"")</f>
        <v/>
      </c>
    </row>
    <row r="240">
      <c r="A240" s="34" t="str">
        <f t="array" ref="A240">IF(ROWS(A$4:A240)&lt;=$B$2,INDEX(data!C$3:C$106299,SMALL(IF(data!$D$3:$D$106299=$B$1,ROW($A$2:$A$98971)-ROW($A$2)+1),ROWS(A$4:A240))),"")</f>
        <v/>
      </c>
      <c r="B240" s="12" t="str">
        <f t="array" ref="B240">IF(ROWS(B$4:B240)&lt;=$B$2,INDEX(data!A$3:A$106299,SMALL(IF(data!$D$3:$D$106299=$B$1,ROW($A$2:$A$98971)-ROW($A$2)+1),ROWS(B$4:B240))),"")</f>
        <v/>
      </c>
      <c r="C240" s="12" t="str">
        <f t="array" ref="C240">IF(ROWS(C$4:C240)&lt;=$B$2,INDEX(data!B$3:B$106299,SMALL(IF(data!$D$3:$D$106299=$B$1,ROW($A$2:$A$98971)-ROW($A$2)+1),ROWS(C$4:C240))),"")</f>
        <v/>
      </c>
      <c r="D240" s="12" t="str">
        <f t="array" ref="D240">IF(ROWS(D$4:D240)&lt;=$B$2,INDEX(data!E$3:E$106299,SMALL(IF(data!$D$3:$D$106299=$B$1,ROW($A$2:$A$98971)-ROW($A$2)+1),ROWS(D$4:D240))),"")</f>
        <v/>
      </c>
    </row>
    <row r="241">
      <c r="A241" s="34" t="str">
        <f t="array" ref="A241">IF(ROWS(A$4:A241)&lt;=$B$2,INDEX(data!C$3:C$106299,SMALL(IF(data!$D$3:$D$106299=$B$1,ROW($A$2:$A$98971)-ROW($A$2)+1),ROWS(A$4:A241))),"")</f>
        <v/>
      </c>
      <c r="B241" s="12" t="str">
        <f t="array" ref="B241">IF(ROWS(B$4:B241)&lt;=$B$2,INDEX(data!A$3:A$106299,SMALL(IF(data!$D$3:$D$106299=$B$1,ROW($A$2:$A$98971)-ROW($A$2)+1),ROWS(B$4:B241))),"")</f>
        <v/>
      </c>
      <c r="C241" s="12" t="str">
        <f t="array" ref="C241">IF(ROWS(C$4:C241)&lt;=$B$2,INDEX(data!B$3:B$106299,SMALL(IF(data!$D$3:$D$106299=$B$1,ROW($A$2:$A$98971)-ROW($A$2)+1),ROWS(C$4:C241))),"")</f>
        <v/>
      </c>
      <c r="D241" s="12" t="str">
        <f t="array" ref="D241">IF(ROWS(D$4:D241)&lt;=$B$2,INDEX(data!E$3:E$106299,SMALL(IF(data!$D$3:$D$106299=$B$1,ROW($A$2:$A$98971)-ROW($A$2)+1),ROWS(D$4:D241))),"")</f>
        <v/>
      </c>
    </row>
    <row r="242">
      <c r="A242" s="34" t="str">
        <f t="array" ref="A242">IF(ROWS(A$4:A242)&lt;=$B$2,INDEX(data!C$3:C$106299,SMALL(IF(data!$D$3:$D$106299=$B$1,ROW($A$2:$A$98971)-ROW($A$2)+1),ROWS(A$4:A242))),"")</f>
        <v/>
      </c>
      <c r="B242" s="12" t="str">
        <f t="array" ref="B242">IF(ROWS(B$4:B242)&lt;=$B$2,INDEX(data!A$3:A$106299,SMALL(IF(data!$D$3:$D$106299=$B$1,ROW($A$2:$A$98971)-ROW($A$2)+1),ROWS(B$4:B242))),"")</f>
        <v/>
      </c>
      <c r="C242" s="12" t="str">
        <f t="array" ref="C242">IF(ROWS(C$4:C242)&lt;=$B$2,INDEX(data!B$3:B$106299,SMALL(IF(data!$D$3:$D$106299=$B$1,ROW($A$2:$A$98971)-ROW($A$2)+1),ROWS(C$4:C242))),"")</f>
        <v/>
      </c>
      <c r="D242" s="12" t="str">
        <f t="array" ref="D242">IF(ROWS(D$4:D242)&lt;=$B$2,INDEX(data!E$3:E$106299,SMALL(IF(data!$D$3:$D$106299=$B$1,ROW($A$2:$A$98971)-ROW($A$2)+1),ROWS(D$4:D242))),"")</f>
        <v/>
      </c>
    </row>
    <row r="243">
      <c r="A243" s="34" t="str">
        <f t="array" ref="A243">IF(ROWS(A$4:A243)&lt;=$B$2,INDEX(data!C$3:C$106299,SMALL(IF(data!$D$3:$D$106299=$B$1,ROW($A$2:$A$98971)-ROW($A$2)+1),ROWS(A$4:A243))),"")</f>
        <v/>
      </c>
      <c r="B243" s="12" t="str">
        <f t="array" ref="B243">IF(ROWS(B$4:B243)&lt;=$B$2,INDEX(data!A$3:A$106299,SMALL(IF(data!$D$3:$D$106299=$B$1,ROW($A$2:$A$98971)-ROW($A$2)+1),ROWS(B$4:B243))),"")</f>
        <v/>
      </c>
      <c r="C243" s="12" t="str">
        <f t="array" ref="C243">IF(ROWS(C$4:C243)&lt;=$B$2,INDEX(data!B$3:B$106299,SMALL(IF(data!$D$3:$D$106299=$B$1,ROW($A$2:$A$98971)-ROW($A$2)+1),ROWS(C$4:C243))),"")</f>
        <v/>
      </c>
      <c r="D243" s="12" t="str">
        <f t="array" ref="D243">IF(ROWS(D$4:D243)&lt;=$B$2,INDEX(data!E$3:E$106299,SMALL(IF(data!$D$3:$D$106299=$B$1,ROW($A$2:$A$98971)-ROW($A$2)+1),ROWS(D$4:D243))),"")</f>
        <v/>
      </c>
    </row>
    <row r="244">
      <c r="A244" s="34" t="str">
        <f t="array" ref="A244">IF(ROWS(A$4:A244)&lt;=$B$2,INDEX(data!C$3:C$106299,SMALL(IF(data!$D$3:$D$106299=$B$1,ROW($A$2:$A$98971)-ROW($A$2)+1),ROWS(A$4:A244))),"")</f>
        <v/>
      </c>
      <c r="B244" s="12" t="str">
        <f t="array" ref="B244">IF(ROWS(B$4:B244)&lt;=$B$2,INDEX(data!A$3:A$106299,SMALL(IF(data!$D$3:$D$106299=$B$1,ROW($A$2:$A$98971)-ROW($A$2)+1),ROWS(B$4:B244))),"")</f>
        <v/>
      </c>
      <c r="C244" s="12" t="str">
        <f t="array" ref="C244">IF(ROWS(C$4:C244)&lt;=$B$2,INDEX(data!B$3:B$106299,SMALL(IF(data!$D$3:$D$106299=$B$1,ROW($A$2:$A$98971)-ROW($A$2)+1),ROWS(C$4:C244))),"")</f>
        <v/>
      </c>
      <c r="D244" s="12" t="str">
        <f t="array" ref="D244">IF(ROWS(D$4:D244)&lt;=$B$2,INDEX(data!E$3:E$106299,SMALL(IF(data!$D$3:$D$106299=$B$1,ROW($A$2:$A$98971)-ROW($A$2)+1),ROWS(D$4:D244))),"")</f>
        <v/>
      </c>
    </row>
    <row r="245">
      <c r="A245" s="34" t="str">
        <f t="array" ref="A245">IF(ROWS(A$4:A245)&lt;=$B$2,INDEX(data!C$3:C$106299,SMALL(IF(data!$D$3:$D$106299=$B$1,ROW($A$2:$A$98971)-ROW($A$2)+1),ROWS(A$4:A245))),"")</f>
        <v/>
      </c>
      <c r="B245" s="12" t="str">
        <f t="array" ref="B245">IF(ROWS(B$4:B245)&lt;=$B$2,INDEX(data!A$3:A$106299,SMALL(IF(data!$D$3:$D$106299=$B$1,ROW($A$2:$A$98971)-ROW($A$2)+1),ROWS(B$4:B245))),"")</f>
        <v/>
      </c>
      <c r="C245" s="12" t="str">
        <f t="array" ref="C245">IF(ROWS(C$4:C245)&lt;=$B$2,INDEX(data!B$3:B$106299,SMALL(IF(data!$D$3:$D$106299=$B$1,ROW($A$2:$A$98971)-ROW($A$2)+1),ROWS(C$4:C245))),"")</f>
        <v/>
      </c>
      <c r="D245" s="12" t="str">
        <f t="array" ref="D245">IF(ROWS(D$4:D245)&lt;=$B$2,INDEX(data!E$3:E$106299,SMALL(IF(data!$D$3:$D$106299=$B$1,ROW($A$2:$A$98971)-ROW($A$2)+1),ROWS(D$4:D245))),"")</f>
        <v/>
      </c>
    </row>
    <row r="246">
      <c r="A246" s="34" t="str">
        <f t="array" ref="A246">IF(ROWS(A$4:A246)&lt;=$B$2,INDEX(data!C$3:C$106299,SMALL(IF(data!$D$3:$D$106299=$B$1,ROW($A$2:$A$98971)-ROW($A$2)+1),ROWS(A$4:A246))),"")</f>
        <v/>
      </c>
      <c r="B246" s="12" t="str">
        <f t="array" ref="B246">IF(ROWS(B$4:B246)&lt;=$B$2,INDEX(data!A$3:A$106299,SMALL(IF(data!$D$3:$D$106299=$B$1,ROW($A$2:$A$98971)-ROW($A$2)+1),ROWS(B$4:B246))),"")</f>
        <v/>
      </c>
      <c r="C246" s="12" t="str">
        <f t="array" ref="C246">IF(ROWS(C$4:C246)&lt;=$B$2,INDEX(data!B$3:B$106299,SMALL(IF(data!$D$3:$D$106299=$B$1,ROW($A$2:$A$98971)-ROW($A$2)+1),ROWS(C$4:C246))),"")</f>
        <v/>
      </c>
      <c r="D246" s="12" t="str">
        <f t="array" ref="D246">IF(ROWS(D$4:D246)&lt;=$B$2,INDEX(data!E$3:E$106299,SMALL(IF(data!$D$3:$D$106299=$B$1,ROW($A$2:$A$98971)-ROW($A$2)+1),ROWS(D$4:D246))),"")</f>
        <v/>
      </c>
    </row>
    <row r="247">
      <c r="A247" s="34" t="str">
        <f t="array" ref="A247">IF(ROWS(A$4:A247)&lt;=$B$2,INDEX(data!C$3:C$106299,SMALL(IF(data!$D$3:$D$106299=$B$1,ROW($A$2:$A$98971)-ROW($A$2)+1),ROWS(A$4:A247))),"")</f>
        <v/>
      </c>
      <c r="B247" s="12" t="str">
        <f t="array" ref="B247">IF(ROWS(B$4:B247)&lt;=$B$2,INDEX(data!A$3:A$106299,SMALL(IF(data!$D$3:$D$106299=$B$1,ROW($A$2:$A$98971)-ROW($A$2)+1),ROWS(B$4:B247))),"")</f>
        <v/>
      </c>
      <c r="C247" s="12" t="str">
        <f t="array" ref="C247">IF(ROWS(C$4:C247)&lt;=$B$2,INDEX(data!B$3:B$106299,SMALL(IF(data!$D$3:$D$106299=$B$1,ROW($A$2:$A$98971)-ROW($A$2)+1),ROWS(C$4:C247))),"")</f>
        <v/>
      </c>
      <c r="D247" s="12" t="str">
        <f t="array" ref="D247">IF(ROWS(D$4:D247)&lt;=$B$2,INDEX(data!E$3:E$106299,SMALL(IF(data!$D$3:$D$106299=$B$1,ROW($A$2:$A$98971)-ROW($A$2)+1),ROWS(D$4:D247))),"")</f>
        <v/>
      </c>
    </row>
    <row r="248">
      <c r="A248" s="34" t="str">
        <f t="array" ref="A248">IF(ROWS(A$4:A248)&lt;=$B$2,INDEX(data!C$3:C$106299,SMALL(IF(data!$D$3:$D$106299=$B$1,ROW($A$2:$A$98971)-ROW($A$2)+1),ROWS(A$4:A248))),"")</f>
        <v/>
      </c>
      <c r="B248" s="12" t="str">
        <f t="array" ref="B248">IF(ROWS(B$4:B248)&lt;=$B$2,INDEX(data!A$3:A$106299,SMALL(IF(data!$D$3:$D$106299=$B$1,ROW($A$2:$A$98971)-ROW($A$2)+1),ROWS(B$4:B248))),"")</f>
        <v/>
      </c>
      <c r="C248" s="12" t="str">
        <f t="array" ref="C248">IF(ROWS(C$4:C248)&lt;=$B$2,INDEX(data!B$3:B$106299,SMALL(IF(data!$D$3:$D$106299=$B$1,ROW($A$2:$A$98971)-ROW($A$2)+1),ROWS(C$4:C248))),"")</f>
        <v/>
      </c>
      <c r="D248" s="12" t="str">
        <f t="array" ref="D248">IF(ROWS(D$4:D248)&lt;=$B$2,INDEX(data!E$3:E$106299,SMALL(IF(data!$D$3:$D$106299=$B$1,ROW($A$2:$A$98971)-ROW($A$2)+1),ROWS(D$4:D248))),"")</f>
        <v/>
      </c>
    </row>
    <row r="249">
      <c r="A249" s="34" t="str">
        <f t="array" ref="A249">IF(ROWS(A$4:A249)&lt;=$B$2,INDEX(data!C$3:C$106299,SMALL(IF(data!$D$3:$D$106299=$B$1,ROW($A$2:$A$98971)-ROW($A$2)+1),ROWS(A$4:A249))),"")</f>
        <v/>
      </c>
      <c r="B249" s="12" t="str">
        <f t="array" ref="B249">IF(ROWS(B$4:B249)&lt;=$B$2,INDEX(data!A$3:A$106299,SMALL(IF(data!$D$3:$D$106299=$B$1,ROW($A$2:$A$98971)-ROW($A$2)+1),ROWS(B$4:B249))),"")</f>
        <v/>
      </c>
      <c r="C249" s="12" t="str">
        <f t="array" ref="C249">IF(ROWS(C$4:C249)&lt;=$B$2,INDEX(data!B$3:B$106299,SMALL(IF(data!$D$3:$D$106299=$B$1,ROW($A$2:$A$98971)-ROW($A$2)+1),ROWS(C$4:C249))),"")</f>
        <v/>
      </c>
      <c r="D249" s="12" t="str">
        <f t="array" ref="D249">IF(ROWS(D$4:D249)&lt;=$B$2,INDEX(data!E$3:E$106299,SMALL(IF(data!$D$3:$D$106299=$B$1,ROW($A$2:$A$98971)-ROW($A$2)+1),ROWS(D$4:D249))),"")</f>
        <v/>
      </c>
    </row>
    <row r="250">
      <c r="A250" s="34" t="str">
        <f t="array" ref="A250">IF(ROWS(A$4:A250)&lt;=$B$2,INDEX(data!C$3:C$106299,SMALL(IF(data!$D$3:$D$106299=$B$1,ROW($A$2:$A$98971)-ROW($A$2)+1),ROWS(A$4:A250))),"")</f>
        <v/>
      </c>
      <c r="B250" s="12" t="str">
        <f t="array" ref="B250">IF(ROWS(B$4:B250)&lt;=$B$2,INDEX(data!A$3:A$106299,SMALL(IF(data!$D$3:$D$106299=$B$1,ROW($A$2:$A$98971)-ROW($A$2)+1),ROWS(B$4:B250))),"")</f>
        <v/>
      </c>
      <c r="C250" s="12" t="str">
        <f t="array" ref="C250">IF(ROWS(C$4:C250)&lt;=$B$2,INDEX(data!B$3:B$106299,SMALL(IF(data!$D$3:$D$106299=$B$1,ROW($A$2:$A$98971)-ROW($A$2)+1),ROWS(C$4:C250))),"")</f>
        <v/>
      </c>
      <c r="D250" s="12" t="str">
        <f t="array" ref="D250">IF(ROWS(D$4:D250)&lt;=$B$2,INDEX(data!E$3:E$106299,SMALL(IF(data!$D$3:$D$106299=$B$1,ROW($A$2:$A$98971)-ROW($A$2)+1),ROWS(D$4:D250))),"")</f>
        <v/>
      </c>
    </row>
    <row r="251">
      <c r="A251" s="34" t="str">
        <f t="array" ref="A251">IF(ROWS(A$4:A251)&lt;=$B$2,INDEX(data!C$3:C$106299,SMALL(IF(data!$D$3:$D$106299=$B$1,ROW($A$2:$A$98971)-ROW($A$2)+1),ROWS(A$4:A251))),"")</f>
        <v/>
      </c>
      <c r="B251" s="12" t="str">
        <f t="array" ref="B251">IF(ROWS(B$4:B251)&lt;=$B$2,INDEX(data!A$3:A$106299,SMALL(IF(data!$D$3:$D$106299=$B$1,ROW($A$2:$A$98971)-ROW($A$2)+1),ROWS(B$4:B251))),"")</f>
        <v/>
      </c>
      <c r="C251" s="12" t="str">
        <f t="array" ref="C251">IF(ROWS(C$4:C251)&lt;=$B$2,INDEX(data!B$3:B$106299,SMALL(IF(data!$D$3:$D$106299=$B$1,ROW($A$2:$A$98971)-ROW($A$2)+1),ROWS(C$4:C251))),"")</f>
        <v/>
      </c>
      <c r="D251" s="12" t="str">
        <f t="array" ref="D251">IF(ROWS(D$4:D251)&lt;=$B$2,INDEX(data!E$3:E$106299,SMALL(IF(data!$D$3:$D$106299=$B$1,ROW($A$2:$A$98971)-ROW($A$2)+1),ROWS(D$4:D251))),"")</f>
        <v/>
      </c>
    </row>
    <row r="252">
      <c r="A252" s="34" t="str">
        <f t="array" ref="A252">IF(ROWS(A$4:A252)&lt;=$B$2,INDEX(data!C$3:C$106299,SMALL(IF(data!$D$3:$D$106299=$B$1,ROW($A$2:$A$98971)-ROW($A$2)+1),ROWS(A$4:A252))),"")</f>
        <v/>
      </c>
      <c r="B252" s="12" t="str">
        <f t="array" ref="B252">IF(ROWS(B$4:B252)&lt;=$B$2,INDEX(data!A$3:A$106299,SMALL(IF(data!$D$3:$D$106299=$B$1,ROW($A$2:$A$98971)-ROW($A$2)+1),ROWS(B$4:B252))),"")</f>
        <v/>
      </c>
      <c r="C252" s="12" t="str">
        <f t="array" ref="C252">IF(ROWS(C$4:C252)&lt;=$B$2,INDEX(data!B$3:B$106299,SMALL(IF(data!$D$3:$D$106299=$B$1,ROW($A$2:$A$98971)-ROW($A$2)+1),ROWS(C$4:C252))),"")</f>
        <v/>
      </c>
      <c r="D252" s="12" t="str">
        <f t="array" ref="D252">IF(ROWS(D$4:D252)&lt;=$B$2,INDEX(data!E$3:E$106299,SMALL(IF(data!$D$3:$D$106299=$B$1,ROW($A$2:$A$98971)-ROW($A$2)+1),ROWS(D$4:D252))),"")</f>
        <v/>
      </c>
    </row>
    <row r="253">
      <c r="A253" s="34" t="str">
        <f t="array" ref="A253">IF(ROWS(A$4:A253)&lt;=$B$2,INDEX(data!C$3:C$106299,SMALL(IF(data!$D$3:$D$106299=$B$1,ROW($A$2:$A$98971)-ROW($A$2)+1),ROWS(A$4:A253))),"")</f>
        <v/>
      </c>
      <c r="B253" s="12" t="str">
        <f t="array" ref="B253">IF(ROWS(B$4:B253)&lt;=$B$2,INDEX(data!A$3:A$106299,SMALL(IF(data!$D$3:$D$106299=$B$1,ROW($A$2:$A$98971)-ROW($A$2)+1),ROWS(B$4:B253))),"")</f>
        <v/>
      </c>
      <c r="C253" s="12" t="str">
        <f t="array" ref="C253">IF(ROWS(C$4:C253)&lt;=$B$2,INDEX(data!B$3:B$106299,SMALL(IF(data!$D$3:$D$106299=$B$1,ROW($A$2:$A$98971)-ROW($A$2)+1),ROWS(C$4:C253))),"")</f>
        <v/>
      </c>
      <c r="D253" s="12" t="str">
        <f t="array" ref="D253">IF(ROWS(D$4:D253)&lt;=$B$2,INDEX(data!E$3:E$106299,SMALL(IF(data!$D$3:$D$106299=$B$1,ROW($A$2:$A$98971)-ROW($A$2)+1),ROWS(D$4:D253))),"")</f>
        <v/>
      </c>
    </row>
    <row r="254">
      <c r="A254" s="34" t="str">
        <f t="array" ref="A254">IF(ROWS(A$4:A254)&lt;=$B$2,INDEX(data!C$3:C$106299,SMALL(IF(data!$D$3:$D$106299=$B$1,ROW($A$2:$A$98971)-ROW($A$2)+1),ROWS(A$4:A254))),"")</f>
        <v/>
      </c>
      <c r="B254" s="12" t="str">
        <f t="array" ref="B254">IF(ROWS(B$4:B254)&lt;=$B$2,INDEX(data!A$3:A$106299,SMALL(IF(data!$D$3:$D$106299=$B$1,ROW($A$2:$A$98971)-ROW($A$2)+1),ROWS(B$4:B254))),"")</f>
        <v/>
      </c>
      <c r="C254" s="12" t="str">
        <f t="array" ref="C254">IF(ROWS(C$4:C254)&lt;=$B$2,INDEX(data!B$3:B$106299,SMALL(IF(data!$D$3:$D$106299=$B$1,ROW($A$2:$A$98971)-ROW($A$2)+1),ROWS(C$4:C254))),"")</f>
        <v/>
      </c>
      <c r="D254" s="12" t="str">
        <f t="array" ref="D254">IF(ROWS(D$4:D254)&lt;=$B$2,INDEX(data!E$3:E$106299,SMALL(IF(data!$D$3:$D$106299=$B$1,ROW($A$2:$A$98971)-ROW($A$2)+1),ROWS(D$4:D254))),"")</f>
        <v/>
      </c>
    </row>
  </sheetData>
  <conditionalFormatting sqref="A4:D254">
    <cfRule type="cellIs" dxfId="0" priority="1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7.29" defaultRowHeight="15.0"/>
  <cols>
    <col customWidth="1" min="1" max="1" width="20.86"/>
    <col customWidth="1" min="2" max="2" width="13.0"/>
    <col customWidth="1" min="3" max="3" width="13.43"/>
    <col customWidth="1" min="4" max="4" width="32.71"/>
    <col customWidth="1" min="5" max="5" width="22.57"/>
    <col customWidth="1" min="6" max="6" width="5.57"/>
    <col customWidth="1" min="7" max="7" width="9.71"/>
    <col customWidth="1" min="8" max="8" width="11.14"/>
    <col customWidth="1" min="9" max="15" width="9.71"/>
    <col customWidth="1" min="16" max="16" width="10.71"/>
    <col customWidth="1" min="17" max="17" width="9.71"/>
    <col customWidth="1" min="18" max="18" width="11.14"/>
    <col customWidth="1" min="19" max="26" width="6.57"/>
    <col customWidth="1" min="27" max="28" width="15.14"/>
  </cols>
  <sheetData>
    <row r="1">
      <c r="A1" s="45" t="s">
        <v>10</v>
      </c>
      <c r="B1" s="45" t="s">
        <v>23</v>
      </c>
      <c r="C1" s="45" t="s">
        <v>9</v>
      </c>
      <c r="D1" s="46" t="s">
        <v>0</v>
      </c>
      <c r="E1" s="45" t="s">
        <v>12</v>
      </c>
      <c r="F1" s="14"/>
      <c r="G1" s="14" t="s">
        <v>24</v>
      </c>
      <c r="H1" s="14" t="s">
        <v>25</v>
      </c>
      <c r="I1" s="47" t="s">
        <v>26</v>
      </c>
      <c r="J1" s="14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47" t="s">
        <v>32</v>
      </c>
      <c r="P1" s="11" t="s">
        <v>33</v>
      </c>
      <c r="Q1" s="22" t="s">
        <v>34</v>
      </c>
      <c r="R1" s="22" t="s">
        <v>35</v>
      </c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ht="23.25" customHeight="1">
      <c r="E2" s="48"/>
      <c r="F2" s="14"/>
      <c r="G2" s="14">
        <f>'Арсеналски'!F3</f>
        <v>80738.021</v>
      </c>
      <c r="H2" s="17">
        <f>'Банкя'!F3</f>
        <v>85590.539</v>
      </c>
      <c r="I2" s="49">
        <f>'Велчо Атанасов'!F3</f>
        <v>10244.36</v>
      </c>
      <c r="J2" s="14">
        <f>'Лозeнец'!F3</f>
        <v>43232.943</v>
      </c>
      <c r="K2" s="50">
        <f>'Люлин'!F3</f>
        <v>63056.416</v>
      </c>
      <c r="L2" s="14">
        <f>'Манастирски'!F3</f>
        <v>69250.641</v>
      </c>
      <c r="M2" s="50">
        <f>'Надежда'!F3</f>
        <v>112560.304</v>
      </c>
      <c r="N2" s="14">
        <f>'Обеля'!F3</f>
        <v>80992.721</v>
      </c>
      <c r="O2" s="49">
        <f>'Редута'!F3</f>
        <v>111326.63</v>
      </c>
      <c r="P2" s="49">
        <f>'Свобода'!F3</f>
        <v>66939.482</v>
      </c>
      <c r="Q2" s="51">
        <f>'Хали Окръжна'!F3</f>
        <v>101131.795</v>
      </c>
      <c r="R2" s="51">
        <f>SUM(G2:Q2)</f>
        <v>825063.852</v>
      </c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52" t="s">
        <v>36</v>
      </c>
      <c r="B3" s="52">
        <v>-0.01</v>
      </c>
      <c r="C3" s="53">
        <v>44557.0</v>
      </c>
      <c r="D3" s="54" t="s">
        <v>5</v>
      </c>
      <c r="E3" s="55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52" t="s">
        <v>36</v>
      </c>
      <c r="B4" s="52">
        <v>-0.01</v>
      </c>
      <c r="C4" s="53">
        <v>44557.0</v>
      </c>
      <c r="D4" s="54" t="s">
        <v>2</v>
      </c>
      <c r="E4" s="55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52" t="s">
        <v>36</v>
      </c>
      <c r="B5" s="52">
        <v>-0.01</v>
      </c>
      <c r="C5" s="53">
        <v>44557.0</v>
      </c>
      <c r="D5" s="54" t="s">
        <v>3</v>
      </c>
      <c r="E5" s="55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52" t="s">
        <v>36</v>
      </c>
      <c r="B6" s="52">
        <v>-0.01</v>
      </c>
      <c r="C6" s="53">
        <v>44557.0</v>
      </c>
      <c r="D6" s="54" t="s">
        <v>14</v>
      </c>
      <c r="E6" s="5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52" t="s">
        <v>36</v>
      </c>
      <c r="B7" s="52">
        <v>-0.01</v>
      </c>
      <c r="C7" s="53">
        <v>44557.0</v>
      </c>
      <c r="D7" s="54" t="s">
        <v>15</v>
      </c>
      <c r="E7" s="55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52" t="s">
        <v>36</v>
      </c>
      <c r="B8" s="52">
        <v>-0.01</v>
      </c>
      <c r="C8" s="53">
        <v>44557.0</v>
      </c>
      <c r="D8" s="54" t="s">
        <v>16</v>
      </c>
      <c r="E8" s="55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52" t="s">
        <v>36</v>
      </c>
      <c r="B9" s="52">
        <v>-0.01</v>
      </c>
      <c r="C9" s="53">
        <v>44557.0</v>
      </c>
      <c r="D9" s="54" t="s">
        <v>19</v>
      </c>
      <c r="E9" s="5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52" t="s">
        <v>36</v>
      </c>
      <c r="B10" s="52">
        <v>-0.01</v>
      </c>
      <c r="C10" s="53">
        <v>44557.0</v>
      </c>
      <c r="D10" s="54" t="s">
        <v>20</v>
      </c>
      <c r="E10" s="5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52" t="s">
        <v>36</v>
      </c>
      <c r="B11" s="52">
        <v>-0.01</v>
      </c>
      <c r="C11" s="53">
        <v>44557.0</v>
      </c>
      <c r="D11" s="54" t="s">
        <v>21</v>
      </c>
      <c r="E11" s="55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52" t="s">
        <v>36</v>
      </c>
      <c r="B12" s="52">
        <v>-0.01</v>
      </c>
      <c r="C12" s="53">
        <v>44557.0</v>
      </c>
      <c r="D12" s="54" t="s">
        <v>22</v>
      </c>
      <c r="E12" s="55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52" t="s">
        <v>36</v>
      </c>
      <c r="B13" s="56">
        <v>-0.01</v>
      </c>
      <c r="C13" s="53">
        <v>44557.0</v>
      </c>
      <c r="D13" s="54" t="s">
        <v>1</v>
      </c>
      <c r="E13" s="55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57" t="s">
        <v>37</v>
      </c>
      <c r="B14" s="58">
        <v>10001.16</v>
      </c>
      <c r="C14" s="59">
        <v>46025.0</v>
      </c>
      <c r="D14" s="57" t="s">
        <v>1</v>
      </c>
      <c r="E14" s="57" t="s">
        <v>38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57" t="s">
        <v>37</v>
      </c>
      <c r="B15" s="58">
        <v>7469.02</v>
      </c>
      <c r="C15" s="59">
        <v>46025.0</v>
      </c>
      <c r="D15" s="57" t="s">
        <v>5</v>
      </c>
      <c r="E15" s="57" t="s">
        <v>38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57" t="s">
        <v>37</v>
      </c>
      <c r="B16" s="58">
        <v>18711.61</v>
      </c>
      <c r="C16" s="59">
        <v>46025.0</v>
      </c>
      <c r="D16" s="57" t="s">
        <v>2</v>
      </c>
      <c r="E16" s="57" t="s">
        <v>38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57" t="s">
        <v>37</v>
      </c>
      <c r="B17" s="58">
        <v>16789.63</v>
      </c>
      <c r="C17" s="59">
        <v>46025.0</v>
      </c>
      <c r="D17" s="57" t="s">
        <v>3</v>
      </c>
      <c r="E17" s="57" t="s">
        <v>38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57" t="s">
        <v>37</v>
      </c>
      <c r="B18" s="58">
        <v>17370.17</v>
      </c>
      <c r="C18" s="59">
        <v>46025.0</v>
      </c>
      <c r="D18" s="57" t="s">
        <v>14</v>
      </c>
      <c r="E18" s="57" t="s">
        <v>38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57" t="s">
        <v>37</v>
      </c>
      <c r="B19" s="58">
        <v>7756.37</v>
      </c>
      <c r="C19" s="59">
        <v>46025.0</v>
      </c>
      <c r="D19" s="57" t="s">
        <v>15</v>
      </c>
      <c r="E19" s="57" t="s">
        <v>38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57" t="s">
        <v>37</v>
      </c>
      <c r="B20" s="58">
        <v>13260.68</v>
      </c>
      <c r="C20" s="59">
        <v>46025.0</v>
      </c>
      <c r="D20" s="57" t="s">
        <v>16</v>
      </c>
      <c r="E20" s="57" t="s">
        <v>38</v>
      </c>
      <c r="F20" s="14"/>
      <c r="G20" s="14"/>
      <c r="H20" s="14"/>
      <c r="I20" s="60"/>
      <c r="J20" s="14"/>
      <c r="K20" s="14"/>
      <c r="L20" s="14"/>
      <c r="M20" s="14"/>
      <c r="N20" s="14"/>
      <c r="O20" s="14"/>
      <c r="P20" s="14"/>
      <c r="Q20" s="14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57" t="s">
        <v>37</v>
      </c>
      <c r="B21" s="58">
        <v>13325.9</v>
      </c>
      <c r="C21" s="59">
        <v>46025.0</v>
      </c>
      <c r="D21" s="57" t="s">
        <v>19</v>
      </c>
      <c r="E21" s="57" t="s">
        <v>38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57" t="s">
        <v>37</v>
      </c>
      <c r="B22" s="58">
        <v>8316.86</v>
      </c>
      <c r="C22" s="59">
        <v>46025.0</v>
      </c>
      <c r="D22" s="57" t="s">
        <v>20</v>
      </c>
      <c r="E22" s="57" t="s">
        <v>38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57" t="s">
        <v>37</v>
      </c>
      <c r="B23" s="58">
        <v>12250.64</v>
      </c>
      <c r="C23" s="59">
        <v>46025.0</v>
      </c>
      <c r="D23" s="57" t="s">
        <v>21</v>
      </c>
      <c r="E23" s="57" t="s">
        <v>38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57" t="s">
        <v>37</v>
      </c>
      <c r="B24" s="58">
        <v>30024.72</v>
      </c>
      <c r="C24" s="59">
        <v>46025.0</v>
      </c>
      <c r="D24" s="57" t="s">
        <v>22</v>
      </c>
      <c r="E24" s="57" t="s">
        <v>38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52" t="s">
        <v>39</v>
      </c>
      <c r="B25" s="52">
        <v>-766.939</v>
      </c>
      <c r="C25" s="61">
        <v>46027.0</v>
      </c>
      <c r="D25" s="52" t="s">
        <v>1</v>
      </c>
      <c r="E25" s="52" t="s">
        <v>40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52" t="s">
        <v>39</v>
      </c>
      <c r="B26" s="52">
        <v>-3579.04</v>
      </c>
      <c r="C26" s="61">
        <v>46027.0</v>
      </c>
      <c r="D26" s="52" t="s">
        <v>5</v>
      </c>
      <c r="E26" s="52" t="s">
        <v>40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52" t="s">
        <v>39</v>
      </c>
      <c r="B27" s="52">
        <v>-2709.847</v>
      </c>
      <c r="C27" s="61">
        <v>46027.0</v>
      </c>
      <c r="D27" s="52" t="s">
        <v>2</v>
      </c>
      <c r="E27" s="52" t="s">
        <v>40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52" t="s">
        <v>39</v>
      </c>
      <c r="B28" s="52">
        <v>-5624.21</v>
      </c>
      <c r="C28" s="61">
        <v>46027.0</v>
      </c>
      <c r="D28" s="52" t="s">
        <v>3</v>
      </c>
      <c r="E28" s="52" t="s">
        <v>40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52" t="s">
        <v>39</v>
      </c>
      <c r="B29" s="52">
        <v>-3834.69</v>
      </c>
      <c r="C29" s="61">
        <v>46027.0</v>
      </c>
      <c r="D29" s="52" t="s">
        <v>14</v>
      </c>
      <c r="E29" s="52" t="s">
        <v>40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52" t="s">
        <v>39</v>
      </c>
      <c r="B30" s="52">
        <v>-511.29</v>
      </c>
      <c r="C30" s="61">
        <v>46027.0</v>
      </c>
      <c r="D30" s="52" t="s">
        <v>15</v>
      </c>
      <c r="E30" s="52" t="s">
        <v>40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52" t="s">
        <v>39</v>
      </c>
      <c r="B31" s="52">
        <v>-1533.88</v>
      </c>
      <c r="C31" s="61">
        <v>46027.0</v>
      </c>
      <c r="D31" s="52" t="s">
        <v>16</v>
      </c>
      <c r="E31" s="52" t="s">
        <v>40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52" t="s">
        <v>39</v>
      </c>
      <c r="B32" s="52">
        <v>-2556.46</v>
      </c>
      <c r="C32" s="61">
        <v>46027.0</v>
      </c>
      <c r="D32" s="52" t="s">
        <v>16</v>
      </c>
      <c r="E32" s="52" t="s">
        <v>41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52" t="s">
        <v>39</v>
      </c>
      <c r="B33" s="52">
        <v>-6618.16</v>
      </c>
      <c r="C33" s="61">
        <v>46027.0</v>
      </c>
      <c r="D33" s="52" t="s">
        <v>19</v>
      </c>
      <c r="E33" s="52" t="s">
        <v>40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52" t="s">
        <v>39</v>
      </c>
      <c r="B34" s="52">
        <v>-1022.584</v>
      </c>
      <c r="C34" s="61">
        <v>46027.0</v>
      </c>
      <c r="D34" s="52" t="s">
        <v>20</v>
      </c>
      <c r="E34" s="52" t="s">
        <v>40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52" t="s">
        <v>39</v>
      </c>
      <c r="B35" s="52">
        <v>-1533.878</v>
      </c>
      <c r="C35" s="61">
        <v>46027.0</v>
      </c>
      <c r="D35" s="52" t="s">
        <v>21</v>
      </c>
      <c r="E35" s="52" t="s">
        <v>40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52" t="s">
        <v>39</v>
      </c>
      <c r="B36" s="52">
        <v>-4090.34</v>
      </c>
      <c r="C36" s="61">
        <v>46027.0</v>
      </c>
      <c r="D36" s="52" t="s">
        <v>22</v>
      </c>
      <c r="E36" s="52" t="s">
        <v>40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52" t="s">
        <v>36</v>
      </c>
      <c r="B37" s="52">
        <v>-1969.27</v>
      </c>
      <c r="C37" s="61">
        <v>46027.0</v>
      </c>
      <c r="D37" s="52" t="s">
        <v>1</v>
      </c>
      <c r="E37" s="5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52" t="s">
        <v>39</v>
      </c>
      <c r="B38" s="52">
        <v>-511.29</v>
      </c>
      <c r="C38" s="61">
        <v>46027.0</v>
      </c>
      <c r="D38" s="52" t="s">
        <v>1</v>
      </c>
      <c r="E38" s="55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52" t="s">
        <v>36</v>
      </c>
      <c r="B39" s="52">
        <v>-1917.13</v>
      </c>
      <c r="C39" s="61">
        <v>46027.0</v>
      </c>
      <c r="D39" s="52" t="s">
        <v>1</v>
      </c>
      <c r="E39" s="52" t="s">
        <v>42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52" t="s">
        <v>39</v>
      </c>
      <c r="B40" s="56">
        <v>5110.0</v>
      </c>
      <c r="C40" s="61">
        <v>46027.0</v>
      </c>
      <c r="D40" s="52" t="s">
        <v>1</v>
      </c>
      <c r="E40" s="52" t="s">
        <v>43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52" t="s">
        <v>36</v>
      </c>
      <c r="B41" s="52">
        <v>-528.47</v>
      </c>
      <c r="C41" s="61">
        <v>46027.0</v>
      </c>
      <c r="D41" s="52" t="s">
        <v>5</v>
      </c>
      <c r="E41" s="55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52" t="s">
        <v>36</v>
      </c>
      <c r="B42" s="52">
        <v>-974.32</v>
      </c>
      <c r="C42" s="61">
        <v>46027.0</v>
      </c>
      <c r="D42" s="52" t="s">
        <v>5</v>
      </c>
      <c r="E42" s="52" t="s">
        <v>42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52" t="s">
        <v>39</v>
      </c>
      <c r="B43" s="56">
        <v>3110.0</v>
      </c>
      <c r="C43" s="61">
        <v>46027.0</v>
      </c>
      <c r="D43" s="52" t="s">
        <v>5</v>
      </c>
      <c r="E43" s="52" t="s">
        <v>43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52" t="s">
        <v>36</v>
      </c>
      <c r="B44" s="52">
        <v>-4604.6</v>
      </c>
      <c r="C44" s="61">
        <v>46027.0</v>
      </c>
      <c r="D44" s="52" t="s">
        <v>2</v>
      </c>
      <c r="E44" s="55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52" t="s">
        <v>39</v>
      </c>
      <c r="B45" s="52">
        <v>-1533.88</v>
      </c>
      <c r="C45" s="61">
        <v>46027.0</v>
      </c>
      <c r="D45" s="52" t="s">
        <v>2</v>
      </c>
      <c r="E45" s="55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52" t="s">
        <v>36</v>
      </c>
      <c r="B46" s="52">
        <v>-5534.12</v>
      </c>
      <c r="C46" s="61">
        <v>46027.0</v>
      </c>
      <c r="D46" s="52" t="s">
        <v>2</v>
      </c>
      <c r="E46" s="52" t="s">
        <v>42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52" t="s">
        <v>39</v>
      </c>
      <c r="B47" s="56">
        <v>5110.0</v>
      </c>
      <c r="C47" s="61">
        <v>46027.0</v>
      </c>
      <c r="D47" s="52" t="s">
        <v>2</v>
      </c>
      <c r="E47" s="52" t="s">
        <v>43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52" t="s">
        <v>36</v>
      </c>
      <c r="B48" s="52">
        <v>-3973.32</v>
      </c>
      <c r="C48" s="61">
        <v>46027.0</v>
      </c>
      <c r="D48" s="52" t="s">
        <v>3</v>
      </c>
      <c r="E48" s="55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52" t="s">
        <v>39</v>
      </c>
      <c r="B49" s="52">
        <v>-1789.52</v>
      </c>
      <c r="C49" s="61">
        <v>46027.0</v>
      </c>
      <c r="D49" s="52" t="s">
        <v>3</v>
      </c>
      <c r="E49" s="55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52" t="s">
        <v>36</v>
      </c>
      <c r="B50" s="52">
        <v>-5151.96</v>
      </c>
      <c r="C50" s="61">
        <v>46027.0</v>
      </c>
      <c r="D50" s="52" t="s">
        <v>3</v>
      </c>
      <c r="E50" s="52" t="s">
        <v>42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52" t="s">
        <v>39</v>
      </c>
      <c r="B51" s="56">
        <v>5665.0</v>
      </c>
      <c r="C51" s="61">
        <v>46027.0</v>
      </c>
      <c r="D51" s="52" t="s">
        <v>3</v>
      </c>
      <c r="E51" s="52" t="s">
        <v>43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52" t="s">
        <v>36</v>
      </c>
      <c r="B52" s="52">
        <v>-1896.62</v>
      </c>
      <c r="C52" s="61">
        <v>46027.0</v>
      </c>
      <c r="D52" s="52" t="s">
        <v>14</v>
      </c>
      <c r="E52" s="55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52" t="s">
        <v>39</v>
      </c>
      <c r="B53" s="52">
        <v>-2556.46</v>
      </c>
      <c r="C53" s="61">
        <v>46027.0</v>
      </c>
      <c r="D53" s="52" t="s">
        <v>14</v>
      </c>
      <c r="E53" s="55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52" t="s">
        <v>36</v>
      </c>
      <c r="B54" s="52">
        <v>-3375.12</v>
      </c>
      <c r="C54" s="61">
        <v>46027.0</v>
      </c>
      <c r="D54" s="52" t="s">
        <v>14</v>
      </c>
      <c r="E54" s="52" t="s">
        <v>42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52" t="s">
        <v>39</v>
      </c>
      <c r="B55" s="56">
        <v>7554.0</v>
      </c>
      <c r="C55" s="61">
        <v>46027.0</v>
      </c>
      <c r="D55" s="52" t="s">
        <v>14</v>
      </c>
      <c r="E55" s="52" t="s">
        <v>43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52" t="s">
        <v>36</v>
      </c>
      <c r="B56" s="52">
        <v>-2263.17</v>
      </c>
      <c r="C56" s="61">
        <v>46027.0</v>
      </c>
      <c r="D56" s="52" t="s">
        <v>15</v>
      </c>
      <c r="E56" s="55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52" t="s">
        <v>39</v>
      </c>
      <c r="B57" s="52">
        <v>-1022.58</v>
      </c>
      <c r="C57" s="61">
        <v>46027.0</v>
      </c>
      <c r="D57" s="52" t="s">
        <v>15</v>
      </c>
      <c r="E57" s="55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52" t="s">
        <v>36</v>
      </c>
      <c r="B58" s="52">
        <v>-1649.87</v>
      </c>
      <c r="C58" s="61">
        <v>46027.0</v>
      </c>
      <c r="D58" s="52" t="s">
        <v>15</v>
      </c>
      <c r="E58" s="52" t="s">
        <v>42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52" t="s">
        <v>39</v>
      </c>
      <c r="B59" s="56">
        <v>3110.0</v>
      </c>
      <c r="C59" s="61">
        <v>46027.0</v>
      </c>
      <c r="D59" s="52" t="s">
        <v>15</v>
      </c>
      <c r="E59" s="52" t="s">
        <v>43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52" t="s">
        <v>36</v>
      </c>
      <c r="B60" s="52">
        <v>-1530.29</v>
      </c>
      <c r="C60" s="61">
        <v>46027.0</v>
      </c>
      <c r="D60" s="52" t="s">
        <v>16</v>
      </c>
      <c r="E60" s="55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52" t="s">
        <v>44</v>
      </c>
      <c r="B61" s="52">
        <v>-176.4</v>
      </c>
      <c r="C61" s="61">
        <v>46027.0</v>
      </c>
      <c r="D61" s="52" t="s">
        <v>16</v>
      </c>
      <c r="E61" s="52" t="s">
        <v>45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52" t="s">
        <v>36</v>
      </c>
      <c r="B62" s="52">
        <v>-2004.8</v>
      </c>
      <c r="C62" s="61">
        <v>46027.0</v>
      </c>
      <c r="D62" s="52" t="s">
        <v>16</v>
      </c>
      <c r="E62" s="52" t="s">
        <v>42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52" t="s">
        <v>39</v>
      </c>
      <c r="B63" s="56">
        <v>7665.0</v>
      </c>
      <c r="C63" s="61">
        <v>46027.0</v>
      </c>
      <c r="D63" s="52" t="s">
        <v>16</v>
      </c>
      <c r="E63" s="52" t="s">
        <v>43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52" t="s">
        <v>36</v>
      </c>
      <c r="B64" s="52">
        <v>-1106.79</v>
      </c>
      <c r="C64" s="61">
        <v>46027.0</v>
      </c>
      <c r="D64" s="52" t="s">
        <v>19</v>
      </c>
      <c r="E64" s="55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52" t="s">
        <v>39</v>
      </c>
      <c r="B65" s="52">
        <v>-4601.63</v>
      </c>
      <c r="C65" s="61">
        <v>46027.0</v>
      </c>
      <c r="D65" s="52" t="s">
        <v>19</v>
      </c>
      <c r="E65" s="55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52" t="s">
        <v>36</v>
      </c>
      <c r="B66" s="52">
        <v>-2691.11</v>
      </c>
      <c r="C66" s="61">
        <v>46027.0</v>
      </c>
      <c r="D66" s="52" t="s">
        <v>19</v>
      </c>
      <c r="E66" s="52" t="s">
        <v>42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52" t="s">
        <v>39</v>
      </c>
      <c r="B67" s="56">
        <v>8220.0</v>
      </c>
      <c r="C67" s="61">
        <v>46027.0</v>
      </c>
      <c r="D67" s="52" t="s">
        <v>19</v>
      </c>
      <c r="E67" s="52" t="s">
        <v>43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52" t="s">
        <v>36</v>
      </c>
      <c r="B68" s="52">
        <v>-1825.8</v>
      </c>
      <c r="C68" s="61">
        <v>46027.0</v>
      </c>
      <c r="D68" s="52" t="s">
        <v>20</v>
      </c>
      <c r="E68" s="55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52" t="s">
        <v>39</v>
      </c>
      <c r="B69" s="52">
        <v>-511.29</v>
      </c>
      <c r="C69" s="61">
        <v>46027.0</v>
      </c>
      <c r="D69" s="52" t="s">
        <v>20</v>
      </c>
      <c r="E69" s="55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52" t="s">
        <v>36</v>
      </c>
      <c r="B70" s="52">
        <v>-2260.39</v>
      </c>
      <c r="C70" s="61">
        <v>46027.0</v>
      </c>
      <c r="D70" s="52" t="s">
        <v>20</v>
      </c>
      <c r="E70" s="52" t="s">
        <v>42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52" t="s">
        <v>39</v>
      </c>
      <c r="B71" s="56">
        <v>3110.0</v>
      </c>
      <c r="C71" s="61">
        <v>46027.0</v>
      </c>
      <c r="D71" s="52" t="s">
        <v>20</v>
      </c>
      <c r="E71" s="52" t="s">
        <v>43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52" t="s">
        <v>36</v>
      </c>
      <c r="B72" s="52">
        <v>-1305.93</v>
      </c>
      <c r="C72" s="61">
        <v>46027.0</v>
      </c>
      <c r="D72" s="52" t="s">
        <v>21</v>
      </c>
      <c r="E72" s="55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52" t="s">
        <v>36</v>
      </c>
      <c r="B73" s="52">
        <v>-2420.33</v>
      </c>
      <c r="C73" s="61">
        <v>46027.0</v>
      </c>
      <c r="D73" s="52" t="s">
        <v>21</v>
      </c>
      <c r="E73" s="52" t="s">
        <v>42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52" t="s">
        <v>39</v>
      </c>
      <c r="B74" s="56">
        <v>7665.0</v>
      </c>
      <c r="C74" s="61">
        <v>46027.0</v>
      </c>
      <c r="D74" s="52" t="s">
        <v>21</v>
      </c>
      <c r="E74" s="52" t="s">
        <v>43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52" t="s">
        <v>36</v>
      </c>
      <c r="B75" s="52">
        <v>-3607.1</v>
      </c>
      <c r="C75" s="61">
        <v>46027.0</v>
      </c>
      <c r="D75" s="52" t="s">
        <v>22</v>
      </c>
      <c r="E75" s="55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52" t="s">
        <v>39</v>
      </c>
      <c r="B76" s="52">
        <v>-5112.92</v>
      </c>
      <c r="C76" s="61">
        <v>46027.0</v>
      </c>
      <c r="D76" s="52" t="s">
        <v>22</v>
      </c>
      <c r="E76" s="55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52" t="s">
        <v>36</v>
      </c>
      <c r="B77" s="52">
        <v>-5357.19</v>
      </c>
      <c r="C77" s="61">
        <v>46027.0</v>
      </c>
      <c r="D77" s="52" t="s">
        <v>22</v>
      </c>
      <c r="E77" s="52" t="s">
        <v>42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52" t="s">
        <v>39</v>
      </c>
      <c r="B78" s="56">
        <v>10220.0</v>
      </c>
      <c r="C78" s="61">
        <v>46027.0</v>
      </c>
      <c r="D78" s="52" t="s">
        <v>22</v>
      </c>
      <c r="E78" s="52" t="s">
        <v>43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52" t="s">
        <v>46</v>
      </c>
      <c r="B79" s="52">
        <v>-1533.88</v>
      </c>
      <c r="C79" s="61">
        <v>46028.0</v>
      </c>
      <c r="D79" s="52" t="s">
        <v>16</v>
      </c>
      <c r="E79" s="55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52" t="s">
        <v>46</v>
      </c>
      <c r="B80" s="52">
        <v>-3067.75</v>
      </c>
      <c r="C80" s="61">
        <v>46028.0</v>
      </c>
      <c r="D80" s="52" t="s">
        <v>21</v>
      </c>
      <c r="E80" s="55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52" t="s">
        <v>39</v>
      </c>
      <c r="B81" s="52">
        <v>-1022.58</v>
      </c>
      <c r="C81" s="61">
        <v>46028.0</v>
      </c>
      <c r="D81" s="52" t="s">
        <v>14</v>
      </c>
      <c r="E81" s="55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52" t="s">
        <v>39</v>
      </c>
      <c r="B82" s="52">
        <v>-661.77</v>
      </c>
      <c r="C82" s="61">
        <v>46028.0</v>
      </c>
      <c r="D82" s="52" t="s">
        <v>22</v>
      </c>
      <c r="E82" s="52" t="s">
        <v>47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52" t="s">
        <v>44</v>
      </c>
      <c r="B83" s="52">
        <v>-102.26</v>
      </c>
      <c r="C83" s="61">
        <v>46028.0</v>
      </c>
      <c r="D83" s="52" t="s">
        <v>5</v>
      </c>
      <c r="E83" s="52" t="s">
        <v>48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52" t="s">
        <v>44</v>
      </c>
      <c r="B84" s="56">
        <v>-600.0</v>
      </c>
      <c r="C84" s="61">
        <v>46028.0</v>
      </c>
      <c r="D84" s="52" t="s">
        <v>2</v>
      </c>
      <c r="E84" s="52" t="s">
        <v>49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52" t="s">
        <v>44</v>
      </c>
      <c r="B85" s="56">
        <v>-350.0</v>
      </c>
      <c r="C85" s="61">
        <v>46028.0</v>
      </c>
      <c r="D85" s="52" t="s">
        <v>3</v>
      </c>
      <c r="E85" s="52" t="s">
        <v>50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52" t="s">
        <v>44</v>
      </c>
      <c r="B86" s="56">
        <v>-200.0</v>
      </c>
      <c r="C86" s="61">
        <v>46028.0</v>
      </c>
      <c r="D86" s="52" t="s">
        <v>14</v>
      </c>
      <c r="E86" s="52" t="s">
        <v>51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52" t="s">
        <v>44</v>
      </c>
      <c r="B87" s="52">
        <v>-290.9</v>
      </c>
      <c r="C87" s="61">
        <v>46028.0</v>
      </c>
      <c r="D87" s="52" t="s">
        <v>20</v>
      </c>
      <c r="E87" s="52" t="s">
        <v>52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52" t="s">
        <v>39</v>
      </c>
      <c r="B88" s="56">
        <v>-2000.0</v>
      </c>
      <c r="C88" s="61">
        <v>46029.0</v>
      </c>
      <c r="D88" s="52" t="s">
        <v>1</v>
      </c>
      <c r="E88" s="55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52" t="s">
        <v>39</v>
      </c>
      <c r="B89" s="52">
        <v>-511.29</v>
      </c>
      <c r="C89" s="61">
        <v>46029.0</v>
      </c>
      <c r="D89" s="52" t="s">
        <v>5</v>
      </c>
      <c r="E89" s="55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52" t="s">
        <v>39</v>
      </c>
      <c r="B90" s="56">
        <v>-2000.0</v>
      </c>
      <c r="C90" s="61">
        <v>46029.0</v>
      </c>
      <c r="D90" s="52" t="s">
        <v>3</v>
      </c>
      <c r="E90" s="55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52" t="s">
        <v>39</v>
      </c>
      <c r="B91" s="52">
        <v>-511.29</v>
      </c>
      <c r="C91" s="61">
        <v>46029.0</v>
      </c>
      <c r="D91" s="52" t="s">
        <v>14</v>
      </c>
      <c r="E91" s="55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52" t="s">
        <v>39</v>
      </c>
      <c r="B92" s="52">
        <v>-1533.88</v>
      </c>
      <c r="C92" s="61">
        <v>46029.0</v>
      </c>
      <c r="D92" s="52" t="s">
        <v>16</v>
      </c>
      <c r="E92" s="55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52" t="s">
        <v>39</v>
      </c>
      <c r="B93" s="52">
        <v>-766.94</v>
      </c>
      <c r="C93" s="61">
        <v>46029.0</v>
      </c>
      <c r="D93" s="52" t="s">
        <v>21</v>
      </c>
      <c r="E93" s="55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52" t="s">
        <v>39</v>
      </c>
      <c r="B94" s="56">
        <v>-4000.0</v>
      </c>
      <c r="C94" s="61">
        <v>46029.0</v>
      </c>
      <c r="D94" s="52" t="s">
        <v>22</v>
      </c>
      <c r="E94" s="55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52" t="s">
        <v>44</v>
      </c>
      <c r="B95" s="56">
        <v>-75.0</v>
      </c>
      <c r="C95" s="61">
        <v>46029.0</v>
      </c>
      <c r="D95" s="52" t="s">
        <v>14</v>
      </c>
      <c r="E95" s="52" t="s">
        <v>53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52" t="s">
        <v>44</v>
      </c>
      <c r="B96" s="56">
        <v>-260.0</v>
      </c>
      <c r="C96" s="61">
        <v>46029.0</v>
      </c>
      <c r="D96" s="52" t="s">
        <v>15</v>
      </c>
      <c r="E96" s="52" t="s">
        <v>54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52" t="s">
        <v>39</v>
      </c>
      <c r="B97" s="56">
        <v>777.0</v>
      </c>
      <c r="C97" s="61">
        <v>46030.0</v>
      </c>
      <c r="D97" s="52" t="s">
        <v>2</v>
      </c>
      <c r="E97" s="52" t="s">
        <v>55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52" t="s">
        <v>39</v>
      </c>
      <c r="B98" s="56">
        <v>-777.0</v>
      </c>
      <c r="C98" s="61">
        <v>46030.0</v>
      </c>
      <c r="D98" s="52" t="s">
        <v>3</v>
      </c>
      <c r="E98" s="55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52" t="s">
        <v>39</v>
      </c>
      <c r="B99" s="52">
        <v>-511.29</v>
      </c>
      <c r="C99" s="61">
        <v>46030.0</v>
      </c>
      <c r="D99" s="52" t="s">
        <v>14</v>
      </c>
      <c r="E99" s="55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52" t="s">
        <v>56</v>
      </c>
      <c r="B100" s="52">
        <v>-5.11</v>
      </c>
      <c r="C100" s="61">
        <v>46030.0</v>
      </c>
      <c r="D100" s="52" t="s">
        <v>5</v>
      </c>
      <c r="E100" s="52" t="s">
        <v>57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52" t="s">
        <v>56</v>
      </c>
      <c r="B101" s="52">
        <v>-250.53</v>
      </c>
      <c r="C101" s="61">
        <v>46030.0</v>
      </c>
      <c r="D101" s="52" t="s">
        <v>2</v>
      </c>
      <c r="E101" s="52" t="s">
        <v>57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52" t="s">
        <v>56</v>
      </c>
      <c r="B102" s="52">
        <v>-76.69</v>
      </c>
      <c r="C102" s="61">
        <v>46030.0</v>
      </c>
      <c r="D102" s="52" t="s">
        <v>2</v>
      </c>
      <c r="E102" s="52" t="s">
        <v>58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52" t="s">
        <v>56</v>
      </c>
      <c r="B103" s="52">
        <v>-7.16</v>
      </c>
      <c r="C103" s="61">
        <v>46030.0</v>
      </c>
      <c r="D103" s="52" t="s">
        <v>3</v>
      </c>
      <c r="E103" s="52" t="s">
        <v>57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52" t="s">
        <v>56</v>
      </c>
      <c r="B104" s="52">
        <v>-120.15</v>
      </c>
      <c r="C104" s="61">
        <v>46030.0</v>
      </c>
      <c r="D104" s="52" t="s">
        <v>14</v>
      </c>
      <c r="E104" s="52" t="s">
        <v>58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52" t="s">
        <v>56</v>
      </c>
      <c r="B105" s="52">
        <v>-209.63</v>
      </c>
      <c r="C105" s="61">
        <v>46030.0</v>
      </c>
      <c r="D105" s="52" t="s">
        <v>19</v>
      </c>
      <c r="E105" s="52" t="s">
        <v>57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52" t="s">
        <v>56</v>
      </c>
      <c r="B106" s="52">
        <v>-10.23</v>
      </c>
      <c r="C106" s="61">
        <v>46030.0</v>
      </c>
      <c r="D106" s="52" t="s">
        <v>20</v>
      </c>
      <c r="E106" s="52" t="s">
        <v>57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52" t="s">
        <v>56</v>
      </c>
      <c r="B107" s="52">
        <v>-267.92</v>
      </c>
      <c r="C107" s="61">
        <v>46030.0</v>
      </c>
      <c r="D107" s="52" t="s">
        <v>21</v>
      </c>
      <c r="E107" s="52" t="s">
        <v>57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52" t="s">
        <v>56</v>
      </c>
      <c r="B108" s="52">
        <v>-97.15</v>
      </c>
      <c r="C108" s="61">
        <v>46030.0</v>
      </c>
      <c r="D108" s="52" t="s">
        <v>21</v>
      </c>
      <c r="E108" s="52" t="s">
        <v>58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52" t="s">
        <v>56</v>
      </c>
      <c r="B109" s="52">
        <v>-148.27</v>
      </c>
      <c r="C109" s="61">
        <v>46030.0</v>
      </c>
      <c r="D109" s="52" t="s">
        <v>22</v>
      </c>
      <c r="E109" s="52" t="s">
        <v>57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52" t="s">
        <v>44</v>
      </c>
      <c r="B110" s="52">
        <v>-99.5</v>
      </c>
      <c r="C110" s="61">
        <v>46030.0</v>
      </c>
      <c r="D110" s="52" t="s">
        <v>14</v>
      </c>
      <c r="E110" s="52" t="s">
        <v>53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52" t="s">
        <v>44</v>
      </c>
      <c r="B111" s="52">
        <v>-27.1</v>
      </c>
      <c r="C111" s="61">
        <v>46030.0</v>
      </c>
      <c r="D111" s="52" t="s">
        <v>16</v>
      </c>
      <c r="E111" s="52" t="s">
        <v>59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52" t="s">
        <v>44</v>
      </c>
      <c r="B112" s="56">
        <v>-200.0</v>
      </c>
      <c r="C112" s="61">
        <v>46030.0</v>
      </c>
      <c r="D112" s="52" t="s">
        <v>19</v>
      </c>
      <c r="E112" s="52" t="s">
        <v>60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52" t="s">
        <v>39</v>
      </c>
      <c r="B113" s="56">
        <v>-1000.0</v>
      </c>
      <c r="C113" s="61">
        <v>46031.0</v>
      </c>
      <c r="D113" s="52" t="s">
        <v>5</v>
      </c>
      <c r="E113" s="55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52" t="s">
        <v>39</v>
      </c>
      <c r="B114" s="56">
        <v>-1000.0</v>
      </c>
      <c r="C114" s="61">
        <v>46031.0</v>
      </c>
      <c r="D114" s="52" t="s">
        <v>2</v>
      </c>
      <c r="E114" s="55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52" t="s">
        <v>39</v>
      </c>
      <c r="B115" s="56">
        <v>-2000.0</v>
      </c>
      <c r="C115" s="61">
        <v>46031.0</v>
      </c>
      <c r="D115" s="52" t="s">
        <v>3</v>
      </c>
      <c r="E115" s="55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52" t="s">
        <v>39</v>
      </c>
      <c r="B116" s="56">
        <v>-4000.0</v>
      </c>
      <c r="C116" s="61">
        <v>46031.0</v>
      </c>
      <c r="D116" s="52" t="s">
        <v>16</v>
      </c>
      <c r="E116" s="55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52" t="s">
        <v>39</v>
      </c>
      <c r="B117" s="52">
        <v>-1227.1</v>
      </c>
      <c r="C117" s="61">
        <v>46031.0</v>
      </c>
      <c r="D117" s="52" t="s">
        <v>19</v>
      </c>
      <c r="E117" s="55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52" t="s">
        <v>39</v>
      </c>
      <c r="B118" s="56">
        <v>-2000.0</v>
      </c>
      <c r="C118" s="61">
        <v>46031.0</v>
      </c>
      <c r="D118" s="52" t="s">
        <v>21</v>
      </c>
      <c r="E118" s="55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52" t="s">
        <v>39</v>
      </c>
      <c r="B119" s="56">
        <v>-3000.0</v>
      </c>
      <c r="C119" s="61">
        <v>46031.0</v>
      </c>
      <c r="D119" s="52" t="s">
        <v>22</v>
      </c>
      <c r="E119" s="55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52" t="s">
        <v>39</v>
      </c>
      <c r="B120" s="52">
        <v>-661.77</v>
      </c>
      <c r="C120" s="61">
        <v>46031.0</v>
      </c>
      <c r="D120" s="52" t="s">
        <v>22</v>
      </c>
      <c r="E120" s="52" t="s">
        <v>47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52" t="s">
        <v>44</v>
      </c>
      <c r="B121" s="52">
        <v>-93.63</v>
      </c>
      <c r="C121" s="61">
        <v>46031.0</v>
      </c>
      <c r="D121" s="52" t="s">
        <v>2</v>
      </c>
      <c r="E121" s="52" t="s">
        <v>61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52" t="s">
        <v>44</v>
      </c>
      <c r="B122" s="56">
        <v>-200.0</v>
      </c>
      <c r="C122" s="61">
        <v>46031.0</v>
      </c>
      <c r="D122" s="52" t="s">
        <v>14</v>
      </c>
      <c r="E122" s="52" t="s">
        <v>51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52" t="s">
        <v>39</v>
      </c>
      <c r="B123" s="52">
        <v>-3022.58</v>
      </c>
      <c r="C123" s="61">
        <v>46034.0</v>
      </c>
      <c r="D123" s="52" t="s">
        <v>5</v>
      </c>
      <c r="E123" s="55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52" t="s">
        <v>39</v>
      </c>
      <c r="B124" s="56">
        <v>-1000.0</v>
      </c>
      <c r="C124" s="61">
        <v>46034.0</v>
      </c>
      <c r="D124" s="52" t="s">
        <v>2</v>
      </c>
      <c r="E124" s="55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52" t="s">
        <v>39</v>
      </c>
      <c r="B125" s="52">
        <v>-1022.58</v>
      </c>
      <c r="C125" s="61">
        <v>46034.0</v>
      </c>
      <c r="D125" s="52" t="s">
        <v>14</v>
      </c>
      <c r="E125" s="52" t="s">
        <v>62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52" t="s">
        <v>39</v>
      </c>
      <c r="B126" s="52">
        <v>-1255.65</v>
      </c>
      <c r="C126" s="61">
        <v>46034.0</v>
      </c>
      <c r="D126" s="52" t="s">
        <v>14</v>
      </c>
      <c r="E126" s="52" t="s">
        <v>63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52" t="s">
        <v>39</v>
      </c>
      <c r="B127" s="52">
        <v>-1000.65</v>
      </c>
      <c r="C127" s="61">
        <v>46034.0</v>
      </c>
      <c r="D127" s="52" t="s">
        <v>15</v>
      </c>
      <c r="E127" s="55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52" t="s">
        <v>39</v>
      </c>
      <c r="B128" s="52">
        <v>-2045.17</v>
      </c>
      <c r="C128" s="61">
        <v>46034.0</v>
      </c>
      <c r="D128" s="52" t="s">
        <v>16</v>
      </c>
      <c r="E128" s="55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52" t="s">
        <v>39</v>
      </c>
      <c r="B129" s="52">
        <v>-4590.342</v>
      </c>
      <c r="C129" s="61">
        <v>46034.0</v>
      </c>
      <c r="D129" s="52" t="s">
        <v>19</v>
      </c>
      <c r="E129" s="55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52" t="s">
        <v>39</v>
      </c>
      <c r="B130" s="56">
        <v>-2000.0</v>
      </c>
      <c r="C130" s="61">
        <v>46034.0</v>
      </c>
      <c r="D130" s="52" t="s">
        <v>20</v>
      </c>
      <c r="E130" s="55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52" t="s">
        <v>39</v>
      </c>
      <c r="B131" s="52">
        <v>-1022.58</v>
      </c>
      <c r="C131" s="61">
        <v>46034.0</v>
      </c>
      <c r="D131" s="52" t="s">
        <v>21</v>
      </c>
      <c r="E131" s="55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52" t="s">
        <v>39</v>
      </c>
      <c r="B132" s="56">
        <v>-2000.0</v>
      </c>
      <c r="C132" s="61">
        <v>46034.0</v>
      </c>
      <c r="D132" s="52" t="s">
        <v>22</v>
      </c>
      <c r="E132" s="55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52" t="s">
        <v>44</v>
      </c>
      <c r="B133" s="52">
        <v>-102.3</v>
      </c>
      <c r="C133" s="61">
        <v>46034.0</v>
      </c>
      <c r="D133" s="52" t="s">
        <v>14</v>
      </c>
      <c r="E133" s="52" t="s">
        <v>48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52" t="s">
        <v>44</v>
      </c>
      <c r="B134" s="52">
        <v>-124.5</v>
      </c>
      <c r="C134" s="61">
        <v>46034.0</v>
      </c>
      <c r="D134" s="52" t="s">
        <v>14</v>
      </c>
      <c r="E134" s="52" t="s">
        <v>53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52" t="s">
        <v>39</v>
      </c>
      <c r="B135" s="52">
        <v>-555.0</v>
      </c>
      <c r="C135" s="61">
        <v>46034.0</v>
      </c>
      <c r="D135" s="52" t="s">
        <v>16</v>
      </c>
      <c r="E135" s="52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52" t="s">
        <v>39</v>
      </c>
      <c r="B136" s="52">
        <v>555.0</v>
      </c>
      <c r="C136" s="61">
        <v>46034.0</v>
      </c>
      <c r="D136" s="52" t="s">
        <v>2</v>
      </c>
      <c r="E136" s="52" t="s">
        <v>55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52" t="s">
        <v>36</v>
      </c>
      <c r="B137" s="52">
        <v>-5987.93</v>
      </c>
      <c r="C137" s="61">
        <v>46035.0</v>
      </c>
      <c r="D137" s="52" t="s">
        <v>1</v>
      </c>
      <c r="E137" s="55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52" t="s">
        <v>36</v>
      </c>
      <c r="B138" s="52">
        <v>-2123.24</v>
      </c>
      <c r="C138" s="61">
        <v>46035.0</v>
      </c>
      <c r="D138" s="52" t="s">
        <v>5</v>
      </c>
      <c r="E138" s="55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52" t="s">
        <v>36</v>
      </c>
      <c r="B139" s="52">
        <v>-12495.02</v>
      </c>
      <c r="C139" s="61">
        <v>46035.0</v>
      </c>
      <c r="D139" s="52" t="s">
        <v>2</v>
      </c>
      <c r="E139" s="55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52" t="s">
        <v>36</v>
      </c>
      <c r="B140" s="52">
        <v>-10453.3</v>
      </c>
      <c r="C140" s="61">
        <v>46035.0</v>
      </c>
      <c r="D140" s="52" t="s">
        <v>3</v>
      </c>
      <c r="E140" s="55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52" t="s">
        <v>36</v>
      </c>
      <c r="B141" s="52">
        <v>-6927.1</v>
      </c>
      <c r="C141" s="61">
        <v>46035.0</v>
      </c>
      <c r="D141" s="52" t="s">
        <v>14</v>
      </c>
      <c r="E141" s="55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52" t="s">
        <v>36</v>
      </c>
      <c r="B142" s="52">
        <v>-4456.32</v>
      </c>
      <c r="C142" s="61">
        <v>46035.0</v>
      </c>
      <c r="D142" s="52" t="s">
        <v>15</v>
      </c>
      <c r="E142" s="55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52" t="s">
        <v>36</v>
      </c>
      <c r="B143" s="52">
        <v>-4859.05</v>
      </c>
      <c r="C143" s="61">
        <v>46035.0</v>
      </c>
      <c r="D143" s="52" t="s">
        <v>16</v>
      </c>
      <c r="E143" s="55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52" t="s">
        <v>36</v>
      </c>
      <c r="B144" s="52">
        <v>-5409.22</v>
      </c>
      <c r="C144" s="61">
        <v>46035.0</v>
      </c>
      <c r="D144" s="52" t="s">
        <v>19</v>
      </c>
      <c r="E144" s="55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52" t="s">
        <v>36</v>
      </c>
      <c r="B145" s="52">
        <v>-4788.98</v>
      </c>
      <c r="C145" s="61">
        <v>46035.0</v>
      </c>
      <c r="D145" s="52" t="s">
        <v>20</v>
      </c>
      <c r="E145" s="55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52" t="s">
        <v>36</v>
      </c>
      <c r="B146" s="52">
        <v>-4895.07</v>
      </c>
      <c r="C146" s="61">
        <v>46035.0</v>
      </c>
      <c r="D146" s="52" t="s">
        <v>21</v>
      </c>
      <c r="E146" s="55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52" t="s">
        <v>36</v>
      </c>
      <c r="B147" s="52">
        <v>-12919.15</v>
      </c>
      <c r="C147" s="61">
        <v>46035.0</v>
      </c>
      <c r="D147" s="52" t="s">
        <v>22</v>
      </c>
      <c r="E147" s="55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52" t="s">
        <v>39</v>
      </c>
      <c r="B148" s="56">
        <v>-2000.0</v>
      </c>
      <c r="C148" s="61">
        <v>46035.0</v>
      </c>
      <c r="D148" s="52" t="s">
        <v>14</v>
      </c>
      <c r="E148" s="55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52" t="s">
        <v>39</v>
      </c>
      <c r="B149" s="52">
        <v>-637.26</v>
      </c>
      <c r="C149" s="61">
        <v>46035.0</v>
      </c>
      <c r="D149" s="52" t="s">
        <v>22</v>
      </c>
      <c r="E149" s="52" t="s">
        <v>47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52" t="s">
        <v>44</v>
      </c>
      <c r="B150" s="52">
        <v>-12.5</v>
      </c>
      <c r="C150" s="61">
        <v>46035.0</v>
      </c>
      <c r="D150" s="52" t="s">
        <v>14</v>
      </c>
      <c r="E150" s="52" t="s">
        <v>64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52" t="s">
        <v>44</v>
      </c>
      <c r="B151" s="52">
        <v>-58.6</v>
      </c>
      <c r="C151" s="61">
        <v>46035.0</v>
      </c>
      <c r="D151" s="52" t="s">
        <v>14</v>
      </c>
      <c r="E151" s="52" t="s">
        <v>53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52" t="s">
        <v>44</v>
      </c>
      <c r="B152" s="52">
        <v>-52.9</v>
      </c>
      <c r="C152" s="61">
        <v>46035.0</v>
      </c>
      <c r="D152" s="52" t="s">
        <v>16</v>
      </c>
      <c r="E152" s="52" t="s">
        <v>59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52" t="s">
        <v>39</v>
      </c>
      <c r="B153" s="56">
        <v>-500.0</v>
      </c>
      <c r="C153" s="61">
        <v>46036.0</v>
      </c>
      <c r="D153" s="52" t="s">
        <v>5</v>
      </c>
      <c r="E153" s="55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52" t="s">
        <v>39</v>
      </c>
      <c r="B154" s="56">
        <v>-600.0</v>
      </c>
      <c r="C154" s="61">
        <v>46036.0</v>
      </c>
      <c r="D154" s="52" t="s">
        <v>15</v>
      </c>
      <c r="E154" s="55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52" t="s">
        <v>39</v>
      </c>
      <c r="B155" s="56">
        <v>-1000.0</v>
      </c>
      <c r="C155" s="61">
        <v>46036.0</v>
      </c>
      <c r="D155" s="52" t="s">
        <v>16</v>
      </c>
      <c r="E155" s="55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52" t="s">
        <v>39</v>
      </c>
      <c r="B156" s="52">
        <v>-1714.71</v>
      </c>
      <c r="C156" s="61">
        <v>46036.0</v>
      </c>
      <c r="D156" s="52" t="s">
        <v>19</v>
      </c>
      <c r="E156" s="55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52" t="s">
        <v>39</v>
      </c>
      <c r="B157" s="56">
        <v>-2000.0</v>
      </c>
      <c r="C157" s="61">
        <v>46036.0</v>
      </c>
      <c r="D157" s="52" t="s">
        <v>21</v>
      </c>
      <c r="E157" s="55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52" t="s">
        <v>39</v>
      </c>
      <c r="B158" s="56">
        <v>-2000.0</v>
      </c>
      <c r="C158" s="61">
        <v>46036.0</v>
      </c>
      <c r="D158" s="52" t="s">
        <v>22</v>
      </c>
      <c r="E158" s="55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52" t="s">
        <v>65</v>
      </c>
      <c r="B159" s="52">
        <v>-407.55</v>
      </c>
      <c r="C159" s="61">
        <v>46036.0</v>
      </c>
      <c r="D159" s="52" t="s">
        <v>2</v>
      </c>
      <c r="E159" s="55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52" t="s">
        <v>65</v>
      </c>
      <c r="B160" s="52">
        <v>-51.95</v>
      </c>
      <c r="C160" s="61">
        <v>46036.0</v>
      </c>
      <c r="D160" s="52" t="s">
        <v>16</v>
      </c>
      <c r="E160" s="55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52" t="s">
        <v>65</v>
      </c>
      <c r="B161" s="52">
        <v>-1501.11</v>
      </c>
      <c r="C161" s="61">
        <v>46036.0</v>
      </c>
      <c r="D161" s="52" t="s">
        <v>20</v>
      </c>
      <c r="E161" s="55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52" t="s">
        <v>65</v>
      </c>
      <c r="B162" s="52">
        <v>-24.38</v>
      </c>
      <c r="C162" s="61">
        <v>46036.0</v>
      </c>
      <c r="D162" s="52" t="s">
        <v>22</v>
      </c>
      <c r="E162" s="55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52" t="s">
        <v>44</v>
      </c>
      <c r="B163" s="56">
        <v>-370.0</v>
      </c>
      <c r="C163" s="61">
        <v>46036.0</v>
      </c>
      <c r="D163" s="52" t="s">
        <v>2</v>
      </c>
      <c r="E163" s="52" t="s">
        <v>49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52" t="s">
        <v>44</v>
      </c>
      <c r="B164" s="56">
        <v>-86.0</v>
      </c>
      <c r="C164" s="61">
        <v>46036.0</v>
      </c>
      <c r="D164" s="52" t="s">
        <v>14</v>
      </c>
      <c r="E164" s="52" t="s">
        <v>53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52" t="s">
        <v>66</v>
      </c>
      <c r="B165" s="52">
        <v>-1533.88</v>
      </c>
      <c r="C165" s="61">
        <v>46037.0</v>
      </c>
      <c r="D165" s="52" t="s">
        <v>21</v>
      </c>
      <c r="E165" s="55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52" t="s">
        <v>44</v>
      </c>
      <c r="B166" s="52">
        <v>-12.19</v>
      </c>
      <c r="C166" s="61">
        <v>46037.0</v>
      </c>
      <c r="D166" s="52" t="s">
        <v>3</v>
      </c>
      <c r="E166" s="52" t="s">
        <v>67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52" t="s">
        <v>44</v>
      </c>
      <c r="B167" s="52">
        <v>-38.3</v>
      </c>
      <c r="C167" s="61">
        <v>46037.0</v>
      </c>
      <c r="D167" s="52" t="s">
        <v>3</v>
      </c>
      <c r="E167" s="52" t="s">
        <v>68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52" t="s">
        <v>44</v>
      </c>
      <c r="B168" s="56">
        <v>-69.0</v>
      </c>
      <c r="C168" s="61">
        <v>46037.0</v>
      </c>
      <c r="D168" s="52" t="s">
        <v>14</v>
      </c>
      <c r="E168" s="52" t="s">
        <v>53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52" t="s">
        <v>44</v>
      </c>
      <c r="B169" s="52">
        <v>-207.32</v>
      </c>
      <c r="C169" s="61">
        <v>46037.0</v>
      </c>
      <c r="D169" s="52" t="s">
        <v>16</v>
      </c>
      <c r="E169" s="52" t="s">
        <v>59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52" t="s">
        <v>39</v>
      </c>
      <c r="B170" s="56">
        <v>450.0</v>
      </c>
      <c r="C170" s="61">
        <v>46038.0</v>
      </c>
      <c r="D170" s="52" t="s">
        <v>5</v>
      </c>
      <c r="E170" s="52" t="s">
        <v>55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52" t="s">
        <v>39</v>
      </c>
      <c r="B171" s="52">
        <v>-255.65</v>
      </c>
      <c r="C171" s="61">
        <v>46038.0</v>
      </c>
      <c r="D171" s="52" t="s">
        <v>15</v>
      </c>
      <c r="E171" s="55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52" t="s">
        <v>39</v>
      </c>
      <c r="B172" s="56">
        <v>-500.0</v>
      </c>
      <c r="C172" s="61">
        <v>46038.0</v>
      </c>
      <c r="D172" s="52" t="s">
        <v>16</v>
      </c>
      <c r="E172" s="55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52" t="s">
        <v>39</v>
      </c>
      <c r="B173" s="56">
        <v>-500.0</v>
      </c>
      <c r="C173" s="61">
        <v>46038.0</v>
      </c>
      <c r="D173" s="52" t="s">
        <v>19</v>
      </c>
      <c r="E173" s="55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52" t="s">
        <v>39</v>
      </c>
      <c r="B174" s="52">
        <v>-511.29</v>
      </c>
      <c r="C174" s="61">
        <v>46038.0</v>
      </c>
      <c r="D174" s="52" t="s">
        <v>21</v>
      </c>
      <c r="E174" s="55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52" t="s">
        <v>39</v>
      </c>
      <c r="B175" s="56">
        <v>-1000.0</v>
      </c>
      <c r="C175" s="61">
        <v>46038.0</v>
      </c>
      <c r="D175" s="52" t="s">
        <v>22</v>
      </c>
      <c r="E175" s="55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52" t="s">
        <v>39</v>
      </c>
      <c r="B176" s="52">
        <v>-662.803</v>
      </c>
      <c r="C176" s="61">
        <v>46038.0</v>
      </c>
      <c r="D176" s="52" t="s">
        <v>22</v>
      </c>
      <c r="E176" s="52" t="s">
        <v>47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52" t="s">
        <v>56</v>
      </c>
      <c r="B177" s="52">
        <v>-25.05</v>
      </c>
      <c r="C177" s="61">
        <v>46038.0</v>
      </c>
      <c r="D177" s="52" t="s">
        <v>5</v>
      </c>
      <c r="E177" s="55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52" t="s">
        <v>56</v>
      </c>
      <c r="B178" s="52">
        <v>-2.56</v>
      </c>
      <c r="C178" s="61">
        <v>46038.0</v>
      </c>
      <c r="D178" s="52" t="s">
        <v>16</v>
      </c>
      <c r="E178" s="55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52" t="s">
        <v>56</v>
      </c>
      <c r="B179" s="52">
        <v>-103.28</v>
      </c>
      <c r="C179" s="61">
        <v>46038.0</v>
      </c>
      <c r="D179" s="52" t="s">
        <v>19</v>
      </c>
      <c r="E179" s="55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52" t="s">
        <v>36</v>
      </c>
      <c r="B180" s="52">
        <v>-6604.29</v>
      </c>
      <c r="C180" s="61">
        <v>46041.0</v>
      </c>
      <c r="D180" s="52" t="s">
        <v>1</v>
      </c>
      <c r="E180" s="55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52" t="s">
        <v>36</v>
      </c>
      <c r="B181" s="52">
        <v>-14604.54</v>
      </c>
      <c r="C181" s="61">
        <v>46041.0</v>
      </c>
      <c r="D181" s="52" t="s">
        <v>2</v>
      </c>
      <c r="E181" s="55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52" t="s">
        <v>36</v>
      </c>
      <c r="B182" s="52">
        <v>-12029.91</v>
      </c>
      <c r="C182" s="61">
        <v>46041.0</v>
      </c>
      <c r="D182" s="52" t="s">
        <v>3</v>
      </c>
      <c r="E182" s="55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52" t="s">
        <v>36</v>
      </c>
      <c r="B183" s="52">
        <v>-5082.64</v>
      </c>
      <c r="C183" s="61">
        <v>46041.0</v>
      </c>
      <c r="D183" s="52" t="s">
        <v>15</v>
      </c>
      <c r="E183" s="55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52" t="s">
        <v>36</v>
      </c>
      <c r="B184" s="52">
        <v>-5846.82</v>
      </c>
      <c r="C184" s="61">
        <v>46041.0</v>
      </c>
      <c r="D184" s="52" t="s">
        <v>16</v>
      </c>
      <c r="E184" s="55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52" t="s">
        <v>36</v>
      </c>
      <c r="B185" s="52">
        <v>-6480.96</v>
      </c>
      <c r="C185" s="61">
        <v>46041.0</v>
      </c>
      <c r="D185" s="52" t="s">
        <v>19</v>
      </c>
      <c r="E185" s="55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52" t="s">
        <v>36</v>
      </c>
      <c r="B186" s="52">
        <v>-4714.62</v>
      </c>
      <c r="C186" s="61">
        <v>46041.0</v>
      </c>
      <c r="D186" s="52" t="s">
        <v>20</v>
      </c>
      <c r="E186" s="55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52" t="s">
        <v>36</v>
      </c>
      <c r="B187" s="52">
        <v>-6039.8</v>
      </c>
      <c r="C187" s="61">
        <v>46041.0</v>
      </c>
      <c r="D187" s="52" t="s">
        <v>21</v>
      </c>
      <c r="E187" s="55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52" t="s">
        <v>36</v>
      </c>
      <c r="B188" s="52">
        <v>-8200.57</v>
      </c>
      <c r="C188" s="61">
        <v>46041.0</v>
      </c>
      <c r="D188" s="52" t="s">
        <v>22</v>
      </c>
      <c r="E188" s="55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52" t="s">
        <v>39</v>
      </c>
      <c r="B189" s="56">
        <v>-222.0</v>
      </c>
      <c r="C189" s="61">
        <v>46041.0</v>
      </c>
      <c r="D189" s="52" t="s">
        <v>1</v>
      </c>
      <c r="E189" s="55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52" t="s">
        <v>39</v>
      </c>
      <c r="B190" s="56">
        <v>-1500.0</v>
      </c>
      <c r="C190" s="61">
        <v>46041.0</v>
      </c>
      <c r="D190" s="52" t="s">
        <v>5</v>
      </c>
      <c r="E190" s="55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52" t="s">
        <v>39</v>
      </c>
      <c r="B191" s="56">
        <v>222.0</v>
      </c>
      <c r="C191" s="61">
        <v>46041.0</v>
      </c>
      <c r="D191" s="52" t="s">
        <v>2</v>
      </c>
      <c r="E191" s="52" t="s">
        <v>55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52" t="s">
        <v>39</v>
      </c>
      <c r="B192" s="56">
        <v>-1000.0</v>
      </c>
      <c r="C192" s="61">
        <v>46041.0</v>
      </c>
      <c r="D192" s="52" t="s">
        <v>14</v>
      </c>
      <c r="E192" s="55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52" t="s">
        <v>39</v>
      </c>
      <c r="B193" s="52">
        <v>-999.997</v>
      </c>
      <c r="C193" s="61">
        <v>46041.0</v>
      </c>
      <c r="D193" s="52" t="s">
        <v>15</v>
      </c>
      <c r="E193" s="55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52" t="s">
        <v>39</v>
      </c>
      <c r="B194" s="52">
        <v>-4589.52</v>
      </c>
      <c r="C194" s="61">
        <v>46041.0</v>
      </c>
      <c r="D194" s="52" t="s">
        <v>19</v>
      </c>
      <c r="E194" s="55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52" t="s">
        <v>39</v>
      </c>
      <c r="B195" s="52">
        <v>-2556.46</v>
      </c>
      <c r="C195" s="61">
        <v>46041.0</v>
      </c>
      <c r="D195" s="52" t="s">
        <v>21</v>
      </c>
      <c r="E195" s="55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52" t="s">
        <v>39</v>
      </c>
      <c r="B196" s="56">
        <v>-3000.0</v>
      </c>
      <c r="C196" s="61">
        <v>46041.0</v>
      </c>
      <c r="D196" s="52" t="s">
        <v>22</v>
      </c>
      <c r="E196" s="55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52" t="s">
        <v>65</v>
      </c>
      <c r="B197" s="52">
        <v>-2561.98</v>
      </c>
      <c r="C197" s="61">
        <v>46041.0</v>
      </c>
      <c r="D197" s="52" t="s">
        <v>5</v>
      </c>
      <c r="E197" s="55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52" t="s">
        <v>65</v>
      </c>
      <c r="B198" s="52">
        <v>-8145.42</v>
      </c>
      <c r="C198" s="61">
        <v>46041.0</v>
      </c>
      <c r="D198" s="52" t="s">
        <v>14</v>
      </c>
      <c r="E198" s="55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52" t="s">
        <v>44</v>
      </c>
      <c r="B199" s="52">
        <v>-511.29</v>
      </c>
      <c r="C199" s="61">
        <v>46041.0</v>
      </c>
      <c r="D199" s="52" t="s">
        <v>14</v>
      </c>
      <c r="E199" s="52" t="s">
        <v>69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52" t="s">
        <v>44</v>
      </c>
      <c r="B200" s="56">
        <v>-159.0</v>
      </c>
      <c r="C200" s="61">
        <v>46041.0</v>
      </c>
      <c r="D200" s="52" t="s">
        <v>14</v>
      </c>
      <c r="E200" s="52" t="s">
        <v>70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52" t="s">
        <v>44</v>
      </c>
      <c r="B201" s="56">
        <v>-26.0</v>
      </c>
      <c r="C201" s="61">
        <v>46041.0</v>
      </c>
      <c r="D201" s="52" t="s">
        <v>16</v>
      </c>
      <c r="E201" s="52" t="s">
        <v>71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52" t="s">
        <v>44</v>
      </c>
      <c r="B202" s="56">
        <v>-220.0</v>
      </c>
      <c r="C202" s="61">
        <v>46041.0</v>
      </c>
      <c r="D202" s="52" t="s">
        <v>19</v>
      </c>
      <c r="E202" s="52" t="s">
        <v>72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52" t="s">
        <v>39</v>
      </c>
      <c r="B203" s="56">
        <v>-600.0</v>
      </c>
      <c r="C203" s="61">
        <v>46043.0</v>
      </c>
      <c r="D203" s="52" t="s">
        <v>5</v>
      </c>
      <c r="E203" s="55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52" t="s">
        <v>39</v>
      </c>
      <c r="B204" s="56">
        <v>227.0</v>
      </c>
      <c r="C204" s="61">
        <v>46043.0</v>
      </c>
      <c r="D204" s="52" t="s">
        <v>5</v>
      </c>
      <c r="E204" s="52" t="s">
        <v>55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52" t="s">
        <v>39</v>
      </c>
      <c r="B205" s="56">
        <v>961.0</v>
      </c>
      <c r="C205" s="61">
        <v>46043.0</v>
      </c>
      <c r="D205" s="52" t="s">
        <v>2</v>
      </c>
      <c r="E205" s="52" t="s">
        <v>55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52" t="s">
        <v>39</v>
      </c>
      <c r="B206" s="52">
        <v>-255.65</v>
      </c>
      <c r="C206" s="61">
        <v>46043.0</v>
      </c>
      <c r="D206" s="52" t="s">
        <v>15</v>
      </c>
      <c r="E206" s="55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52" t="s">
        <v>39</v>
      </c>
      <c r="B207" s="56">
        <v>-1000.0</v>
      </c>
      <c r="C207" s="61">
        <v>46043.0</v>
      </c>
      <c r="D207" s="52" t="s">
        <v>16</v>
      </c>
      <c r="E207" s="55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52" t="s">
        <v>39</v>
      </c>
      <c r="B208" s="56">
        <v>394.0</v>
      </c>
      <c r="C208" s="61">
        <v>46043.0</v>
      </c>
      <c r="D208" s="52" t="s">
        <v>19</v>
      </c>
      <c r="E208" s="52" t="s">
        <v>55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52" t="s">
        <v>39</v>
      </c>
      <c r="B209" s="56">
        <v>-1500.0</v>
      </c>
      <c r="C209" s="61">
        <v>46043.0</v>
      </c>
      <c r="D209" s="52" t="s">
        <v>21</v>
      </c>
      <c r="E209" s="55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52" t="s">
        <v>39</v>
      </c>
      <c r="B210" s="56">
        <v>394.0</v>
      </c>
      <c r="C210" s="61">
        <v>46043.0</v>
      </c>
      <c r="D210" s="52" t="s">
        <v>21</v>
      </c>
      <c r="E210" s="52" t="s">
        <v>55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52" t="s">
        <v>39</v>
      </c>
      <c r="B211" s="56">
        <v>-500.0</v>
      </c>
      <c r="C211" s="61">
        <v>46043.0</v>
      </c>
      <c r="D211" s="52" t="s">
        <v>22</v>
      </c>
      <c r="E211" s="55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52" t="s">
        <v>39</v>
      </c>
      <c r="B212" s="52">
        <v>-638.25</v>
      </c>
      <c r="C212" s="61">
        <v>46043.0</v>
      </c>
      <c r="D212" s="52" t="s">
        <v>22</v>
      </c>
      <c r="E212" s="52" t="s">
        <v>47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52" t="s">
        <v>56</v>
      </c>
      <c r="B213" s="52">
        <v>409.03</v>
      </c>
      <c r="C213" s="61">
        <v>46043.0</v>
      </c>
      <c r="D213" s="52" t="s">
        <v>1</v>
      </c>
      <c r="E213" s="52" t="s">
        <v>73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52" t="s">
        <v>56</v>
      </c>
      <c r="B214" s="52">
        <v>511.29</v>
      </c>
      <c r="C214" s="61">
        <v>46043.0</v>
      </c>
      <c r="D214" s="52" t="s">
        <v>5</v>
      </c>
      <c r="E214" s="52" t="s">
        <v>73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52" t="s">
        <v>56</v>
      </c>
      <c r="B215" s="52">
        <v>920.33</v>
      </c>
      <c r="C215" s="61">
        <v>46043.0</v>
      </c>
      <c r="D215" s="52" t="s">
        <v>2</v>
      </c>
      <c r="E215" s="52" t="s">
        <v>73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52" t="s">
        <v>56</v>
      </c>
      <c r="B216" s="52">
        <v>920.33</v>
      </c>
      <c r="C216" s="61">
        <v>46043.0</v>
      </c>
      <c r="D216" s="52" t="s">
        <v>3</v>
      </c>
      <c r="E216" s="52" t="s">
        <v>73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52" t="s">
        <v>56</v>
      </c>
      <c r="B217" s="52">
        <v>715.81</v>
      </c>
      <c r="C217" s="61">
        <v>46043.0</v>
      </c>
      <c r="D217" s="52" t="s">
        <v>14</v>
      </c>
      <c r="E217" s="52" t="s">
        <v>73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52" t="s">
        <v>56</v>
      </c>
      <c r="B218" s="52">
        <v>511.29</v>
      </c>
      <c r="C218" s="61">
        <v>46043.0</v>
      </c>
      <c r="D218" s="52" t="s">
        <v>15</v>
      </c>
      <c r="E218" s="52" t="s">
        <v>73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52" t="s">
        <v>56</v>
      </c>
      <c r="B219" s="52">
        <v>920.33</v>
      </c>
      <c r="C219" s="61">
        <v>46043.0</v>
      </c>
      <c r="D219" s="52" t="s">
        <v>16</v>
      </c>
      <c r="E219" s="52" t="s">
        <v>73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52" t="s">
        <v>56</v>
      </c>
      <c r="B220" s="52">
        <v>511.29</v>
      </c>
      <c r="C220" s="61">
        <v>46043.0</v>
      </c>
      <c r="D220" s="52" t="s">
        <v>19</v>
      </c>
      <c r="E220" s="52" t="s">
        <v>73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52" t="s">
        <v>56</v>
      </c>
      <c r="B221" s="52">
        <v>409.03</v>
      </c>
      <c r="C221" s="61">
        <v>46043.0</v>
      </c>
      <c r="D221" s="52" t="s">
        <v>20</v>
      </c>
      <c r="E221" s="52" t="s">
        <v>73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52" t="s">
        <v>56</v>
      </c>
      <c r="B222" s="52">
        <v>818.07</v>
      </c>
      <c r="C222" s="61">
        <v>46043.0</v>
      </c>
      <c r="D222" s="52" t="s">
        <v>21</v>
      </c>
      <c r="E222" s="52" t="s">
        <v>73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52" t="s">
        <v>56</v>
      </c>
      <c r="B223" s="52">
        <v>1022.58</v>
      </c>
      <c r="C223" s="61">
        <v>46043.0</v>
      </c>
      <c r="D223" s="52" t="s">
        <v>22</v>
      </c>
      <c r="E223" s="52" t="s">
        <v>73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52" t="s">
        <v>44</v>
      </c>
      <c r="B224" s="56">
        <v>-8.0</v>
      </c>
      <c r="C224" s="61">
        <v>46043.0</v>
      </c>
      <c r="D224" s="52" t="s">
        <v>3</v>
      </c>
      <c r="E224" s="52" t="s">
        <v>74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52" t="s">
        <v>44</v>
      </c>
      <c r="B225" s="56">
        <v>-95.0</v>
      </c>
      <c r="C225" s="61">
        <v>46043.0</v>
      </c>
      <c r="D225" s="52" t="s">
        <v>14</v>
      </c>
      <c r="E225" s="52" t="s">
        <v>53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52" t="s">
        <v>44</v>
      </c>
      <c r="B226" s="52">
        <v>-102.26</v>
      </c>
      <c r="C226" s="61">
        <v>46043.0</v>
      </c>
      <c r="D226" s="52" t="s">
        <v>16</v>
      </c>
      <c r="E226" s="52" t="s">
        <v>75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52" t="s">
        <v>66</v>
      </c>
      <c r="B227" s="52">
        <v>-2000.0</v>
      </c>
      <c r="C227" s="61">
        <v>46042.0</v>
      </c>
      <c r="D227" s="52" t="s">
        <v>16</v>
      </c>
      <c r="E227" s="52" t="s">
        <v>76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52" t="s">
        <v>39</v>
      </c>
      <c r="B228" s="52">
        <v>-785.54</v>
      </c>
      <c r="C228" s="61">
        <v>46045.0</v>
      </c>
      <c r="D228" s="52" t="s">
        <v>22</v>
      </c>
      <c r="E228" s="52" t="s">
        <v>47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52" t="s">
        <v>65</v>
      </c>
      <c r="B229" s="52">
        <v>-186.13</v>
      </c>
      <c r="C229" s="61">
        <v>46044.0</v>
      </c>
      <c r="D229" s="52" t="s">
        <v>20</v>
      </c>
      <c r="E229" s="55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52" t="s">
        <v>65</v>
      </c>
      <c r="B230" s="52">
        <v>-4545.75</v>
      </c>
      <c r="C230" s="61">
        <v>46044.0</v>
      </c>
      <c r="D230" s="52" t="s">
        <v>22</v>
      </c>
      <c r="E230" s="55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52" t="s">
        <v>44</v>
      </c>
      <c r="B231" s="52">
        <v>-128.05</v>
      </c>
      <c r="C231" s="61">
        <v>46045.0</v>
      </c>
      <c r="D231" s="52" t="s">
        <v>16</v>
      </c>
      <c r="E231" s="52" t="s">
        <v>59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52" t="s">
        <v>44</v>
      </c>
      <c r="B232" s="56">
        <v>-350.0</v>
      </c>
      <c r="C232" s="61">
        <v>46045.0</v>
      </c>
      <c r="D232" s="52" t="s">
        <v>21</v>
      </c>
      <c r="E232" s="52" t="s">
        <v>77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52" t="s">
        <v>39</v>
      </c>
      <c r="B233" s="56">
        <v>660.0</v>
      </c>
      <c r="C233" s="61">
        <v>46045.0</v>
      </c>
      <c r="D233" s="52" t="s">
        <v>1</v>
      </c>
      <c r="E233" s="52" t="s">
        <v>55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52" t="s">
        <v>39</v>
      </c>
      <c r="B234" s="56">
        <v>-500.0</v>
      </c>
      <c r="C234" s="61">
        <v>46045.0</v>
      </c>
      <c r="D234" s="52" t="s">
        <v>5</v>
      </c>
      <c r="E234" s="52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52" t="s">
        <v>39</v>
      </c>
      <c r="B235" s="56">
        <v>-1000.0</v>
      </c>
      <c r="C235" s="61">
        <v>46045.0</v>
      </c>
      <c r="D235" s="52" t="s">
        <v>16</v>
      </c>
      <c r="E235" s="55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52" t="s">
        <v>39</v>
      </c>
      <c r="B236" s="56">
        <v>-1000.0</v>
      </c>
      <c r="C236" s="61">
        <v>46045.0</v>
      </c>
      <c r="D236" s="52" t="s">
        <v>19</v>
      </c>
      <c r="E236" s="55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52" t="s">
        <v>44</v>
      </c>
      <c r="B237" s="56">
        <v>-22.0</v>
      </c>
      <c r="C237" s="61">
        <v>46045.0</v>
      </c>
      <c r="D237" s="52" t="s">
        <v>16</v>
      </c>
      <c r="E237" s="52" t="s">
        <v>71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52" t="s">
        <v>36</v>
      </c>
      <c r="B238" s="52">
        <v>-4153.54</v>
      </c>
      <c r="C238" s="61">
        <v>46048.0</v>
      </c>
      <c r="D238" s="52" t="s">
        <v>1</v>
      </c>
      <c r="E238" s="55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52" t="s">
        <v>36</v>
      </c>
      <c r="B239" s="52">
        <v>-2650.21</v>
      </c>
      <c r="C239" s="61">
        <v>46048.0</v>
      </c>
      <c r="D239" s="52" t="s">
        <v>5</v>
      </c>
      <c r="E239" s="55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52" t="s">
        <v>36</v>
      </c>
      <c r="B240" s="52">
        <v>-13777.21</v>
      </c>
      <c r="C240" s="61">
        <v>46048.0</v>
      </c>
      <c r="D240" s="52" t="s">
        <v>2</v>
      </c>
      <c r="E240" s="55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52" t="s">
        <v>36</v>
      </c>
      <c r="B241" s="52">
        <v>-12698.31</v>
      </c>
      <c r="C241" s="61">
        <v>46048.0</v>
      </c>
      <c r="D241" s="52" t="s">
        <v>3</v>
      </c>
      <c r="E241" s="55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52" t="s">
        <v>36</v>
      </c>
      <c r="B242" s="52">
        <v>-8880.56</v>
      </c>
      <c r="C242" s="61">
        <v>46048.0</v>
      </c>
      <c r="D242" s="52" t="s">
        <v>14</v>
      </c>
      <c r="E242" s="55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52" t="s">
        <v>36</v>
      </c>
      <c r="B243" s="52">
        <v>-5375.43</v>
      </c>
      <c r="C243" s="61">
        <v>46048.0</v>
      </c>
      <c r="D243" s="52" t="s">
        <v>15</v>
      </c>
      <c r="E243" s="55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52" t="s">
        <v>36</v>
      </c>
      <c r="B244" s="52">
        <v>-5840.18</v>
      </c>
      <c r="C244" s="61">
        <v>46048.0</v>
      </c>
      <c r="D244" s="52" t="s">
        <v>16</v>
      </c>
      <c r="E244" s="55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52" t="s">
        <v>36</v>
      </c>
      <c r="B245" s="52">
        <v>-6253.31</v>
      </c>
      <c r="C245" s="61">
        <v>46048.0</v>
      </c>
      <c r="D245" s="52" t="s">
        <v>19</v>
      </c>
      <c r="E245" s="55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52" t="s">
        <v>36</v>
      </c>
      <c r="B246" s="52">
        <v>-4554.61</v>
      </c>
      <c r="C246" s="61">
        <v>46048.0</v>
      </c>
      <c r="D246" s="52" t="s">
        <v>20</v>
      </c>
      <c r="E246" s="55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52" t="s">
        <v>36</v>
      </c>
      <c r="B247" s="52">
        <v>-4097.82</v>
      </c>
      <c r="C247" s="61">
        <v>46048.0</v>
      </c>
      <c r="D247" s="52" t="s">
        <v>21</v>
      </c>
      <c r="E247" s="55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52" t="s">
        <v>36</v>
      </c>
      <c r="B248" s="52">
        <v>-7576.36</v>
      </c>
      <c r="C248" s="61">
        <v>46048.0</v>
      </c>
      <c r="D248" s="52" t="s">
        <v>22</v>
      </c>
      <c r="E248" s="55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52" t="s">
        <v>39</v>
      </c>
      <c r="B249" s="52">
        <v>-255.654</v>
      </c>
      <c r="C249" s="61">
        <v>46048.0</v>
      </c>
      <c r="D249" s="52" t="s">
        <v>1</v>
      </c>
      <c r="E249" s="55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52" t="s">
        <v>39</v>
      </c>
      <c r="B250" s="56">
        <v>-2000.0</v>
      </c>
      <c r="C250" s="61">
        <v>46048.0</v>
      </c>
      <c r="D250" s="52" t="s">
        <v>5</v>
      </c>
      <c r="E250" s="55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52" t="s">
        <v>39</v>
      </c>
      <c r="B251" s="56">
        <v>-1000.0</v>
      </c>
      <c r="C251" s="61">
        <v>46048.0</v>
      </c>
      <c r="D251" s="52" t="s">
        <v>14</v>
      </c>
      <c r="E251" s="55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52" t="s">
        <v>39</v>
      </c>
      <c r="B252" s="52">
        <v>-511.29</v>
      </c>
      <c r="C252" s="61">
        <v>46048.0</v>
      </c>
      <c r="D252" s="52" t="s">
        <v>15</v>
      </c>
      <c r="E252" s="55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52" t="s">
        <v>39</v>
      </c>
      <c r="B253" s="56">
        <v>-2000.0</v>
      </c>
      <c r="C253" s="61">
        <v>46048.0</v>
      </c>
      <c r="D253" s="52" t="s">
        <v>16</v>
      </c>
      <c r="E253" s="55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52" t="s">
        <v>39</v>
      </c>
      <c r="B254" s="56">
        <v>-2000.0</v>
      </c>
      <c r="C254" s="61">
        <v>46048.0</v>
      </c>
      <c r="D254" s="52" t="s">
        <v>19</v>
      </c>
      <c r="E254" s="55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52" t="s">
        <v>39</v>
      </c>
      <c r="B255" s="56">
        <v>-2000.0</v>
      </c>
      <c r="C255" s="61">
        <v>46048.0</v>
      </c>
      <c r="D255" s="52" t="s">
        <v>21</v>
      </c>
      <c r="E255" s="55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52" t="s">
        <v>39</v>
      </c>
      <c r="B256" s="56">
        <v>-2500.0</v>
      </c>
      <c r="C256" s="61">
        <v>46048.0</v>
      </c>
      <c r="D256" s="52" t="s">
        <v>22</v>
      </c>
      <c r="E256" s="55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52" t="s">
        <v>44</v>
      </c>
      <c r="B257" s="52">
        <v>-53.2</v>
      </c>
      <c r="C257" s="61">
        <v>46048.0</v>
      </c>
      <c r="D257" s="52" t="s">
        <v>2</v>
      </c>
      <c r="E257" s="52" t="s">
        <v>78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52" t="s">
        <v>44</v>
      </c>
      <c r="B258" s="56">
        <v>-115.0</v>
      </c>
      <c r="C258" s="61">
        <v>46048.0</v>
      </c>
      <c r="D258" s="52" t="s">
        <v>14</v>
      </c>
      <c r="E258" s="52" t="s">
        <v>53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52" t="s">
        <v>39</v>
      </c>
      <c r="B259" s="52">
        <v>-637.26</v>
      </c>
      <c r="C259" s="61">
        <v>46049.0</v>
      </c>
      <c r="D259" s="52" t="s">
        <v>22</v>
      </c>
      <c r="E259" s="52" t="s">
        <v>47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52" t="s">
        <v>56</v>
      </c>
      <c r="B260" s="52">
        <v>-30.68</v>
      </c>
      <c r="C260" s="61">
        <v>46049.0</v>
      </c>
      <c r="D260" s="52" t="s">
        <v>2</v>
      </c>
      <c r="E260" s="52" t="s">
        <v>79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52" t="s">
        <v>56</v>
      </c>
      <c r="B261" s="56">
        <v>-20.0</v>
      </c>
      <c r="C261" s="61">
        <v>46049.0</v>
      </c>
      <c r="D261" s="52" t="s">
        <v>2</v>
      </c>
      <c r="E261" s="52" t="s">
        <v>80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52" t="s">
        <v>56</v>
      </c>
      <c r="B262" s="52">
        <v>-10.26</v>
      </c>
      <c r="C262" s="61">
        <v>46049.0</v>
      </c>
      <c r="D262" s="52" t="s">
        <v>3</v>
      </c>
      <c r="E262" s="52" t="s">
        <v>80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52" t="s">
        <v>56</v>
      </c>
      <c r="B263" s="56">
        <v>-7.0</v>
      </c>
      <c r="C263" s="61">
        <v>46049.0</v>
      </c>
      <c r="D263" s="52" t="s">
        <v>14</v>
      </c>
      <c r="E263" s="52" t="s">
        <v>80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52" t="s">
        <v>56</v>
      </c>
      <c r="B264" s="52">
        <v>-59.24</v>
      </c>
      <c r="C264" s="61">
        <v>46049.0</v>
      </c>
      <c r="D264" s="52" t="s">
        <v>19</v>
      </c>
      <c r="E264" s="52" t="s">
        <v>79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52" t="s">
        <v>56</v>
      </c>
      <c r="B265" s="52">
        <v>-297.88</v>
      </c>
      <c r="C265" s="61">
        <v>46049.0</v>
      </c>
      <c r="D265" s="52" t="s">
        <v>21</v>
      </c>
      <c r="E265" s="52" t="s">
        <v>79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52" t="s">
        <v>56</v>
      </c>
      <c r="B266" s="52">
        <v>-490.15</v>
      </c>
      <c r="C266" s="61">
        <v>46049.0</v>
      </c>
      <c r="D266" s="52" t="s">
        <v>21</v>
      </c>
      <c r="E266" s="52" t="s">
        <v>80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52" t="s">
        <v>65</v>
      </c>
      <c r="B267" s="52">
        <v>-3261.97</v>
      </c>
      <c r="C267" s="61">
        <v>46049.0</v>
      </c>
      <c r="D267" s="52" t="s">
        <v>1</v>
      </c>
      <c r="E267" s="52" t="s">
        <v>81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52" t="s">
        <v>65</v>
      </c>
      <c r="B268" s="52">
        <v>-2427.14</v>
      </c>
      <c r="C268" s="61">
        <v>46049.0</v>
      </c>
      <c r="D268" s="52" t="s">
        <v>21</v>
      </c>
      <c r="E268" s="52" t="s">
        <v>81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52" t="s">
        <v>65</v>
      </c>
      <c r="B269" s="52">
        <v>-5683.53</v>
      </c>
      <c r="C269" s="61">
        <v>46049.0</v>
      </c>
      <c r="D269" s="52" t="s">
        <v>22</v>
      </c>
      <c r="E269" s="52" t="s">
        <v>81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52" t="s">
        <v>39</v>
      </c>
      <c r="B270" s="56">
        <v>-1000.0</v>
      </c>
      <c r="C270" s="61">
        <v>46050.0</v>
      </c>
      <c r="D270" s="52" t="s">
        <v>14</v>
      </c>
      <c r="E270" s="55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52" t="s">
        <v>39</v>
      </c>
      <c r="B271" s="56">
        <v>-500.0</v>
      </c>
      <c r="C271" s="61">
        <v>46050.0</v>
      </c>
      <c r="D271" s="52" t="s">
        <v>16</v>
      </c>
      <c r="E271" s="55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52" t="s">
        <v>39</v>
      </c>
      <c r="B272" s="56">
        <v>-1000.0</v>
      </c>
      <c r="C272" s="61">
        <v>46050.0</v>
      </c>
      <c r="D272" s="52" t="s">
        <v>19</v>
      </c>
      <c r="E272" s="55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52" t="s">
        <v>39</v>
      </c>
      <c r="B273" s="56">
        <v>-1000.0</v>
      </c>
      <c r="C273" s="61">
        <v>46050.0</v>
      </c>
      <c r="D273" s="52" t="s">
        <v>21</v>
      </c>
      <c r="E273" s="55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52" t="s">
        <v>39</v>
      </c>
      <c r="B274" s="56">
        <v>-500.0</v>
      </c>
      <c r="C274" s="61">
        <v>46050.0</v>
      </c>
      <c r="D274" s="52" t="s">
        <v>22</v>
      </c>
      <c r="E274" s="55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52" t="s">
        <v>44</v>
      </c>
      <c r="B275" s="56">
        <v>-126.0</v>
      </c>
      <c r="C275" s="61">
        <v>46050.0</v>
      </c>
      <c r="D275" s="52" t="s">
        <v>14</v>
      </c>
      <c r="E275" s="52" t="s">
        <v>53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52" t="s">
        <v>39</v>
      </c>
      <c r="B276" s="56">
        <v>-1000.0</v>
      </c>
      <c r="C276" s="61">
        <v>46052.0</v>
      </c>
      <c r="D276" s="52" t="s">
        <v>3</v>
      </c>
      <c r="E276" s="55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52" t="s">
        <v>39</v>
      </c>
      <c r="B277" s="56">
        <v>-300.0</v>
      </c>
      <c r="C277" s="61">
        <v>46052.0</v>
      </c>
      <c r="D277" s="52" t="s">
        <v>15</v>
      </c>
      <c r="E277" s="55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52" t="s">
        <v>39</v>
      </c>
      <c r="B278" s="52">
        <v>-802.56</v>
      </c>
      <c r="C278" s="61">
        <v>46052.0</v>
      </c>
      <c r="D278" s="52" t="s">
        <v>22</v>
      </c>
      <c r="E278" s="52" t="s">
        <v>47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52" t="s">
        <v>44</v>
      </c>
      <c r="B279" s="52">
        <v>-3.7</v>
      </c>
      <c r="C279" s="61">
        <v>46052.0</v>
      </c>
      <c r="D279" s="52" t="s">
        <v>14</v>
      </c>
      <c r="E279" s="52" t="s">
        <v>64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52" t="s">
        <v>44</v>
      </c>
      <c r="B280" s="56">
        <v>-98.0</v>
      </c>
      <c r="C280" s="61">
        <v>46052.0</v>
      </c>
      <c r="D280" s="52" t="s">
        <v>14</v>
      </c>
      <c r="E280" s="52" t="s">
        <v>53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52" t="s">
        <v>36</v>
      </c>
      <c r="B281" s="52">
        <v>-6313.25</v>
      </c>
      <c r="C281" s="61">
        <v>46055.0</v>
      </c>
      <c r="D281" s="52" t="s">
        <v>1</v>
      </c>
      <c r="E281" s="55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52" t="s">
        <v>36</v>
      </c>
      <c r="B282" s="52">
        <v>-5856.67</v>
      </c>
      <c r="C282" s="61">
        <v>46055.0</v>
      </c>
      <c r="D282" s="52" t="s">
        <v>5</v>
      </c>
      <c r="E282" s="55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52" t="s">
        <v>36</v>
      </c>
      <c r="B283" s="52">
        <v>-13395.17</v>
      </c>
      <c r="C283" s="61">
        <v>46055.0</v>
      </c>
      <c r="D283" s="52" t="s">
        <v>2</v>
      </c>
      <c r="E283" s="55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52" t="s">
        <v>36</v>
      </c>
      <c r="B284" s="52">
        <v>-10669.41</v>
      </c>
      <c r="C284" s="61">
        <v>46055.0</v>
      </c>
      <c r="D284" s="52" t="s">
        <v>3</v>
      </c>
      <c r="E284" s="55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52" t="s">
        <v>36</v>
      </c>
      <c r="B285" s="52">
        <v>-2391.17</v>
      </c>
      <c r="C285" s="61">
        <v>46055.0</v>
      </c>
      <c r="D285" s="52" t="s">
        <v>15</v>
      </c>
      <c r="E285" s="55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52" t="s">
        <v>36</v>
      </c>
      <c r="B286" s="52">
        <v>-2040.26</v>
      </c>
      <c r="C286" s="61">
        <v>46055.0</v>
      </c>
      <c r="D286" s="52" t="s">
        <v>16</v>
      </c>
      <c r="E286" s="55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52" t="s">
        <v>36</v>
      </c>
      <c r="B287" s="52">
        <v>-5275.73</v>
      </c>
      <c r="C287" s="61">
        <v>46055.0</v>
      </c>
      <c r="D287" s="52" t="s">
        <v>19</v>
      </c>
      <c r="E287" s="55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52" t="s">
        <v>36</v>
      </c>
      <c r="B288" s="52">
        <v>-3560.65</v>
      </c>
      <c r="C288" s="61">
        <v>46055.0</v>
      </c>
      <c r="D288" s="52" t="s">
        <v>20</v>
      </c>
      <c r="E288" s="55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52" t="s">
        <v>36</v>
      </c>
      <c r="B289" s="52">
        <v>-6680.6</v>
      </c>
      <c r="C289" s="61">
        <v>46055.0</v>
      </c>
      <c r="D289" s="52" t="s">
        <v>21</v>
      </c>
      <c r="E289" s="55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52" t="s">
        <v>36</v>
      </c>
      <c r="B290" s="52">
        <v>-14540.09</v>
      </c>
      <c r="C290" s="61">
        <v>46055.0</v>
      </c>
      <c r="D290" s="52" t="s">
        <v>22</v>
      </c>
      <c r="E290" s="55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52" t="s">
        <v>39</v>
      </c>
      <c r="B291" s="56">
        <v>-1500.0</v>
      </c>
      <c r="C291" s="61">
        <v>46055.0</v>
      </c>
      <c r="D291" s="52" t="s">
        <v>5</v>
      </c>
      <c r="E291" s="55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52" t="s">
        <v>39</v>
      </c>
      <c r="B292" s="56">
        <v>1000.0</v>
      </c>
      <c r="C292" s="61">
        <v>46055.0</v>
      </c>
      <c r="D292" s="52" t="s">
        <v>2</v>
      </c>
      <c r="E292" s="52" t="s">
        <v>55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52" t="s">
        <v>39</v>
      </c>
      <c r="B293" s="56">
        <v>-1000.0</v>
      </c>
      <c r="C293" s="61">
        <v>46055.0</v>
      </c>
      <c r="D293" s="52" t="s">
        <v>14</v>
      </c>
      <c r="E293" s="55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52" t="s">
        <v>39</v>
      </c>
      <c r="B294" s="56">
        <v>-1000.0</v>
      </c>
      <c r="C294" s="61">
        <v>46055.0</v>
      </c>
      <c r="D294" s="52" t="s">
        <v>14</v>
      </c>
      <c r="E294" s="52" t="s">
        <v>82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52" t="s">
        <v>39</v>
      </c>
      <c r="B295" s="56">
        <v>-350.0</v>
      </c>
      <c r="C295" s="61">
        <v>46055.0</v>
      </c>
      <c r="D295" s="52" t="s">
        <v>15</v>
      </c>
      <c r="E295" s="55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52" t="s">
        <v>39</v>
      </c>
      <c r="B296" s="56">
        <v>-3500.0</v>
      </c>
      <c r="C296" s="61">
        <v>46055.0</v>
      </c>
      <c r="D296" s="52" t="s">
        <v>19</v>
      </c>
      <c r="E296" s="55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52" t="s">
        <v>39</v>
      </c>
      <c r="B297" s="56">
        <v>-1000.0</v>
      </c>
      <c r="C297" s="61">
        <v>46055.0</v>
      </c>
      <c r="D297" s="52" t="s">
        <v>21</v>
      </c>
      <c r="E297" s="55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52" t="s">
        <v>44</v>
      </c>
      <c r="B298" s="56">
        <v>-52.0</v>
      </c>
      <c r="C298" s="61">
        <v>46055.0</v>
      </c>
      <c r="D298" s="52" t="s">
        <v>14</v>
      </c>
      <c r="E298" s="52" t="s">
        <v>53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52" t="s">
        <v>39</v>
      </c>
      <c r="B299" s="52">
        <v>-763.8</v>
      </c>
      <c r="C299" s="61">
        <v>46056.0</v>
      </c>
      <c r="D299" s="52" t="s">
        <v>22</v>
      </c>
      <c r="E299" s="52" t="s">
        <v>47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52" t="s">
        <v>44</v>
      </c>
      <c r="B300" s="52">
        <v>-2045.17</v>
      </c>
      <c r="C300" s="61">
        <v>46056.0</v>
      </c>
      <c r="D300" s="52" t="s">
        <v>3</v>
      </c>
      <c r="E300" s="52" t="s">
        <v>83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52" t="s">
        <v>44</v>
      </c>
      <c r="B301" s="56">
        <v>-600.0</v>
      </c>
      <c r="C301" s="61">
        <v>46056.0</v>
      </c>
      <c r="D301" s="52" t="s">
        <v>22</v>
      </c>
      <c r="E301" s="52" t="s">
        <v>84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52" t="s">
        <v>39</v>
      </c>
      <c r="B302" s="52">
        <v>-413.65</v>
      </c>
      <c r="C302" s="61">
        <v>46057.0</v>
      </c>
      <c r="D302" s="52" t="s">
        <v>1</v>
      </c>
      <c r="E302" s="52" t="s">
        <v>85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52" t="s">
        <v>39</v>
      </c>
      <c r="B303" s="52">
        <v>-474.016</v>
      </c>
      <c r="C303" s="61">
        <v>46057.0</v>
      </c>
      <c r="D303" s="52" t="s">
        <v>5</v>
      </c>
      <c r="E303" s="52" t="s">
        <v>86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52" t="s">
        <v>39</v>
      </c>
      <c r="B304" s="52">
        <v>-1225.62</v>
      </c>
      <c r="C304" s="61">
        <v>46057.0</v>
      </c>
      <c r="D304" s="52" t="s">
        <v>2</v>
      </c>
      <c r="E304" s="52" t="s">
        <v>87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52" t="s">
        <v>39</v>
      </c>
      <c r="B305" s="52">
        <v>-463.15</v>
      </c>
      <c r="C305" s="61">
        <v>46057.0</v>
      </c>
      <c r="D305" s="52" t="s">
        <v>3</v>
      </c>
      <c r="E305" s="52" t="s">
        <v>88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52" t="s">
        <v>39</v>
      </c>
      <c r="B306" s="52">
        <v>-353.66</v>
      </c>
      <c r="C306" s="61">
        <v>46057.0</v>
      </c>
      <c r="D306" s="52" t="s">
        <v>14</v>
      </c>
      <c r="E306" s="52" t="s">
        <v>89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52" t="s">
        <v>39</v>
      </c>
      <c r="B307" s="56">
        <v>-500.0</v>
      </c>
      <c r="C307" s="61">
        <v>46057.0</v>
      </c>
      <c r="D307" s="52" t="s">
        <v>16</v>
      </c>
      <c r="E307" s="55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52" t="s">
        <v>39</v>
      </c>
      <c r="B308" s="52">
        <v>-375.891</v>
      </c>
      <c r="C308" s="61">
        <v>46057.0</v>
      </c>
      <c r="D308" s="52" t="s">
        <v>20</v>
      </c>
      <c r="E308" s="52" t="s">
        <v>90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52" t="s">
        <v>39</v>
      </c>
      <c r="B309" s="56">
        <v>-500.0</v>
      </c>
      <c r="C309" s="61">
        <v>46057.0</v>
      </c>
      <c r="D309" s="52" t="s">
        <v>21</v>
      </c>
      <c r="E309" s="55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52" t="s">
        <v>39</v>
      </c>
      <c r="B310" s="52">
        <v>-602.56</v>
      </c>
      <c r="C310" s="61">
        <v>46057.0</v>
      </c>
      <c r="D310" s="52" t="s">
        <v>21</v>
      </c>
      <c r="E310" s="52" t="s">
        <v>91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52" t="s">
        <v>39</v>
      </c>
      <c r="B311" s="52">
        <v>-120.05</v>
      </c>
      <c r="C311" s="61">
        <v>46057.0</v>
      </c>
      <c r="D311" s="52" t="s">
        <v>22</v>
      </c>
      <c r="E311" s="52" t="s">
        <v>92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52" t="s">
        <v>56</v>
      </c>
      <c r="B312" s="56">
        <v>-20.0</v>
      </c>
      <c r="C312" s="61">
        <v>46057.0</v>
      </c>
      <c r="D312" s="52" t="s">
        <v>1</v>
      </c>
      <c r="E312" s="55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52" t="s">
        <v>56</v>
      </c>
      <c r="B313" s="56">
        <v>-14.0</v>
      </c>
      <c r="C313" s="61">
        <v>46057.0</v>
      </c>
      <c r="D313" s="52" t="s">
        <v>2</v>
      </c>
      <c r="E313" s="55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52" t="s">
        <v>56</v>
      </c>
      <c r="B314" s="52">
        <v>-25.02</v>
      </c>
      <c r="C314" s="61">
        <v>46057.0</v>
      </c>
      <c r="D314" s="52" t="s">
        <v>3</v>
      </c>
      <c r="E314" s="55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52" t="s">
        <v>56</v>
      </c>
      <c r="B315" s="56">
        <v>-55.0</v>
      </c>
      <c r="C315" s="61">
        <v>46057.0</v>
      </c>
      <c r="D315" s="52" t="s">
        <v>14</v>
      </c>
      <c r="E315" s="55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52" t="s">
        <v>56</v>
      </c>
      <c r="B316" s="52">
        <v>-215.48</v>
      </c>
      <c r="C316" s="61">
        <v>46057.0</v>
      </c>
      <c r="D316" s="52" t="s">
        <v>19</v>
      </c>
      <c r="E316" s="55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52" t="s">
        <v>56</v>
      </c>
      <c r="B317" s="52">
        <v>-79.25</v>
      </c>
      <c r="C317" s="61">
        <v>46057.0</v>
      </c>
      <c r="D317" s="52" t="s">
        <v>20</v>
      </c>
      <c r="E317" s="55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52" t="s">
        <v>56</v>
      </c>
      <c r="B318" s="52">
        <v>-323.74</v>
      </c>
      <c r="C318" s="61">
        <v>46057.0</v>
      </c>
      <c r="D318" s="52" t="s">
        <v>21</v>
      </c>
      <c r="E318" s="55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52" t="s">
        <v>56</v>
      </c>
      <c r="B319" s="56">
        <v>-34.0</v>
      </c>
      <c r="C319" s="61">
        <v>46057.0</v>
      </c>
      <c r="D319" s="52" t="s">
        <v>22</v>
      </c>
      <c r="E319" s="55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52" t="s">
        <v>44</v>
      </c>
      <c r="B320" s="56">
        <v>-158.0</v>
      </c>
      <c r="C320" s="61">
        <v>46057.0</v>
      </c>
      <c r="D320" s="52" t="s">
        <v>14</v>
      </c>
      <c r="E320" s="52" t="s">
        <v>53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52" t="s">
        <v>44</v>
      </c>
      <c r="B321" s="52">
        <v>-71.55</v>
      </c>
      <c r="C321" s="61">
        <v>46057.0</v>
      </c>
      <c r="D321" s="52" t="s">
        <v>16</v>
      </c>
      <c r="E321" s="52" t="s">
        <v>59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52" t="s">
        <v>66</v>
      </c>
      <c r="B322" s="52">
        <v>-1956.12</v>
      </c>
      <c r="C322" s="61">
        <v>46059.0</v>
      </c>
      <c r="D322" s="52" t="s">
        <v>16</v>
      </c>
      <c r="E322" s="52" t="s">
        <v>93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52" t="s">
        <v>66</v>
      </c>
      <c r="B323" s="52">
        <v>-2064.98</v>
      </c>
      <c r="C323" s="61">
        <v>46059.0</v>
      </c>
      <c r="D323" s="52" t="s">
        <v>22</v>
      </c>
      <c r="E323" s="55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52" t="s">
        <v>65</v>
      </c>
      <c r="B324" s="52">
        <v>-1269.98</v>
      </c>
      <c r="C324" s="61">
        <v>46059.0</v>
      </c>
      <c r="D324" s="52" t="s">
        <v>5</v>
      </c>
      <c r="E324" s="55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52" t="s">
        <v>39</v>
      </c>
      <c r="B325" s="56">
        <v>-500.0</v>
      </c>
      <c r="C325" s="61">
        <v>46059.0</v>
      </c>
      <c r="D325" s="52" t="s">
        <v>5</v>
      </c>
      <c r="E325" s="55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52" t="s">
        <v>39</v>
      </c>
      <c r="B326" s="52">
        <v>-636.5</v>
      </c>
      <c r="C326" s="61">
        <v>46059.0</v>
      </c>
      <c r="D326" s="52" t="s">
        <v>22</v>
      </c>
      <c r="E326" s="52" t="s">
        <v>47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52" t="s">
        <v>65</v>
      </c>
      <c r="B327" s="52">
        <v>-2072.36</v>
      </c>
      <c r="C327" s="61">
        <v>46059.0</v>
      </c>
      <c r="D327" s="52" t="s">
        <v>2</v>
      </c>
      <c r="E327" s="55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52" t="s">
        <v>65</v>
      </c>
      <c r="B328" s="52">
        <v>-1953.89</v>
      </c>
      <c r="C328" s="61">
        <v>46059.0</v>
      </c>
      <c r="D328" s="52" t="s">
        <v>3</v>
      </c>
      <c r="E328" s="55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52" t="s">
        <v>65</v>
      </c>
      <c r="B329" s="52">
        <v>-3288.51</v>
      </c>
      <c r="C329" s="61">
        <v>46059.0</v>
      </c>
      <c r="D329" s="52" t="s">
        <v>14</v>
      </c>
      <c r="E329" s="55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52" t="s">
        <v>65</v>
      </c>
      <c r="B330" s="52">
        <v>-2788.17</v>
      </c>
      <c r="C330" s="61">
        <v>46059.0</v>
      </c>
      <c r="D330" s="52" t="s">
        <v>15</v>
      </c>
      <c r="E330" s="55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52" t="s">
        <v>65</v>
      </c>
      <c r="B331" s="52">
        <v>-3081.88</v>
      </c>
      <c r="C331" s="61">
        <v>46059.0</v>
      </c>
      <c r="D331" s="52" t="s">
        <v>16</v>
      </c>
      <c r="E331" s="55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52" t="s">
        <v>65</v>
      </c>
      <c r="B332" s="52">
        <v>-1287.56</v>
      </c>
      <c r="C332" s="61">
        <v>46059.0</v>
      </c>
      <c r="D332" s="52" t="s">
        <v>19</v>
      </c>
      <c r="E332" s="55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52" t="s">
        <v>65</v>
      </c>
      <c r="B333" s="52">
        <v>-1459.32</v>
      </c>
      <c r="C333" s="61">
        <v>46059.0</v>
      </c>
      <c r="D333" s="52" t="s">
        <v>20</v>
      </c>
      <c r="E333" s="55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52" t="s">
        <v>65</v>
      </c>
      <c r="B334" s="52">
        <v>-1536.05</v>
      </c>
      <c r="C334" s="61">
        <v>46059.0</v>
      </c>
      <c r="D334" s="52" t="s">
        <v>22</v>
      </c>
      <c r="E334" s="55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52" t="s">
        <v>44</v>
      </c>
      <c r="B335" s="52">
        <v>-1.84</v>
      </c>
      <c r="C335" s="61">
        <v>46059.0</v>
      </c>
      <c r="D335" s="52" t="s">
        <v>3</v>
      </c>
      <c r="E335" s="52" t="s">
        <v>53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52" t="s">
        <v>44</v>
      </c>
      <c r="B336" s="56">
        <v>-13.0</v>
      </c>
      <c r="C336" s="61">
        <v>46059.0</v>
      </c>
      <c r="D336" s="52" t="s">
        <v>14</v>
      </c>
      <c r="E336" s="52" t="s">
        <v>94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52" t="s">
        <v>44</v>
      </c>
      <c r="B337" s="56">
        <v>-66.0</v>
      </c>
      <c r="C337" s="61">
        <v>46059.0</v>
      </c>
      <c r="D337" s="52" t="s">
        <v>14</v>
      </c>
      <c r="E337" s="52" t="s">
        <v>53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52" t="s">
        <v>44</v>
      </c>
      <c r="B338" s="56">
        <v>-166.0</v>
      </c>
      <c r="C338" s="61">
        <v>46059.0</v>
      </c>
      <c r="D338" s="52" t="s">
        <v>16</v>
      </c>
      <c r="E338" s="52" t="s">
        <v>59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52" t="s">
        <v>36</v>
      </c>
      <c r="B339" s="52">
        <v>5075.29</v>
      </c>
      <c r="C339" s="61">
        <v>46059.0</v>
      </c>
      <c r="D339" s="52" t="s">
        <v>5</v>
      </c>
      <c r="E339" s="52" t="s">
        <v>95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52" t="s">
        <v>36</v>
      </c>
      <c r="B340" s="52">
        <v>-5075.29</v>
      </c>
      <c r="C340" s="61">
        <v>46059.0</v>
      </c>
      <c r="D340" s="52" t="s">
        <v>14</v>
      </c>
      <c r="E340" s="55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52" t="s">
        <v>36</v>
      </c>
      <c r="B341" s="52">
        <v>-7251.21</v>
      </c>
      <c r="C341" s="61">
        <v>46062.0</v>
      </c>
      <c r="D341" s="52" t="s">
        <v>1</v>
      </c>
      <c r="E341" s="55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52" t="s">
        <v>36</v>
      </c>
      <c r="B342" s="52">
        <v>-2117.49</v>
      </c>
      <c r="C342" s="61">
        <v>46062.0</v>
      </c>
      <c r="D342" s="52" t="s">
        <v>5</v>
      </c>
      <c r="E342" s="55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52" t="s">
        <v>36</v>
      </c>
      <c r="B343" s="52">
        <v>-15647.46</v>
      </c>
      <c r="C343" s="61">
        <v>46062.0</v>
      </c>
      <c r="D343" s="52" t="s">
        <v>2</v>
      </c>
      <c r="E343" s="55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52" t="s">
        <v>36</v>
      </c>
      <c r="B344" s="52">
        <v>-12668.54</v>
      </c>
      <c r="C344" s="61">
        <v>46062.0</v>
      </c>
      <c r="D344" s="52" t="s">
        <v>3</v>
      </c>
      <c r="E344" s="55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52" t="s">
        <v>36</v>
      </c>
      <c r="B345" s="52">
        <v>-8339.96</v>
      </c>
      <c r="C345" s="61">
        <v>46062.0</v>
      </c>
      <c r="D345" s="52" t="s">
        <v>14</v>
      </c>
      <c r="E345" s="55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52" t="s">
        <v>36</v>
      </c>
      <c r="B346" s="52">
        <v>-5070.71</v>
      </c>
      <c r="C346" s="61">
        <v>46062.0</v>
      </c>
      <c r="D346" s="52" t="s">
        <v>15</v>
      </c>
      <c r="E346" s="55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52" t="s">
        <v>36</v>
      </c>
      <c r="B347" s="52">
        <v>-1934.85</v>
      </c>
      <c r="C347" s="61">
        <v>46062.0</v>
      </c>
      <c r="D347" s="52" t="s">
        <v>16</v>
      </c>
      <c r="E347" s="55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52" t="s">
        <v>36</v>
      </c>
      <c r="B348" s="52">
        <v>-6301.54</v>
      </c>
      <c r="C348" s="61">
        <v>46062.0</v>
      </c>
      <c r="D348" s="52" t="s">
        <v>19</v>
      </c>
      <c r="E348" s="55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52" t="s">
        <v>36</v>
      </c>
      <c r="B349" s="52">
        <v>-6074.7</v>
      </c>
      <c r="C349" s="61">
        <v>46062.0</v>
      </c>
      <c r="D349" s="52" t="s">
        <v>20</v>
      </c>
      <c r="E349" s="55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52" t="s">
        <v>36</v>
      </c>
      <c r="B350" s="52">
        <v>-6338.08</v>
      </c>
      <c r="C350" s="61">
        <v>46062.0</v>
      </c>
      <c r="D350" s="52" t="s">
        <v>21</v>
      </c>
      <c r="E350" s="55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52" t="s">
        <v>36</v>
      </c>
      <c r="B351" s="52">
        <v>-15805.02</v>
      </c>
      <c r="C351" s="61">
        <v>46062.0</v>
      </c>
      <c r="D351" s="52" t="s">
        <v>22</v>
      </c>
      <c r="E351" s="55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52" t="s">
        <v>66</v>
      </c>
      <c r="B352" s="56">
        <v>-1500.0</v>
      </c>
      <c r="C352" s="61">
        <v>46062.0</v>
      </c>
      <c r="D352" s="52" t="s">
        <v>16</v>
      </c>
      <c r="E352" s="55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52" t="s">
        <v>39</v>
      </c>
      <c r="B353" s="56">
        <v>-1000.0</v>
      </c>
      <c r="C353" s="61">
        <v>46062.0</v>
      </c>
      <c r="D353" s="52" t="s">
        <v>14</v>
      </c>
      <c r="E353" s="55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52" t="s">
        <v>39</v>
      </c>
      <c r="B354" s="56">
        <v>-500.0</v>
      </c>
      <c r="C354" s="61">
        <v>46062.0</v>
      </c>
      <c r="D354" s="52" t="s">
        <v>15</v>
      </c>
      <c r="E354" s="55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52" t="s">
        <v>39</v>
      </c>
      <c r="B355" s="56">
        <v>-1500.0</v>
      </c>
      <c r="C355" s="61">
        <v>46062.0</v>
      </c>
      <c r="D355" s="52" t="s">
        <v>21</v>
      </c>
      <c r="E355" s="55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52" t="s">
        <v>39</v>
      </c>
      <c r="B356" s="56">
        <v>-2500.0</v>
      </c>
      <c r="C356" s="61">
        <v>46062.0</v>
      </c>
      <c r="D356" s="52" t="s">
        <v>22</v>
      </c>
      <c r="E356" s="55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52" t="s">
        <v>44</v>
      </c>
      <c r="B357" s="56">
        <v>-87.0</v>
      </c>
      <c r="C357" s="61">
        <v>46062.0</v>
      </c>
      <c r="D357" s="52" t="s">
        <v>14</v>
      </c>
      <c r="E357" s="52" t="s">
        <v>53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52" t="s">
        <v>37</v>
      </c>
      <c r="B358" s="52">
        <v>30423.65</v>
      </c>
      <c r="C358" s="61">
        <v>46062.0</v>
      </c>
      <c r="D358" s="52" t="s">
        <v>1</v>
      </c>
      <c r="E358" s="52" t="s">
        <v>96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52" t="s">
        <v>37</v>
      </c>
      <c r="B359" s="52">
        <v>33783.37</v>
      </c>
      <c r="C359" s="61">
        <v>46062.0</v>
      </c>
      <c r="D359" s="52" t="s">
        <v>5</v>
      </c>
      <c r="E359" s="52" t="s">
        <v>96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52" t="s">
        <v>37</v>
      </c>
      <c r="B360" s="52">
        <v>60875.46</v>
      </c>
      <c r="C360" s="61">
        <v>46062.0</v>
      </c>
      <c r="D360" s="52" t="s">
        <v>2</v>
      </c>
      <c r="E360" s="52" t="s">
        <v>96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52" t="s">
        <v>37</v>
      </c>
      <c r="B361" s="52">
        <v>60449.32</v>
      </c>
      <c r="C361" s="61">
        <v>46062.0</v>
      </c>
      <c r="D361" s="52" t="s">
        <v>3</v>
      </c>
      <c r="E361" s="52" t="s">
        <v>96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52" t="s">
        <v>37</v>
      </c>
      <c r="B362" s="52">
        <v>52488.55</v>
      </c>
      <c r="C362" s="61">
        <v>46062.0</v>
      </c>
      <c r="D362" s="52" t="s">
        <v>14</v>
      </c>
      <c r="E362" s="52" t="s">
        <v>96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52" t="s">
        <v>37</v>
      </c>
      <c r="B363" s="52">
        <v>25540.71</v>
      </c>
      <c r="C363" s="61">
        <v>46062.0</v>
      </c>
      <c r="D363" s="52" t="s">
        <v>15</v>
      </c>
      <c r="E363" s="52" t="s">
        <v>96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52" t="s">
        <v>37</v>
      </c>
      <c r="B364" s="52">
        <v>43746.16</v>
      </c>
      <c r="C364" s="61">
        <v>46062.0</v>
      </c>
      <c r="D364" s="52" t="s">
        <v>16</v>
      </c>
      <c r="E364" s="52" t="s">
        <v>96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52" t="s">
        <v>37</v>
      </c>
      <c r="B365" s="52">
        <v>45689.98</v>
      </c>
      <c r="C365" s="61">
        <v>46062.0</v>
      </c>
      <c r="D365" s="52" t="s">
        <v>19</v>
      </c>
      <c r="E365" s="52" t="s">
        <v>96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52" t="s">
        <v>37</v>
      </c>
      <c r="B366" s="52">
        <v>29213.85</v>
      </c>
      <c r="C366" s="61">
        <v>46062.0</v>
      </c>
      <c r="D366" s="52" t="s">
        <v>20</v>
      </c>
      <c r="E366" s="52" t="s">
        <v>96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52" t="s">
        <v>37</v>
      </c>
      <c r="B367" s="52">
        <v>45299.56</v>
      </c>
      <c r="C367" s="61">
        <v>46062.0</v>
      </c>
      <c r="D367" s="52" t="s">
        <v>21</v>
      </c>
      <c r="E367" s="52" t="s">
        <v>96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52" t="s">
        <v>37</v>
      </c>
      <c r="B368" s="52">
        <v>83132.86</v>
      </c>
      <c r="C368" s="61">
        <v>46062.0</v>
      </c>
      <c r="D368" s="52" t="s">
        <v>22</v>
      </c>
      <c r="E368" s="52" t="s">
        <v>96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52" t="s">
        <v>66</v>
      </c>
      <c r="B369" s="56">
        <v>-2500.0</v>
      </c>
      <c r="C369" s="61">
        <v>46063.0</v>
      </c>
      <c r="D369" s="52" t="s">
        <v>19</v>
      </c>
      <c r="E369" s="55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52" t="s">
        <v>39</v>
      </c>
      <c r="B370" s="56">
        <v>-483.74</v>
      </c>
      <c r="C370" s="61">
        <v>46063.0</v>
      </c>
      <c r="D370" s="52" t="s">
        <v>22</v>
      </c>
      <c r="E370" s="52" t="s">
        <v>47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52" t="s">
        <v>39</v>
      </c>
      <c r="B371" s="56">
        <v>-500.0</v>
      </c>
      <c r="C371" s="61">
        <v>46064.0</v>
      </c>
      <c r="D371" s="52" t="s">
        <v>16</v>
      </c>
      <c r="E371" s="55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52" t="s">
        <v>39</v>
      </c>
      <c r="B372" s="56">
        <v>-500.0</v>
      </c>
      <c r="C372" s="61">
        <v>46064.0</v>
      </c>
      <c r="D372" s="52" t="s">
        <v>19</v>
      </c>
      <c r="E372" s="55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52" t="s">
        <v>39</v>
      </c>
      <c r="B373" s="56">
        <v>-500.0</v>
      </c>
      <c r="C373" s="61">
        <v>46064.0</v>
      </c>
      <c r="D373" s="52" t="s">
        <v>21</v>
      </c>
      <c r="E373" s="55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52" t="s">
        <v>39</v>
      </c>
      <c r="B374" s="56">
        <v>-500.0</v>
      </c>
      <c r="C374" s="61">
        <v>46064.0</v>
      </c>
      <c r="D374" s="52" t="s">
        <v>22</v>
      </c>
      <c r="E374" s="55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52" t="s">
        <v>44</v>
      </c>
      <c r="B375" s="56">
        <v>-57.4</v>
      </c>
      <c r="C375" s="61">
        <v>46064.0</v>
      </c>
      <c r="D375" s="52" t="s">
        <v>2</v>
      </c>
      <c r="E375" s="52" t="s">
        <v>61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52" t="s">
        <v>44</v>
      </c>
      <c r="B376" s="56">
        <v>-197.0</v>
      </c>
      <c r="C376" s="61">
        <v>46064.0</v>
      </c>
      <c r="D376" s="52" t="s">
        <v>14</v>
      </c>
      <c r="E376" s="52" t="s">
        <v>53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52" t="s">
        <v>65</v>
      </c>
      <c r="B377" s="52">
        <v>-1047.63</v>
      </c>
      <c r="C377" s="61">
        <v>46065.0</v>
      </c>
      <c r="D377" s="52" t="s">
        <v>5</v>
      </c>
      <c r="E377" s="52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52" t="s">
        <v>65</v>
      </c>
      <c r="B378" s="52">
        <v>-293.45</v>
      </c>
      <c r="C378" s="61">
        <v>46065.0</v>
      </c>
      <c r="D378" s="52" t="s">
        <v>15</v>
      </c>
      <c r="E378" s="52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52" t="s">
        <v>65</v>
      </c>
      <c r="B379" s="52">
        <v>-4548.42</v>
      </c>
      <c r="C379" s="61">
        <v>46065.0</v>
      </c>
      <c r="D379" s="52" t="s">
        <v>16</v>
      </c>
      <c r="E379" s="52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52" t="s">
        <v>65</v>
      </c>
      <c r="B380" s="52">
        <v>-50.75</v>
      </c>
      <c r="C380" s="61">
        <v>46065.0</v>
      </c>
      <c r="D380" s="52" t="s">
        <v>19</v>
      </c>
      <c r="E380" s="52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52" t="s">
        <v>65</v>
      </c>
      <c r="B381" s="52">
        <v>-45.81</v>
      </c>
      <c r="C381" s="61">
        <v>46065.0</v>
      </c>
      <c r="D381" s="52" t="s">
        <v>20</v>
      </c>
      <c r="E381" s="52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52" t="s">
        <v>39</v>
      </c>
      <c r="B382" s="56">
        <v>600.0</v>
      </c>
      <c r="C382" s="61">
        <v>46066.0</v>
      </c>
      <c r="D382" s="52" t="s">
        <v>1</v>
      </c>
      <c r="E382" s="52" t="s">
        <v>55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52" t="s">
        <v>39</v>
      </c>
      <c r="B383" s="56">
        <v>-1000.0</v>
      </c>
      <c r="C383" s="61">
        <v>46066.0</v>
      </c>
      <c r="D383" s="52" t="s">
        <v>5</v>
      </c>
      <c r="E383" s="55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52" t="s">
        <v>39</v>
      </c>
      <c r="B384" s="56">
        <v>-300.0</v>
      </c>
      <c r="C384" s="61">
        <v>46066.0</v>
      </c>
      <c r="D384" s="52" t="s">
        <v>15</v>
      </c>
      <c r="E384" s="55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52" t="s">
        <v>39</v>
      </c>
      <c r="B385" s="56">
        <v>-500.0</v>
      </c>
      <c r="C385" s="61">
        <v>46066.0</v>
      </c>
      <c r="D385" s="52" t="s">
        <v>21</v>
      </c>
      <c r="E385" s="55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52" t="s">
        <v>39</v>
      </c>
      <c r="B386" s="56">
        <v>-712.88</v>
      </c>
      <c r="C386" s="61">
        <v>46066.0</v>
      </c>
      <c r="D386" s="52" t="s">
        <v>22</v>
      </c>
      <c r="E386" s="52" t="s">
        <v>47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52" t="s">
        <v>44</v>
      </c>
      <c r="B387" s="56">
        <v>-11.19</v>
      </c>
      <c r="C387" s="61">
        <v>46066.0</v>
      </c>
      <c r="D387" s="52" t="s">
        <v>14</v>
      </c>
      <c r="E387" s="52" t="s">
        <v>97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52" t="s">
        <v>36</v>
      </c>
      <c r="B388" s="52">
        <v>-7881.67</v>
      </c>
      <c r="C388" s="61">
        <v>46069.0</v>
      </c>
      <c r="D388" s="52" t="s">
        <v>1</v>
      </c>
      <c r="E388" s="55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52" t="s">
        <v>36</v>
      </c>
      <c r="B389" s="52">
        <v>-3119.59</v>
      </c>
      <c r="C389" s="61">
        <v>46069.0</v>
      </c>
      <c r="D389" s="52" t="s">
        <v>5</v>
      </c>
      <c r="E389" s="55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52" t="s">
        <v>36</v>
      </c>
      <c r="B390" s="52">
        <v>-16727.82</v>
      </c>
      <c r="C390" s="61">
        <v>46069.0</v>
      </c>
      <c r="D390" s="52" t="s">
        <v>2</v>
      </c>
      <c r="E390" s="55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52" t="s">
        <v>36</v>
      </c>
      <c r="B391" s="52">
        <v>-10888.14</v>
      </c>
      <c r="C391" s="61">
        <v>46069.0</v>
      </c>
      <c r="D391" s="52" t="s">
        <v>3</v>
      </c>
      <c r="E391" s="55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52" t="s">
        <v>36</v>
      </c>
      <c r="B392" s="52">
        <v>-9115.19</v>
      </c>
      <c r="C392" s="61">
        <v>46069.0</v>
      </c>
      <c r="D392" s="52" t="s">
        <v>14</v>
      </c>
      <c r="E392" s="55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52" t="s">
        <v>36</v>
      </c>
      <c r="B393" s="52">
        <v>-5608.51</v>
      </c>
      <c r="C393" s="61">
        <v>46069.0</v>
      </c>
      <c r="D393" s="52" t="s">
        <v>15</v>
      </c>
      <c r="E393" s="55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52" t="s">
        <v>36</v>
      </c>
      <c r="B394" s="52">
        <v>-2689.85</v>
      </c>
      <c r="C394" s="61">
        <v>46069.0</v>
      </c>
      <c r="D394" s="52" t="s">
        <v>16</v>
      </c>
      <c r="E394" s="55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52" t="s">
        <v>36</v>
      </c>
      <c r="B395" s="52">
        <v>-6489.46</v>
      </c>
      <c r="C395" s="61">
        <v>46069.0</v>
      </c>
      <c r="D395" s="52" t="s">
        <v>19</v>
      </c>
      <c r="E395" s="55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52" t="s">
        <v>36</v>
      </c>
      <c r="B396" s="52">
        <v>-4938.62</v>
      </c>
      <c r="C396" s="61">
        <v>46069.0</v>
      </c>
      <c r="D396" s="52" t="s">
        <v>20</v>
      </c>
      <c r="E396" s="55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52" t="s">
        <v>36</v>
      </c>
      <c r="B397" s="52">
        <v>-5981.24</v>
      </c>
      <c r="C397" s="61">
        <v>46069.0</v>
      </c>
      <c r="D397" s="52" t="s">
        <v>21</v>
      </c>
      <c r="E397" s="55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52" t="s">
        <v>36</v>
      </c>
      <c r="B398" s="52">
        <v>-15845.14</v>
      </c>
      <c r="C398" s="61">
        <v>46069.0</v>
      </c>
      <c r="D398" s="52" t="s">
        <v>22</v>
      </c>
      <c r="E398" s="55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52" t="s">
        <v>66</v>
      </c>
      <c r="B399" s="56">
        <v>-1500.0</v>
      </c>
      <c r="C399" s="61">
        <v>46069.0</v>
      </c>
      <c r="D399" s="52" t="s">
        <v>16</v>
      </c>
      <c r="E399" s="55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52" t="s">
        <v>39</v>
      </c>
      <c r="B400" s="56">
        <v>-1200.0</v>
      </c>
      <c r="C400" s="61">
        <v>46069.0</v>
      </c>
      <c r="D400" s="52" t="s">
        <v>5</v>
      </c>
      <c r="E400" s="55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52" t="s">
        <v>39</v>
      </c>
      <c r="B401" s="52">
        <v>-1000.0</v>
      </c>
      <c r="C401" s="61">
        <v>46069.0</v>
      </c>
      <c r="D401" s="52" t="s">
        <v>14</v>
      </c>
      <c r="E401" s="55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52" t="s">
        <v>39</v>
      </c>
      <c r="B402" s="56">
        <v>-250.0</v>
      </c>
      <c r="C402" s="61">
        <v>46069.0</v>
      </c>
      <c r="D402" s="52" t="s">
        <v>15</v>
      </c>
      <c r="E402" s="55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52" t="s">
        <v>44</v>
      </c>
      <c r="B403" s="52">
        <v>-159.3</v>
      </c>
      <c r="C403" s="61">
        <v>46069.0</v>
      </c>
      <c r="D403" s="52" t="s">
        <v>14</v>
      </c>
      <c r="E403" s="52" t="s">
        <v>98</v>
      </c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52" t="s">
        <v>44</v>
      </c>
      <c r="B404" s="52">
        <v>-13.51</v>
      </c>
      <c r="C404" s="61">
        <v>46069.0</v>
      </c>
      <c r="D404" s="52" t="s">
        <v>22</v>
      </c>
      <c r="E404" s="52" t="s">
        <v>64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52" t="s">
        <v>39</v>
      </c>
      <c r="B405" s="52">
        <v>-483.74</v>
      </c>
      <c r="C405" s="61">
        <v>46070.0</v>
      </c>
      <c r="D405" s="52" t="s">
        <v>22</v>
      </c>
      <c r="E405" s="52" t="s">
        <v>47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52" t="s">
        <v>39</v>
      </c>
      <c r="B406" s="56">
        <v>1500.0</v>
      </c>
      <c r="C406" s="61">
        <v>46071.0</v>
      </c>
      <c r="D406" s="52" t="s">
        <v>2</v>
      </c>
      <c r="E406" s="52" t="s">
        <v>55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52" t="s">
        <v>39</v>
      </c>
      <c r="B407" s="56">
        <v>300.0</v>
      </c>
      <c r="C407" s="61">
        <v>46071.0</v>
      </c>
      <c r="D407" s="52" t="s">
        <v>15</v>
      </c>
      <c r="E407" s="52" t="s">
        <v>55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52" t="s">
        <v>39</v>
      </c>
      <c r="B408" s="56">
        <v>-500.0</v>
      </c>
      <c r="C408" s="61">
        <v>46071.0</v>
      </c>
      <c r="D408" s="52" t="s">
        <v>16</v>
      </c>
      <c r="E408" s="55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52" t="s">
        <v>39</v>
      </c>
      <c r="B409" s="56">
        <v>-2500.0</v>
      </c>
      <c r="C409" s="61">
        <v>46071.0</v>
      </c>
      <c r="D409" s="52" t="s">
        <v>19</v>
      </c>
      <c r="E409" s="55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52" t="s">
        <v>39</v>
      </c>
      <c r="B410" s="56">
        <v>1000.0</v>
      </c>
      <c r="C410" s="61">
        <v>46071.0</v>
      </c>
      <c r="D410" s="52" t="s">
        <v>20</v>
      </c>
      <c r="E410" s="52" t="s">
        <v>55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52" t="s">
        <v>44</v>
      </c>
      <c r="B411" s="56">
        <v>-730.0</v>
      </c>
      <c r="C411" s="61">
        <v>46071.0</v>
      </c>
      <c r="D411" s="52" t="s">
        <v>21</v>
      </c>
      <c r="E411" s="52" t="s">
        <v>99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52" t="s">
        <v>44</v>
      </c>
      <c r="B412" s="56">
        <v>-600.0</v>
      </c>
      <c r="C412" s="61">
        <v>46071.0</v>
      </c>
      <c r="D412" s="52" t="s">
        <v>22</v>
      </c>
      <c r="E412" s="52" t="s">
        <v>84</v>
      </c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52" t="s">
        <v>66</v>
      </c>
      <c r="B413" s="56">
        <v>-1500.0</v>
      </c>
      <c r="C413" s="61">
        <v>46072.0</v>
      </c>
      <c r="D413" s="52" t="s">
        <v>21</v>
      </c>
      <c r="E413" s="52" t="s">
        <v>100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52" t="s">
        <v>66</v>
      </c>
      <c r="B414" s="56">
        <v>-2000.0</v>
      </c>
      <c r="C414" s="61">
        <v>46072.0</v>
      </c>
      <c r="D414" s="52" t="s">
        <v>22</v>
      </c>
      <c r="E414" s="52" t="s">
        <v>100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52" t="s">
        <v>56</v>
      </c>
      <c r="B415" s="56">
        <v>-5.0</v>
      </c>
      <c r="C415" s="61">
        <v>46072.0</v>
      </c>
      <c r="D415" s="52" t="s">
        <v>1</v>
      </c>
      <c r="E415" s="52" t="s">
        <v>101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52" t="s">
        <v>56</v>
      </c>
      <c r="B416" s="56">
        <v>-20.0</v>
      </c>
      <c r="C416" s="61">
        <v>46072.0</v>
      </c>
      <c r="D416" s="52" t="s">
        <v>1</v>
      </c>
      <c r="E416" s="52" t="s">
        <v>102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52" t="s">
        <v>56</v>
      </c>
      <c r="B417" s="56">
        <v>-22.0</v>
      </c>
      <c r="C417" s="61">
        <v>46072.0</v>
      </c>
      <c r="D417" s="52" t="s">
        <v>5</v>
      </c>
      <c r="E417" s="52" t="s">
        <v>101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52" t="s">
        <v>56</v>
      </c>
      <c r="B418" s="52">
        <v>-50.11</v>
      </c>
      <c r="C418" s="61">
        <v>46072.0</v>
      </c>
      <c r="D418" s="52" t="s">
        <v>2</v>
      </c>
      <c r="E418" s="52" t="s">
        <v>101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52" t="s">
        <v>56</v>
      </c>
      <c r="B419" s="52">
        <v>-45.56</v>
      </c>
      <c r="C419" s="61">
        <v>46072.0</v>
      </c>
      <c r="D419" s="52" t="s">
        <v>2</v>
      </c>
      <c r="E419" s="52" t="s">
        <v>102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52" t="s">
        <v>56</v>
      </c>
      <c r="B420" s="52">
        <v>-25.11</v>
      </c>
      <c r="C420" s="61">
        <v>46072.0</v>
      </c>
      <c r="D420" s="52" t="s">
        <v>3</v>
      </c>
      <c r="E420" s="52" t="s">
        <v>101</v>
      </c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52" t="s">
        <v>56</v>
      </c>
      <c r="B421" s="56">
        <v>-40.0</v>
      </c>
      <c r="C421" s="61">
        <v>46072.0</v>
      </c>
      <c r="D421" s="52" t="s">
        <v>3</v>
      </c>
      <c r="E421" s="52" t="s">
        <v>102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52" t="s">
        <v>56</v>
      </c>
      <c r="B422" s="52">
        <v>-45.29</v>
      </c>
      <c r="C422" s="61">
        <v>46072.0</v>
      </c>
      <c r="D422" s="52" t="s">
        <v>14</v>
      </c>
      <c r="E422" s="52" t="s">
        <v>101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52" t="s">
        <v>56</v>
      </c>
      <c r="B423" s="52">
        <v>-53.04</v>
      </c>
      <c r="C423" s="61">
        <v>46072.0</v>
      </c>
      <c r="D423" s="52" t="s">
        <v>19</v>
      </c>
      <c r="E423" s="52" t="s">
        <v>101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52" t="s">
        <v>56</v>
      </c>
      <c r="B424" s="56">
        <v>-140.0</v>
      </c>
      <c r="C424" s="61">
        <v>46072.0</v>
      </c>
      <c r="D424" s="52" t="s">
        <v>21</v>
      </c>
      <c r="E424" s="52" t="s">
        <v>101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52" t="s">
        <v>56</v>
      </c>
      <c r="B425" s="52">
        <v>-142.2</v>
      </c>
      <c r="C425" s="61">
        <v>46072.0</v>
      </c>
      <c r="D425" s="52" t="s">
        <v>21</v>
      </c>
      <c r="E425" s="52" t="s">
        <v>102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52" t="s">
        <v>56</v>
      </c>
      <c r="B426" s="52">
        <v>-70.4</v>
      </c>
      <c r="C426" s="61">
        <v>46072.0</v>
      </c>
      <c r="D426" s="52" t="s">
        <v>22</v>
      </c>
      <c r="E426" s="52" t="s">
        <v>101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52" t="s">
        <v>56</v>
      </c>
      <c r="B427" s="52">
        <v>-98.56</v>
      </c>
      <c r="C427" s="61">
        <v>46072.0</v>
      </c>
      <c r="D427" s="52" t="s">
        <v>22</v>
      </c>
      <c r="E427" s="52" t="s">
        <v>102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52" t="s">
        <v>44</v>
      </c>
      <c r="B428" s="56">
        <v>-150.0</v>
      </c>
      <c r="C428" s="61">
        <v>46072.0</v>
      </c>
      <c r="D428" s="52" t="s">
        <v>5</v>
      </c>
      <c r="E428" s="52" t="s">
        <v>103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52" t="s">
        <v>44</v>
      </c>
      <c r="B429" s="52">
        <v>-159.54</v>
      </c>
      <c r="C429" s="61">
        <v>46072.0</v>
      </c>
      <c r="D429" s="52" t="s">
        <v>14</v>
      </c>
      <c r="E429" s="52" t="s">
        <v>51</v>
      </c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52" t="s">
        <v>44</v>
      </c>
      <c r="B430" s="56">
        <v>-66.0</v>
      </c>
      <c r="C430" s="61">
        <v>46072.0</v>
      </c>
      <c r="D430" s="52" t="s">
        <v>16</v>
      </c>
      <c r="E430" s="52" t="s">
        <v>59</v>
      </c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52" t="s">
        <v>44</v>
      </c>
      <c r="B431" s="56">
        <v>-64.0</v>
      </c>
      <c r="C431" s="61">
        <v>46072.0</v>
      </c>
      <c r="D431" s="52" t="s">
        <v>16</v>
      </c>
      <c r="E431" s="52" t="s">
        <v>104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52" t="s">
        <v>39</v>
      </c>
      <c r="B432" s="56">
        <v>-1200.0</v>
      </c>
      <c r="C432" s="61">
        <v>46073.0</v>
      </c>
      <c r="D432" s="52" t="s">
        <v>5</v>
      </c>
      <c r="E432" s="55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52" t="s">
        <v>39</v>
      </c>
      <c r="B433" s="56">
        <v>-250.0</v>
      </c>
      <c r="C433" s="61">
        <v>46073.0</v>
      </c>
      <c r="D433" s="52" t="s">
        <v>15</v>
      </c>
      <c r="E433" s="55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52" t="s">
        <v>39</v>
      </c>
      <c r="B434" s="56">
        <v>-816.0</v>
      </c>
      <c r="C434" s="61">
        <v>46073.0</v>
      </c>
      <c r="D434" s="52" t="s">
        <v>22</v>
      </c>
      <c r="E434" s="52" t="s">
        <v>47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52" t="s">
        <v>56</v>
      </c>
      <c r="B435" s="56">
        <v>400.0</v>
      </c>
      <c r="C435" s="61">
        <v>46073.0</v>
      </c>
      <c r="D435" s="52" t="s">
        <v>1</v>
      </c>
      <c r="E435" s="52" t="s">
        <v>73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52" t="s">
        <v>56</v>
      </c>
      <c r="B436" s="56">
        <v>500.0</v>
      </c>
      <c r="C436" s="61">
        <v>46073.0</v>
      </c>
      <c r="D436" s="52" t="s">
        <v>5</v>
      </c>
      <c r="E436" s="52" t="s">
        <v>73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52" t="s">
        <v>56</v>
      </c>
      <c r="B437" s="56">
        <v>800.0</v>
      </c>
      <c r="C437" s="61">
        <v>46073.0</v>
      </c>
      <c r="D437" s="52" t="s">
        <v>2</v>
      </c>
      <c r="E437" s="52" t="s">
        <v>73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52" t="s">
        <v>56</v>
      </c>
      <c r="B438" s="56">
        <v>1100.0</v>
      </c>
      <c r="C438" s="61">
        <v>46073.0</v>
      </c>
      <c r="D438" s="52" t="s">
        <v>3</v>
      </c>
      <c r="E438" s="52" t="s">
        <v>73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52" t="s">
        <v>56</v>
      </c>
      <c r="B439" s="56">
        <v>900.0</v>
      </c>
      <c r="C439" s="61">
        <v>46073.0</v>
      </c>
      <c r="D439" s="52" t="s">
        <v>14</v>
      </c>
      <c r="E439" s="52" t="s">
        <v>73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52" t="s">
        <v>56</v>
      </c>
      <c r="B440" s="56">
        <v>400.0</v>
      </c>
      <c r="C440" s="61">
        <v>46073.0</v>
      </c>
      <c r="D440" s="52" t="s">
        <v>15</v>
      </c>
      <c r="E440" s="52" t="s">
        <v>73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52" t="s">
        <v>56</v>
      </c>
      <c r="B441" s="56">
        <v>800.0</v>
      </c>
      <c r="C441" s="61">
        <v>46073.0</v>
      </c>
      <c r="D441" s="52" t="s">
        <v>16</v>
      </c>
      <c r="E441" s="52" t="s">
        <v>73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52" t="s">
        <v>56</v>
      </c>
      <c r="B442" s="56">
        <v>600.0</v>
      </c>
      <c r="C442" s="61">
        <v>46073.0</v>
      </c>
      <c r="D442" s="52" t="s">
        <v>19</v>
      </c>
      <c r="E442" s="52" t="s">
        <v>73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52" t="s">
        <v>56</v>
      </c>
      <c r="B443" s="56">
        <v>400.0</v>
      </c>
      <c r="C443" s="61">
        <v>46073.0</v>
      </c>
      <c r="D443" s="52" t="s">
        <v>20</v>
      </c>
      <c r="E443" s="52" t="s">
        <v>73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52" t="s">
        <v>56</v>
      </c>
      <c r="B444" s="56">
        <v>800.0</v>
      </c>
      <c r="C444" s="61">
        <v>46073.0</v>
      </c>
      <c r="D444" s="52" t="s">
        <v>21</v>
      </c>
      <c r="E444" s="52" t="s">
        <v>73</v>
      </c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52" t="s">
        <v>56</v>
      </c>
      <c r="B445" s="56">
        <v>0.0</v>
      </c>
      <c r="C445" s="61">
        <v>46073.0</v>
      </c>
      <c r="D445" s="52" t="s">
        <v>22</v>
      </c>
      <c r="E445" s="52" t="s">
        <v>73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52" t="s">
        <v>56</v>
      </c>
      <c r="B446" s="56">
        <v>1000.0</v>
      </c>
      <c r="C446" s="61">
        <v>46073.0</v>
      </c>
      <c r="D446" s="52" t="s">
        <v>22</v>
      </c>
      <c r="E446" s="52" t="s">
        <v>105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52" t="s">
        <v>44</v>
      </c>
      <c r="B447" s="56">
        <v>-400.0</v>
      </c>
      <c r="C447" s="61">
        <v>46073.0</v>
      </c>
      <c r="D447" s="52" t="s">
        <v>2</v>
      </c>
      <c r="E447" s="52" t="s">
        <v>49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52" t="s">
        <v>65</v>
      </c>
      <c r="B448" s="52">
        <v>-6069.37</v>
      </c>
      <c r="C448" s="61">
        <v>46073.0</v>
      </c>
      <c r="D448" s="52" t="s">
        <v>16</v>
      </c>
      <c r="E448" s="52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52" t="s">
        <v>36</v>
      </c>
      <c r="B449" s="52">
        <v>-6735.6</v>
      </c>
      <c r="C449" s="61">
        <v>46076.0</v>
      </c>
      <c r="D449" s="52" t="s">
        <v>1</v>
      </c>
      <c r="E449" s="55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52" t="s">
        <v>36</v>
      </c>
      <c r="B450" s="52">
        <v>-3623.2</v>
      </c>
      <c r="C450" s="61">
        <v>46076.0</v>
      </c>
      <c r="D450" s="52" t="s">
        <v>5</v>
      </c>
      <c r="E450" s="55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52" t="s">
        <v>36</v>
      </c>
      <c r="B451" s="52">
        <v>-16748.5</v>
      </c>
      <c r="C451" s="61">
        <v>46076.0</v>
      </c>
      <c r="D451" s="52" t="s">
        <v>2</v>
      </c>
      <c r="E451" s="55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52" t="s">
        <v>36</v>
      </c>
      <c r="B452" s="52">
        <v>-13970.91</v>
      </c>
      <c r="C452" s="61">
        <v>46076.0</v>
      </c>
      <c r="D452" s="52" t="s">
        <v>3</v>
      </c>
      <c r="E452" s="55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52" t="s">
        <v>36</v>
      </c>
      <c r="B453" s="52">
        <v>-9184.79</v>
      </c>
      <c r="C453" s="61">
        <v>46076.0</v>
      </c>
      <c r="D453" s="52" t="s">
        <v>14</v>
      </c>
      <c r="E453" s="55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52" t="s">
        <v>36</v>
      </c>
      <c r="B454" s="52">
        <v>-5826.66</v>
      </c>
      <c r="C454" s="61">
        <v>46076.0</v>
      </c>
      <c r="D454" s="52" t="s">
        <v>15</v>
      </c>
      <c r="E454" s="55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52" t="s">
        <v>36</v>
      </c>
      <c r="B455" s="52">
        <v>-6744.23</v>
      </c>
      <c r="C455" s="61">
        <v>46076.0</v>
      </c>
      <c r="D455" s="52" t="s">
        <v>16</v>
      </c>
      <c r="E455" s="55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52" t="s">
        <v>36</v>
      </c>
      <c r="B456" s="52">
        <v>-5934.87</v>
      </c>
      <c r="C456" s="61">
        <v>46076.0</v>
      </c>
      <c r="D456" s="52" t="s">
        <v>19</v>
      </c>
      <c r="E456" s="55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52" t="s">
        <v>36</v>
      </c>
      <c r="B457" s="52">
        <v>-5391.63</v>
      </c>
      <c r="C457" s="61">
        <v>46076.0</v>
      </c>
      <c r="D457" s="52" t="s">
        <v>20</v>
      </c>
      <c r="E457" s="55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52" t="s">
        <v>36</v>
      </c>
      <c r="B458" s="52">
        <v>-5246.18</v>
      </c>
      <c r="C458" s="61">
        <v>46076.0</v>
      </c>
      <c r="D458" s="52" t="s">
        <v>21</v>
      </c>
      <c r="E458" s="55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52" t="s">
        <v>36</v>
      </c>
      <c r="B459" s="52">
        <v>-17401.84</v>
      </c>
      <c r="C459" s="61">
        <v>46076.0</v>
      </c>
      <c r="D459" s="52" t="s">
        <v>22</v>
      </c>
      <c r="E459" s="55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52" t="s">
        <v>39</v>
      </c>
      <c r="B460" s="56">
        <v>-400.0</v>
      </c>
      <c r="C460" s="61">
        <v>46076.0</v>
      </c>
      <c r="D460" s="52" t="s">
        <v>5</v>
      </c>
      <c r="E460" s="55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52" t="s">
        <v>39</v>
      </c>
      <c r="B461" s="56">
        <v>2000.0</v>
      </c>
      <c r="C461" s="61">
        <v>46076.0</v>
      </c>
      <c r="D461" s="52" t="s">
        <v>2</v>
      </c>
      <c r="E461" s="52" t="s">
        <v>55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52" t="s">
        <v>39</v>
      </c>
      <c r="B462" s="56">
        <v>-1000.0</v>
      </c>
      <c r="C462" s="61">
        <v>46076.0</v>
      </c>
      <c r="D462" s="52" t="s">
        <v>14</v>
      </c>
      <c r="E462" s="55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52" t="s">
        <v>39</v>
      </c>
      <c r="B463" s="56">
        <v>-350.0</v>
      </c>
      <c r="C463" s="61">
        <v>46076.0</v>
      </c>
      <c r="D463" s="52" t="s">
        <v>15</v>
      </c>
      <c r="E463" s="55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52" t="s">
        <v>39</v>
      </c>
      <c r="B464" s="56">
        <v>-1000.0</v>
      </c>
      <c r="C464" s="61">
        <v>46076.0</v>
      </c>
      <c r="D464" s="52" t="s">
        <v>16</v>
      </c>
      <c r="E464" s="55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52" t="s">
        <v>39</v>
      </c>
      <c r="B465" s="56">
        <v>-1850.0</v>
      </c>
      <c r="C465" s="61">
        <v>46076.0</v>
      </c>
      <c r="D465" s="52" t="s">
        <v>19</v>
      </c>
      <c r="E465" s="55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52" t="s">
        <v>39</v>
      </c>
      <c r="B466" s="56">
        <v>-1500.0</v>
      </c>
      <c r="C466" s="61">
        <v>46076.0</v>
      </c>
      <c r="D466" s="52" t="s">
        <v>21</v>
      </c>
      <c r="E466" s="55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52" t="s">
        <v>39</v>
      </c>
      <c r="B467" s="56">
        <v>-2000.0</v>
      </c>
      <c r="C467" s="61">
        <v>46076.0</v>
      </c>
      <c r="D467" s="52" t="s">
        <v>22</v>
      </c>
      <c r="E467" s="55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52" t="s">
        <v>65</v>
      </c>
      <c r="B468" s="52">
        <v>-2922.97</v>
      </c>
      <c r="C468" s="61">
        <v>46076.0</v>
      </c>
      <c r="D468" s="52" t="s">
        <v>3</v>
      </c>
      <c r="E468" s="55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52" t="s">
        <v>65</v>
      </c>
      <c r="B469" s="52">
        <v>-173.96</v>
      </c>
      <c r="C469" s="61">
        <v>46076.0</v>
      </c>
      <c r="D469" s="52" t="s">
        <v>16</v>
      </c>
      <c r="E469" s="55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52" t="s">
        <v>65</v>
      </c>
      <c r="B470" s="52">
        <v>-1159.97</v>
      </c>
      <c r="C470" s="61">
        <v>46076.0</v>
      </c>
      <c r="D470" s="52" t="s">
        <v>21</v>
      </c>
      <c r="E470" s="55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52" t="s">
        <v>44</v>
      </c>
      <c r="B471" s="56">
        <v>-500.0</v>
      </c>
      <c r="C471" s="61">
        <v>46076.0</v>
      </c>
      <c r="D471" s="52" t="s">
        <v>14</v>
      </c>
      <c r="E471" s="52" t="s">
        <v>106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52" t="s">
        <v>44</v>
      </c>
      <c r="B472" s="56">
        <v>-92.0</v>
      </c>
      <c r="C472" s="61">
        <v>46076.0</v>
      </c>
      <c r="D472" s="52" t="s">
        <v>14</v>
      </c>
      <c r="E472" s="52" t="s">
        <v>53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52" t="s">
        <v>44</v>
      </c>
      <c r="B473" s="56">
        <v>-24.0</v>
      </c>
      <c r="C473" s="61">
        <v>46076.0</v>
      </c>
      <c r="D473" s="52" t="s">
        <v>14</v>
      </c>
      <c r="E473" s="52" t="s">
        <v>107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52" t="s">
        <v>39</v>
      </c>
      <c r="B474" s="56">
        <v>-738.34</v>
      </c>
      <c r="C474" s="61">
        <v>46077.0</v>
      </c>
      <c r="D474" s="52" t="s">
        <v>22</v>
      </c>
      <c r="E474" s="52" t="s">
        <v>47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52" t="s">
        <v>44</v>
      </c>
      <c r="B475" s="56">
        <v>-100.0</v>
      </c>
      <c r="C475" s="61">
        <v>46077.0</v>
      </c>
      <c r="D475" s="52" t="s">
        <v>16</v>
      </c>
      <c r="E475" s="52" t="s">
        <v>75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52" t="s">
        <v>44</v>
      </c>
      <c r="B476" s="56">
        <v>-100.0</v>
      </c>
      <c r="C476" s="61">
        <v>46077.0</v>
      </c>
      <c r="D476" s="52" t="s">
        <v>21</v>
      </c>
      <c r="E476" s="52" t="s">
        <v>108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52" t="s">
        <v>39</v>
      </c>
      <c r="B477" s="56">
        <v>-500.0</v>
      </c>
      <c r="C477" s="61">
        <v>46078.0</v>
      </c>
      <c r="D477" s="52" t="s">
        <v>16</v>
      </c>
      <c r="E477" s="55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52" t="s">
        <v>39</v>
      </c>
      <c r="B478" s="56">
        <v>-1000.0</v>
      </c>
      <c r="C478" s="61">
        <v>46078.0</v>
      </c>
      <c r="D478" s="52" t="s">
        <v>19</v>
      </c>
      <c r="E478" s="55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52" t="s">
        <v>39</v>
      </c>
      <c r="B479" s="56">
        <v>-500.0</v>
      </c>
      <c r="C479" s="61">
        <v>46078.0</v>
      </c>
      <c r="D479" s="52" t="s">
        <v>21</v>
      </c>
      <c r="E479" s="55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52" t="s">
        <v>39</v>
      </c>
      <c r="B480" s="56">
        <v>1000.0</v>
      </c>
      <c r="C480" s="61">
        <v>46078.0</v>
      </c>
      <c r="D480" s="52" t="s">
        <v>22</v>
      </c>
      <c r="E480" s="52" t="s">
        <v>55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52" t="s">
        <v>44</v>
      </c>
      <c r="B481" s="56">
        <v>-167.0</v>
      </c>
      <c r="C481" s="61">
        <v>46078.0</v>
      </c>
      <c r="D481" s="52" t="s">
        <v>14</v>
      </c>
      <c r="E481" s="52" t="s">
        <v>53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52" t="s">
        <v>44</v>
      </c>
      <c r="B482" s="52">
        <v>-65.0</v>
      </c>
      <c r="C482" s="61">
        <v>46079.0</v>
      </c>
      <c r="D482" s="52" t="s">
        <v>3</v>
      </c>
      <c r="E482" s="52" t="s">
        <v>109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52" t="s">
        <v>39</v>
      </c>
      <c r="B483" s="56">
        <v>500.0</v>
      </c>
      <c r="C483" s="61">
        <v>46080.0</v>
      </c>
      <c r="D483" s="52" t="s">
        <v>5</v>
      </c>
      <c r="E483" s="52" t="s">
        <v>55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52" t="s">
        <v>39</v>
      </c>
      <c r="B484" s="56">
        <v>1000.0</v>
      </c>
      <c r="C484" s="61">
        <v>46080.0</v>
      </c>
      <c r="D484" s="52" t="s">
        <v>2</v>
      </c>
      <c r="E484" s="52" t="s">
        <v>55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52" t="s">
        <v>39</v>
      </c>
      <c r="B485" s="56">
        <v>-250.0</v>
      </c>
      <c r="C485" s="61">
        <v>46080.0</v>
      </c>
      <c r="D485" s="52" t="s">
        <v>15</v>
      </c>
      <c r="E485" s="55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52" t="s">
        <v>44</v>
      </c>
      <c r="B486" s="56">
        <v>-44.0</v>
      </c>
      <c r="C486" s="61">
        <v>46080.0</v>
      </c>
      <c r="D486" s="52" t="s">
        <v>14</v>
      </c>
      <c r="E486" s="52" t="s">
        <v>110</v>
      </c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52" t="s">
        <v>36</v>
      </c>
      <c r="B487" s="52">
        <v>-5435.03</v>
      </c>
      <c r="C487" s="61">
        <v>46083.0</v>
      </c>
      <c r="D487" s="52" t="s">
        <v>1</v>
      </c>
      <c r="E487" s="55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52" t="s">
        <v>36</v>
      </c>
      <c r="B488" s="52">
        <v>-3707.98</v>
      </c>
      <c r="C488" s="61">
        <v>46083.0</v>
      </c>
      <c r="D488" s="52" t="s">
        <v>5</v>
      </c>
      <c r="E488" s="55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52" t="s">
        <v>36</v>
      </c>
      <c r="B489" s="52">
        <v>-14434.33</v>
      </c>
      <c r="C489" s="61">
        <v>46083.0</v>
      </c>
      <c r="D489" s="52" t="s">
        <v>2</v>
      </c>
      <c r="E489" s="55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52" t="s">
        <v>36</v>
      </c>
      <c r="B490" s="52">
        <v>-13498.36</v>
      </c>
      <c r="C490" s="61">
        <v>46083.0</v>
      </c>
      <c r="D490" s="52" t="s">
        <v>3</v>
      </c>
      <c r="E490" s="55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52" t="s">
        <v>36</v>
      </c>
      <c r="B491" s="52">
        <v>-4102.06</v>
      </c>
      <c r="C491" s="61">
        <v>46083.0</v>
      </c>
      <c r="D491" s="52" t="s">
        <v>14</v>
      </c>
      <c r="E491" s="55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52" t="s">
        <v>36</v>
      </c>
      <c r="B492" s="52">
        <v>-4164.44</v>
      </c>
      <c r="C492" s="61">
        <v>46083.0</v>
      </c>
      <c r="D492" s="52" t="s">
        <v>15</v>
      </c>
      <c r="E492" s="55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52" t="s">
        <v>36</v>
      </c>
      <c r="B493" s="52">
        <v>-6301.12</v>
      </c>
      <c r="C493" s="61">
        <v>46083.0</v>
      </c>
      <c r="D493" s="52" t="s">
        <v>16</v>
      </c>
      <c r="E493" s="55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52" t="s">
        <v>36</v>
      </c>
      <c r="B494" s="52">
        <v>-6863.84</v>
      </c>
      <c r="C494" s="61">
        <v>46083.0</v>
      </c>
      <c r="D494" s="52" t="s">
        <v>19</v>
      </c>
      <c r="E494" s="55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52" t="s">
        <v>36</v>
      </c>
      <c r="B495" s="52">
        <v>-5190.37</v>
      </c>
      <c r="C495" s="61">
        <v>46083.0</v>
      </c>
      <c r="D495" s="52" t="s">
        <v>20</v>
      </c>
      <c r="E495" s="55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52" t="s">
        <v>36</v>
      </c>
      <c r="B496" s="52">
        <v>-6525.9</v>
      </c>
      <c r="C496" s="61">
        <v>46083.0</v>
      </c>
      <c r="D496" s="52" t="s">
        <v>21</v>
      </c>
      <c r="E496" s="55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52" t="s">
        <v>36</v>
      </c>
      <c r="B497" s="52">
        <v>-10619.83</v>
      </c>
      <c r="C497" s="61">
        <v>46083.0</v>
      </c>
      <c r="D497" s="52" t="s">
        <v>22</v>
      </c>
      <c r="E497" s="55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52" t="s">
        <v>39</v>
      </c>
      <c r="B498" s="56">
        <v>-1000.0</v>
      </c>
      <c r="C498" s="61">
        <v>46083.0</v>
      </c>
      <c r="D498" s="52" t="s">
        <v>5</v>
      </c>
      <c r="E498" s="55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52" t="s">
        <v>39</v>
      </c>
      <c r="B499" s="56">
        <v>-1000.0</v>
      </c>
      <c r="C499" s="61">
        <v>46083.0</v>
      </c>
      <c r="D499" s="52" t="s">
        <v>21</v>
      </c>
      <c r="E499" s="55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52" t="s">
        <v>39</v>
      </c>
      <c r="B500" s="56">
        <v>-1000.0</v>
      </c>
      <c r="C500" s="61">
        <v>46083.0</v>
      </c>
      <c r="D500" s="52" t="s">
        <v>22</v>
      </c>
      <c r="E500" s="55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52" t="s">
        <v>44</v>
      </c>
      <c r="B501" s="52">
        <v>-35.8</v>
      </c>
      <c r="C501" s="61">
        <v>46083.0</v>
      </c>
      <c r="D501" s="52" t="s">
        <v>2</v>
      </c>
      <c r="E501" s="52" t="s">
        <v>61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52" t="s">
        <v>44</v>
      </c>
      <c r="B502" s="56">
        <v>-8.0</v>
      </c>
      <c r="C502" s="61">
        <v>46083.0</v>
      </c>
      <c r="D502" s="52" t="s">
        <v>14</v>
      </c>
      <c r="E502" s="52" t="s">
        <v>64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52" t="s">
        <v>44</v>
      </c>
      <c r="B503" s="56">
        <v>-188.0</v>
      </c>
      <c r="C503" s="61">
        <v>46083.0</v>
      </c>
      <c r="D503" s="52" t="s">
        <v>14</v>
      </c>
      <c r="E503" s="52" t="s">
        <v>53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52" t="s">
        <v>44</v>
      </c>
      <c r="B504" s="52">
        <v>-38.34</v>
      </c>
      <c r="C504" s="61">
        <v>46083.0</v>
      </c>
      <c r="D504" s="52" t="s">
        <v>16</v>
      </c>
      <c r="E504" s="52" t="s">
        <v>71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52" t="s">
        <v>44</v>
      </c>
      <c r="B505" s="56">
        <v>-45.0</v>
      </c>
      <c r="C505" s="61">
        <v>46083.0</v>
      </c>
      <c r="D505" s="52" t="s">
        <v>19</v>
      </c>
      <c r="E505" s="52" t="s">
        <v>111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52" t="s">
        <v>66</v>
      </c>
      <c r="B506" s="56">
        <v>-1000.0</v>
      </c>
      <c r="C506" s="61">
        <v>46084.0</v>
      </c>
      <c r="D506" s="52" t="s">
        <v>16</v>
      </c>
      <c r="E506" s="55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52" t="s">
        <v>39</v>
      </c>
      <c r="B507" s="56">
        <v>500.0</v>
      </c>
      <c r="C507" s="61">
        <v>46085.0</v>
      </c>
      <c r="D507" s="52" t="s">
        <v>15</v>
      </c>
      <c r="E507" s="52" t="s">
        <v>55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52" t="s">
        <v>39</v>
      </c>
      <c r="B508" s="56">
        <v>-500.0</v>
      </c>
      <c r="C508" s="61">
        <v>46085.0</v>
      </c>
      <c r="D508" s="52" t="s">
        <v>16</v>
      </c>
      <c r="E508" s="55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52" t="s">
        <v>39</v>
      </c>
      <c r="B509" s="56">
        <v>-1000.0</v>
      </c>
      <c r="C509" s="61">
        <v>46085.0</v>
      </c>
      <c r="D509" s="52" t="s">
        <v>19</v>
      </c>
      <c r="E509" s="55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52" t="s">
        <v>39</v>
      </c>
      <c r="B510" s="56">
        <v>-500.0</v>
      </c>
      <c r="C510" s="61">
        <v>46085.0</v>
      </c>
      <c r="D510" s="52" t="s">
        <v>21</v>
      </c>
      <c r="E510" s="55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52" t="s">
        <v>44</v>
      </c>
      <c r="B511" s="56">
        <v>-140.0</v>
      </c>
      <c r="C511" s="61">
        <v>46085.0</v>
      </c>
      <c r="D511" s="52" t="s">
        <v>14</v>
      </c>
      <c r="E511" s="52" t="s">
        <v>53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52" t="s">
        <v>37</v>
      </c>
      <c r="B512" s="52">
        <v>25896.73</v>
      </c>
      <c r="C512" s="61">
        <v>46086.0</v>
      </c>
      <c r="D512" s="52" t="s">
        <v>1</v>
      </c>
      <c r="E512" s="52" t="s">
        <v>112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52" t="s">
        <v>37</v>
      </c>
      <c r="B513" s="52">
        <v>20560.97</v>
      </c>
      <c r="C513" s="61">
        <v>46086.0</v>
      </c>
      <c r="D513" s="52" t="s">
        <v>5</v>
      </c>
      <c r="E513" s="52" t="s">
        <v>112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52" t="s">
        <v>37</v>
      </c>
      <c r="B514" s="52">
        <v>47003.4</v>
      </c>
      <c r="C514" s="61">
        <v>46086.0</v>
      </c>
      <c r="D514" s="52" t="s">
        <v>2</v>
      </c>
      <c r="E514" s="52" t="s">
        <v>112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52" t="s">
        <v>37</v>
      </c>
      <c r="B515" s="52">
        <v>46596.52</v>
      </c>
      <c r="C515" s="61">
        <v>46086.0</v>
      </c>
      <c r="D515" s="52" t="s">
        <v>3</v>
      </c>
      <c r="E515" s="52" t="s">
        <v>112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52" t="s">
        <v>37</v>
      </c>
      <c r="B516" s="52">
        <v>35842.22</v>
      </c>
      <c r="C516" s="61">
        <v>46086.0</v>
      </c>
      <c r="D516" s="52" t="s">
        <v>14</v>
      </c>
      <c r="E516" s="52" t="s">
        <v>112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52" t="s">
        <v>37</v>
      </c>
      <c r="B517" s="52">
        <v>19866.42</v>
      </c>
      <c r="C517" s="61">
        <v>46086.0</v>
      </c>
      <c r="D517" s="52" t="s">
        <v>15</v>
      </c>
      <c r="E517" s="52" t="s">
        <v>112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52" t="s">
        <v>37</v>
      </c>
      <c r="B518" s="52">
        <v>34296.99</v>
      </c>
      <c r="C518" s="61">
        <v>46086.0</v>
      </c>
      <c r="D518" s="52" t="s">
        <v>16</v>
      </c>
      <c r="E518" s="52" t="s">
        <v>112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52" t="s">
        <v>37</v>
      </c>
      <c r="B519" s="52">
        <v>34547.99</v>
      </c>
      <c r="C519" s="61">
        <v>46086.0</v>
      </c>
      <c r="D519" s="52" t="s">
        <v>19</v>
      </c>
      <c r="E519" s="52" t="s">
        <v>112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52" t="s">
        <v>37</v>
      </c>
      <c r="B520" s="52">
        <v>21878.46</v>
      </c>
      <c r="C520" s="61">
        <v>46086.0</v>
      </c>
      <c r="D520" s="52" t="s">
        <v>20</v>
      </c>
      <c r="E520" s="52" t="s">
        <v>112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52" t="s">
        <v>37</v>
      </c>
      <c r="B521" s="52">
        <v>35247.56</v>
      </c>
      <c r="C521" s="61">
        <v>46086.0</v>
      </c>
      <c r="D521" s="52" t="s">
        <v>21</v>
      </c>
      <c r="E521" s="52" t="s">
        <v>112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52" t="s">
        <v>37</v>
      </c>
      <c r="B522" s="52">
        <v>65155.32</v>
      </c>
      <c r="C522" s="61">
        <v>46086.0</v>
      </c>
      <c r="D522" s="52" t="s">
        <v>22</v>
      </c>
      <c r="E522" s="52" t="s">
        <v>112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52" t="s">
        <v>39</v>
      </c>
      <c r="B523" s="56">
        <v>2000.0</v>
      </c>
      <c r="C523" s="61">
        <v>46087.0</v>
      </c>
      <c r="D523" s="52" t="s">
        <v>2</v>
      </c>
      <c r="E523" s="52" t="s">
        <v>55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52" t="s">
        <v>39</v>
      </c>
      <c r="B524" s="56">
        <v>-250.0</v>
      </c>
      <c r="C524" s="61">
        <v>46087.0</v>
      </c>
      <c r="D524" s="52" t="s">
        <v>15</v>
      </c>
      <c r="E524" s="55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52" t="s">
        <v>39</v>
      </c>
      <c r="B525" s="52">
        <v>-763.8</v>
      </c>
      <c r="C525" s="61">
        <v>46087.0</v>
      </c>
      <c r="D525" s="52" t="s">
        <v>22</v>
      </c>
      <c r="E525" s="52" t="s">
        <v>47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52" t="s">
        <v>56</v>
      </c>
      <c r="B526" s="52">
        <v>-3.21</v>
      </c>
      <c r="C526" s="61">
        <v>46087.0</v>
      </c>
      <c r="D526" s="52" t="s">
        <v>1</v>
      </c>
      <c r="E526" s="52" t="s">
        <v>113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52" t="s">
        <v>56</v>
      </c>
      <c r="B527" s="56">
        <v>-115.0</v>
      </c>
      <c r="C527" s="61">
        <v>46087.0</v>
      </c>
      <c r="D527" s="52" t="s">
        <v>2</v>
      </c>
      <c r="E527" s="52" t="s">
        <v>114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52" t="s">
        <v>56</v>
      </c>
      <c r="B528" s="52">
        <v>-5.11</v>
      </c>
      <c r="C528" s="61">
        <v>46087.0</v>
      </c>
      <c r="D528" s="52" t="s">
        <v>2</v>
      </c>
      <c r="E528" s="52" t="s">
        <v>113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52" t="s">
        <v>56</v>
      </c>
      <c r="B529" s="52">
        <v>-11.11</v>
      </c>
      <c r="C529" s="61">
        <v>46087.0</v>
      </c>
      <c r="D529" s="52" t="s">
        <v>3</v>
      </c>
      <c r="E529" s="52" t="s">
        <v>114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52" t="s">
        <v>56</v>
      </c>
      <c r="B530" s="52">
        <v>-130.23</v>
      </c>
      <c r="C530" s="61">
        <v>46087.0</v>
      </c>
      <c r="D530" s="52" t="s">
        <v>3</v>
      </c>
      <c r="E530" s="52" t="s">
        <v>113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52" t="s">
        <v>56</v>
      </c>
      <c r="B531" s="52">
        <v>-6.2</v>
      </c>
      <c r="C531" s="61">
        <v>46087.0</v>
      </c>
      <c r="D531" s="52" t="s">
        <v>14</v>
      </c>
      <c r="E531" s="52" t="s">
        <v>114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52" t="s">
        <v>56</v>
      </c>
      <c r="B532" s="52">
        <v>-122.04</v>
      </c>
      <c r="C532" s="61">
        <v>46087.0</v>
      </c>
      <c r="D532" s="52" t="s">
        <v>14</v>
      </c>
      <c r="E532" s="52" t="s">
        <v>113</v>
      </c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52" t="s">
        <v>56</v>
      </c>
      <c r="B533" s="56">
        <v>-41.0</v>
      </c>
      <c r="C533" s="61">
        <v>46087.0</v>
      </c>
      <c r="D533" s="52" t="s">
        <v>15</v>
      </c>
      <c r="E533" s="52" t="s">
        <v>113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52" t="s">
        <v>56</v>
      </c>
      <c r="B534" s="52">
        <v>-72.4</v>
      </c>
      <c r="C534" s="61">
        <v>46087.0</v>
      </c>
      <c r="D534" s="52" t="s">
        <v>19</v>
      </c>
      <c r="E534" s="52" t="s">
        <v>114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52" t="s">
        <v>56</v>
      </c>
      <c r="B535" s="52">
        <v>-8.1</v>
      </c>
      <c r="C535" s="61">
        <v>46087.0</v>
      </c>
      <c r="D535" s="52" t="s">
        <v>20</v>
      </c>
      <c r="E535" s="52" t="s">
        <v>114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52" t="s">
        <v>56</v>
      </c>
      <c r="B536" s="52">
        <v>-280.1</v>
      </c>
      <c r="C536" s="61">
        <v>46087.0</v>
      </c>
      <c r="D536" s="52" t="s">
        <v>21</v>
      </c>
      <c r="E536" s="52" t="s">
        <v>114</v>
      </c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52" t="s">
        <v>56</v>
      </c>
      <c r="B537" s="56">
        <v>-351.0</v>
      </c>
      <c r="C537" s="61">
        <v>46087.0</v>
      </c>
      <c r="D537" s="52" t="s">
        <v>21</v>
      </c>
      <c r="E537" s="52" t="s">
        <v>113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52" t="s">
        <v>56</v>
      </c>
      <c r="B538" s="52">
        <v>-44.2</v>
      </c>
      <c r="C538" s="61">
        <v>46087.0</v>
      </c>
      <c r="D538" s="52" t="s">
        <v>22</v>
      </c>
      <c r="E538" s="52" t="s">
        <v>114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52" t="s">
        <v>56</v>
      </c>
      <c r="B539" s="56">
        <v>-70.0</v>
      </c>
      <c r="C539" s="61">
        <v>46087.0</v>
      </c>
      <c r="D539" s="52" t="s">
        <v>22</v>
      </c>
      <c r="E539" s="52" t="s">
        <v>113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52" t="s">
        <v>44</v>
      </c>
      <c r="B540" s="56">
        <v>-37.0</v>
      </c>
      <c r="C540" s="61">
        <v>46087.0</v>
      </c>
      <c r="D540" s="52" t="s">
        <v>14</v>
      </c>
      <c r="E540" s="52" t="s">
        <v>53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52" t="s">
        <v>65</v>
      </c>
      <c r="B541" s="52">
        <v>-2201.89</v>
      </c>
      <c r="C541" s="61">
        <v>46085.0</v>
      </c>
      <c r="D541" s="52" t="s">
        <v>1</v>
      </c>
      <c r="E541" s="52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52" t="s">
        <v>65</v>
      </c>
      <c r="B542" s="52">
        <v>-1079.46</v>
      </c>
      <c r="C542" s="61">
        <v>46085.0</v>
      </c>
      <c r="D542" s="52" t="s">
        <v>2</v>
      </c>
      <c r="E542" s="52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52" t="s">
        <v>65</v>
      </c>
      <c r="B543" s="52">
        <v>-1726.15</v>
      </c>
      <c r="C543" s="61">
        <v>46085.0</v>
      </c>
      <c r="D543" s="52" t="s">
        <v>15</v>
      </c>
      <c r="E543" s="52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52" t="s">
        <v>65</v>
      </c>
      <c r="B544" s="52">
        <v>-33.34</v>
      </c>
      <c r="C544" s="61">
        <v>46085.0</v>
      </c>
      <c r="D544" s="52" t="s">
        <v>21</v>
      </c>
      <c r="E544" s="52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52" t="s">
        <v>36</v>
      </c>
      <c r="B545" s="52">
        <v>-6286.98</v>
      </c>
      <c r="C545" s="61">
        <v>46090.0</v>
      </c>
      <c r="D545" s="52" t="s">
        <v>1</v>
      </c>
      <c r="E545" s="55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52" t="s">
        <v>36</v>
      </c>
      <c r="B546" s="52">
        <v>-3205.38</v>
      </c>
      <c r="C546" s="61">
        <v>46090.0</v>
      </c>
      <c r="D546" s="52" t="s">
        <v>5</v>
      </c>
      <c r="E546" s="55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52" t="s">
        <v>36</v>
      </c>
      <c r="B547" s="52">
        <v>-12655.6</v>
      </c>
      <c r="C547" s="61">
        <v>46090.0</v>
      </c>
      <c r="D547" s="52" t="s">
        <v>2</v>
      </c>
      <c r="E547" s="55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52" t="s">
        <v>36</v>
      </c>
      <c r="B548" s="52">
        <v>-9776.9</v>
      </c>
      <c r="C548" s="61">
        <v>46090.0</v>
      </c>
      <c r="D548" s="52" t="s">
        <v>3</v>
      </c>
      <c r="E548" s="55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52" t="s">
        <v>36</v>
      </c>
      <c r="B549" s="52">
        <v>-6933.49</v>
      </c>
      <c r="C549" s="61">
        <v>46090.0</v>
      </c>
      <c r="D549" s="52" t="s">
        <v>14</v>
      </c>
      <c r="E549" s="55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52" t="s">
        <v>36</v>
      </c>
      <c r="B550" s="52">
        <v>-3267.56</v>
      </c>
      <c r="C550" s="61">
        <v>46090.0</v>
      </c>
      <c r="D550" s="52" t="s">
        <v>15</v>
      </c>
      <c r="E550" s="55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52" t="s">
        <v>36</v>
      </c>
      <c r="B551" s="52">
        <v>-6445.78</v>
      </c>
      <c r="C551" s="61">
        <v>46090.0</v>
      </c>
      <c r="D551" s="52" t="s">
        <v>16</v>
      </c>
      <c r="E551" s="55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52" t="s">
        <v>36</v>
      </c>
      <c r="B552" s="52">
        <v>-5981.73</v>
      </c>
      <c r="C552" s="61">
        <v>46090.0</v>
      </c>
      <c r="D552" s="52" t="s">
        <v>19</v>
      </c>
      <c r="E552" s="55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52" t="s">
        <v>36</v>
      </c>
      <c r="B553" s="52">
        <v>-3110.87</v>
      </c>
      <c r="C553" s="61">
        <v>46090.0</v>
      </c>
      <c r="D553" s="52" t="s">
        <v>20</v>
      </c>
      <c r="E553" s="55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52" t="s">
        <v>36</v>
      </c>
      <c r="B554" s="52">
        <v>-4167.96</v>
      </c>
      <c r="C554" s="61">
        <v>46090.0</v>
      </c>
      <c r="D554" s="52" t="s">
        <v>21</v>
      </c>
      <c r="E554" s="55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52" t="s">
        <v>36</v>
      </c>
      <c r="B555" s="52">
        <v>-9800.03</v>
      </c>
      <c r="C555" s="61">
        <v>46090.0</v>
      </c>
      <c r="D555" s="52" t="s">
        <v>22</v>
      </c>
      <c r="E555" s="55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52" t="s">
        <v>39</v>
      </c>
      <c r="B556" s="56">
        <v>-1500.0</v>
      </c>
      <c r="C556" s="61">
        <v>46090.0</v>
      </c>
      <c r="D556" s="52" t="s">
        <v>5</v>
      </c>
      <c r="E556" s="55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52" t="s">
        <v>39</v>
      </c>
      <c r="B557" s="56">
        <v>-500.0</v>
      </c>
      <c r="C557" s="61">
        <v>46090.0</v>
      </c>
      <c r="D557" s="52" t="s">
        <v>14</v>
      </c>
      <c r="E557" s="55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52" t="s">
        <v>39</v>
      </c>
      <c r="B558" s="52">
        <v>-1000.0</v>
      </c>
      <c r="C558" s="61">
        <v>46090.0</v>
      </c>
      <c r="D558" s="52" t="s">
        <v>16</v>
      </c>
      <c r="E558" s="55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52" t="s">
        <v>39</v>
      </c>
      <c r="B559" s="56">
        <v>1500.0</v>
      </c>
      <c r="C559" s="61">
        <v>46090.0</v>
      </c>
      <c r="D559" s="52" t="s">
        <v>20</v>
      </c>
      <c r="E559" s="52" t="s">
        <v>55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52" t="s">
        <v>39</v>
      </c>
      <c r="B560" s="52">
        <v>-2000.0</v>
      </c>
      <c r="C560" s="61">
        <v>46090.0</v>
      </c>
      <c r="D560" s="52" t="s">
        <v>21</v>
      </c>
      <c r="E560" s="55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52" t="s">
        <v>65</v>
      </c>
      <c r="B561" s="52">
        <v>-88.28</v>
      </c>
      <c r="C561" s="61">
        <v>46090.0</v>
      </c>
      <c r="D561" s="52" t="s">
        <v>1</v>
      </c>
      <c r="E561" s="55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52" t="s">
        <v>65</v>
      </c>
      <c r="B562" s="52">
        <v>-777.55</v>
      </c>
      <c r="C562" s="61">
        <v>46090.0</v>
      </c>
      <c r="D562" s="52" t="s">
        <v>21</v>
      </c>
      <c r="E562" s="55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52" t="s">
        <v>115</v>
      </c>
      <c r="B563" s="52">
        <v>-1420.29</v>
      </c>
      <c r="C563" s="61">
        <v>46090.0</v>
      </c>
      <c r="D563" s="52" t="s">
        <v>1</v>
      </c>
      <c r="E563" s="55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52" t="s">
        <v>115</v>
      </c>
      <c r="B564" s="52">
        <v>-160.64</v>
      </c>
      <c r="C564" s="61">
        <v>46090.0</v>
      </c>
      <c r="D564" s="52" t="s">
        <v>5</v>
      </c>
      <c r="E564" s="55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52" t="s">
        <v>115</v>
      </c>
      <c r="B565" s="52">
        <v>-3385.02</v>
      </c>
      <c r="C565" s="61">
        <v>46090.0</v>
      </c>
      <c r="D565" s="52" t="s">
        <v>2</v>
      </c>
      <c r="E565" s="55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52" t="s">
        <v>115</v>
      </c>
      <c r="B566" s="52">
        <v>-4502.03</v>
      </c>
      <c r="C566" s="61">
        <v>46090.0</v>
      </c>
      <c r="D566" s="52" t="s">
        <v>3</v>
      </c>
      <c r="E566" s="55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52" t="s">
        <v>115</v>
      </c>
      <c r="B567" s="52">
        <v>-6744.92</v>
      </c>
      <c r="C567" s="61">
        <v>46090.0</v>
      </c>
      <c r="D567" s="52" t="s">
        <v>14</v>
      </c>
      <c r="E567" s="55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52" t="s">
        <v>115</v>
      </c>
      <c r="B568" s="56">
        <v>-2359.0</v>
      </c>
      <c r="C568" s="61">
        <v>46090.0</v>
      </c>
      <c r="D568" s="52" t="s">
        <v>15</v>
      </c>
      <c r="E568" s="55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52" t="s">
        <v>115</v>
      </c>
      <c r="B569" s="52">
        <v>-369.08</v>
      </c>
      <c r="C569" s="61">
        <v>46090.0</v>
      </c>
      <c r="D569" s="52" t="s">
        <v>16</v>
      </c>
      <c r="E569" s="55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52" t="s">
        <v>115</v>
      </c>
      <c r="B570" s="52">
        <v>-922.82</v>
      </c>
      <c r="C570" s="61">
        <v>46090.0</v>
      </c>
      <c r="D570" s="52" t="s">
        <v>19</v>
      </c>
      <c r="E570" s="55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52" t="s">
        <v>115</v>
      </c>
      <c r="B571" s="52">
        <v>-2053.43</v>
      </c>
      <c r="C571" s="61">
        <v>46090.0</v>
      </c>
      <c r="D571" s="52" t="s">
        <v>20</v>
      </c>
      <c r="E571" s="55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52" t="s">
        <v>115</v>
      </c>
      <c r="B572" s="52">
        <v>-1022.97</v>
      </c>
      <c r="C572" s="61">
        <v>46090.0</v>
      </c>
      <c r="D572" s="52" t="s">
        <v>21</v>
      </c>
      <c r="E572" s="55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52" t="s">
        <v>115</v>
      </c>
      <c r="B573" s="52">
        <v>-10720.99</v>
      </c>
      <c r="C573" s="61">
        <v>46090.0</v>
      </c>
      <c r="D573" s="52" t="s">
        <v>22</v>
      </c>
      <c r="E573" s="55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52" t="s">
        <v>44</v>
      </c>
      <c r="B574" s="56">
        <v>-1000.0</v>
      </c>
      <c r="C574" s="61">
        <v>46090.0</v>
      </c>
      <c r="D574" s="52" t="s">
        <v>14</v>
      </c>
      <c r="E574" s="52" t="s">
        <v>116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52" t="s">
        <v>44</v>
      </c>
      <c r="B575" s="56">
        <v>-13.0</v>
      </c>
      <c r="C575" s="61">
        <v>46090.0</v>
      </c>
      <c r="D575" s="52" t="s">
        <v>14</v>
      </c>
      <c r="E575" s="52" t="s">
        <v>94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52" t="s">
        <v>44</v>
      </c>
      <c r="B576" s="56">
        <v>-172.0</v>
      </c>
      <c r="C576" s="61">
        <v>46090.0</v>
      </c>
      <c r="D576" s="52" t="s">
        <v>14</v>
      </c>
      <c r="E576" s="52" t="s">
        <v>53</v>
      </c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52" t="s">
        <v>39</v>
      </c>
      <c r="B577" s="52">
        <v>-687.42</v>
      </c>
      <c r="C577" s="61">
        <v>46091.0</v>
      </c>
      <c r="D577" s="52" t="s">
        <v>22</v>
      </c>
      <c r="E577" s="52" t="s">
        <v>47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52" t="s">
        <v>44</v>
      </c>
      <c r="B578" s="52">
        <v>-4.5</v>
      </c>
      <c r="C578" s="61">
        <v>46091.0</v>
      </c>
      <c r="D578" s="52" t="s">
        <v>14</v>
      </c>
      <c r="E578" s="52" t="s">
        <v>97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52" t="s">
        <v>44</v>
      </c>
      <c r="B579" s="52">
        <v>-13.5</v>
      </c>
      <c r="C579" s="61">
        <v>46091.0</v>
      </c>
      <c r="D579" s="52" t="s">
        <v>14</v>
      </c>
      <c r="E579" s="52" t="s">
        <v>53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52" t="s">
        <v>44</v>
      </c>
      <c r="B580" s="56">
        <v>-160.0</v>
      </c>
      <c r="C580" s="61">
        <v>46091.0</v>
      </c>
      <c r="D580" s="52" t="s">
        <v>15</v>
      </c>
      <c r="E580" s="52" t="s">
        <v>54</v>
      </c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52" t="s">
        <v>66</v>
      </c>
      <c r="B581" s="52">
        <v>-1180.39</v>
      </c>
      <c r="C581" s="61">
        <v>46092.0</v>
      </c>
      <c r="D581" s="52" t="s">
        <v>16</v>
      </c>
      <c r="E581" s="55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52" t="s">
        <v>39</v>
      </c>
      <c r="B582" s="56">
        <v>-2000.0</v>
      </c>
      <c r="C582" s="61">
        <v>46092.0</v>
      </c>
      <c r="D582" s="52" t="s">
        <v>19</v>
      </c>
      <c r="E582" s="55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52" t="s">
        <v>39</v>
      </c>
      <c r="B583" s="56">
        <v>-500.0</v>
      </c>
      <c r="C583" s="61">
        <v>46092.0</v>
      </c>
      <c r="D583" s="52" t="s">
        <v>21</v>
      </c>
      <c r="E583" s="55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52" t="s">
        <v>44</v>
      </c>
      <c r="B584" s="52">
        <v>-43.7</v>
      </c>
      <c r="C584" s="61">
        <v>46092.0</v>
      </c>
      <c r="D584" s="52" t="s">
        <v>3</v>
      </c>
      <c r="E584" s="52" t="s">
        <v>67</v>
      </c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52" t="s">
        <v>44</v>
      </c>
      <c r="B585" s="56">
        <v>-138.0</v>
      </c>
      <c r="C585" s="61">
        <v>46092.0</v>
      </c>
      <c r="D585" s="52" t="s">
        <v>14</v>
      </c>
      <c r="E585" s="52" t="s">
        <v>53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52" t="s">
        <v>44</v>
      </c>
      <c r="B586" s="52">
        <v>-2045.2</v>
      </c>
      <c r="C586" s="61">
        <v>46093.0</v>
      </c>
      <c r="D586" s="52" t="s">
        <v>3</v>
      </c>
      <c r="E586" s="52" t="s">
        <v>117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52" t="s">
        <v>39</v>
      </c>
      <c r="B587" s="56">
        <v>500.0</v>
      </c>
      <c r="C587" s="61">
        <v>46094.0</v>
      </c>
      <c r="D587" s="52" t="s">
        <v>1</v>
      </c>
      <c r="E587" s="52" t="s">
        <v>55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52" t="s">
        <v>39</v>
      </c>
      <c r="B588" s="56">
        <v>-500.0</v>
      </c>
      <c r="C588" s="61">
        <v>46094.0</v>
      </c>
      <c r="D588" s="52" t="s">
        <v>16</v>
      </c>
      <c r="E588" s="55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52" t="s">
        <v>39</v>
      </c>
      <c r="B589" s="56">
        <v>-789.26</v>
      </c>
      <c r="C589" s="61">
        <v>46094.0</v>
      </c>
      <c r="D589" s="52" t="s">
        <v>22</v>
      </c>
      <c r="E589" s="52" t="s">
        <v>47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52" t="s">
        <v>44</v>
      </c>
      <c r="B590" s="56">
        <v>-400.0</v>
      </c>
      <c r="C590" s="61">
        <v>46094.0</v>
      </c>
      <c r="D590" s="52" t="s">
        <v>5</v>
      </c>
      <c r="E590" s="52" t="s">
        <v>74</v>
      </c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52" t="s">
        <v>44</v>
      </c>
      <c r="B591" s="56">
        <v>-41.0</v>
      </c>
      <c r="C591" s="61">
        <v>46094.0</v>
      </c>
      <c r="D591" s="52" t="s">
        <v>14</v>
      </c>
      <c r="E591" s="52" t="s">
        <v>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52" t="s">
        <v>36</v>
      </c>
      <c r="B592" s="52">
        <v>-8153.06</v>
      </c>
      <c r="C592" s="61">
        <v>46097.0</v>
      </c>
      <c r="D592" s="52" t="s">
        <v>1</v>
      </c>
      <c r="E592" s="55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52" t="s">
        <v>36</v>
      </c>
      <c r="B593" s="52">
        <v>-3120.91</v>
      </c>
      <c r="C593" s="61">
        <v>46097.0</v>
      </c>
      <c r="D593" s="52" t="s">
        <v>5</v>
      </c>
      <c r="E593" s="55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52" t="s">
        <v>36</v>
      </c>
      <c r="B594" s="52">
        <v>-15401.95</v>
      </c>
      <c r="C594" s="61">
        <v>46097.0</v>
      </c>
      <c r="D594" s="52" t="s">
        <v>2</v>
      </c>
      <c r="E594" s="55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52" t="s">
        <v>36</v>
      </c>
      <c r="B595" s="52">
        <v>-14386.94</v>
      </c>
      <c r="C595" s="61">
        <v>46097.0</v>
      </c>
      <c r="D595" s="52" t="s">
        <v>3</v>
      </c>
      <c r="E595" s="55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52" t="s">
        <v>36</v>
      </c>
      <c r="B596" s="52">
        <v>-8443.57</v>
      </c>
      <c r="C596" s="61">
        <v>46097.0</v>
      </c>
      <c r="D596" s="52" t="s">
        <v>14</v>
      </c>
      <c r="E596" s="55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52" t="s">
        <v>36</v>
      </c>
      <c r="B597" s="52">
        <v>-5648.58</v>
      </c>
      <c r="C597" s="61">
        <v>46097.0</v>
      </c>
      <c r="D597" s="52" t="s">
        <v>15</v>
      </c>
      <c r="E597" s="55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52" t="s">
        <v>36</v>
      </c>
      <c r="B598" s="52">
        <v>-7540.22</v>
      </c>
      <c r="C598" s="61">
        <v>46097.0</v>
      </c>
      <c r="D598" s="52" t="s">
        <v>16</v>
      </c>
      <c r="E598" s="55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52" t="s">
        <v>36</v>
      </c>
      <c r="B599" s="52">
        <v>-7121.8</v>
      </c>
      <c r="C599" s="61">
        <v>46097.0</v>
      </c>
      <c r="D599" s="52" t="s">
        <v>19</v>
      </c>
      <c r="E599" s="55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52" t="s">
        <v>36</v>
      </c>
      <c r="B600" s="52">
        <v>-5676.3</v>
      </c>
      <c r="C600" s="61">
        <v>46097.0</v>
      </c>
      <c r="D600" s="52" t="s">
        <v>20</v>
      </c>
      <c r="E600" s="55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52" t="s">
        <v>36</v>
      </c>
      <c r="B601" s="52">
        <v>-4780.09</v>
      </c>
      <c r="C601" s="61">
        <v>46097.0</v>
      </c>
      <c r="D601" s="52" t="s">
        <v>21</v>
      </c>
      <c r="E601" s="55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52" t="s">
        <v>36</v>
      </c>
      <c r="B602" s="52">
        <v>-17200.28</v>
      </c>
      <c r="C602" s="61">
        <v>46097.0</v>
      </c>
      <c r="D602" s="52" t="s">
        <v>22</v>
      </c>
      <c r="E602" s="55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52" t="s">
        <v>39</v>
      </c>
      <c r="B603" s="56">
        <v>-3000.0</v>
      </c>
      <c r="C603" s="61">
        <v>46097.0</v>
      </c>
      <c r="D603" s="52" t="s">
        <v>5</v>
      </c>
      <c r="E603" s="55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52" t="s">
        <v>39</v>
      </c>
      <c r="B604" s="56">
        <v>-1000.0</v>
      </c>
      <c r="C604" s="61">
        <v>46097.0</v>
      </c>
      <c r="D604" s="52" t="s">
        <v>14</v>
      </c>
      <c r="E604" s="55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52" t="s">
        <v>39</v>
      </c>
      <c r="B605" s="56">
        <v>-1000.0</v>
      </c>
      <c r="C605" s="61">
        <v>46097.0</v>
      </c>
      <c r="D605" s="52" t="s">
        <v>14</v>
      </c>
      <c r="E605" s="52" t="s">
        <v>118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52" t="s">
        <v>39</v>
      </c>
      <c r="B606" s="52">
        <v>-300.002</v>
      </c>
      <c r="C606" s="61">
        <v>46097.0</v>
      </c>
      <c r="D606" s="52" t="s">
        <v>15</v>
      </c>
      <c r="E606" s="55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52" t="s">
        <v>39</v>
      </c>
      <c r="B607" s="56">
        <v>-2000.0</v>
      </c>
      <c r="C607" s="61">
        <v>46097.0</v>
      </c>
      <c r="D607" s="52" t="s">
        <v>16</v>
      </c>
      <c r="E607" s="55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52" t="s">
        <v>39</v>
      </c>
      <c r="B608" s="56">
        <v>-2500.0</v>
      </c>
      <c r="C608" s="61">
        <v>46097.0</v>
      </c>
      <c r="D608" s="52" t="s">
        <v>19</v>
      </c>
      <c r="E608" s="55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52" t="s">
        <v>39</v>
      </c>
      <c r="B609" s="56">
        <v>-1000.0</v>
      </c>
      <c r="C609" s="61">
        <v>46097.0</v>
      </c>
      <c r="D609" s="52" t="s">
        <v>21</v>
      </c>
      <c r="E609" s="55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52" t="s">
        <v>39</v>
      </c>
      <c r="B610" s="56">
        <v>-2000.0</v>
      </c>
      <c r="C610" s="61">
        <v>46097.0</v>
      </c>
      <c r="D610" s="52" t="s">
        <v>22</v>
      </c>
      <c r="E610" s="55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52" t="s">
        <v>65</v>
      </c>
      <c r="B611" s="52">
        <v>-145.64</v>
      </c>
      <c r="C611" s="61">
        <v>46097.0</v>
      </c>
      <c r="D611" s="52" t="s">
        <v>5</v>
      </c>
      <c r="E611" s="55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52" t="s">
        <v>65</v>
      </c>
      <c r="B612" s="52">
        <v>-1177.18</v>
      </c>
      <c r="C612" s="61">
        <v>46097.0</v>
      </c>
      <c r="D612" s="52" t="s">
        <v>21</v>
      </c>
      <c r="E612" s="55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52" t="s">
        <v>44</v>
      </c>
      <c r="B613" s="56">
        <v>-27.0</v>
      </c>
      <c r="C613" s="61">
        <v>46097.0</v>
      </c>
      <c r="D613" s="52" t="s">
        <v>3</v>
      </c>
      <c r="E613" s="52" t="s">
        <v>119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52" t="s">
        <v>44</v>
      </c>
      <c r="B614" s="52">
        <v>-89.4</v>
      </c>
      <c r="C614" s="61">
        <v>46097.0</v>
      </c>
      <c r="D614" s="52" t="s">
        <v>14</v>
      </c>
      <c r="E614" s="52" t="s">
        <v>53</v>
      </c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52" t="s">
        <v>44</v>
      </c>
      <c r="B615" s="56">
        <v>-150.0</v>
      </c>
      <c r="C615" s="61">
        <v>46097.0</v>
      </c>
      <c r="D615" s="52" t="s">
        <v>16</v>
      </c>
      <c r="E615" s="52" t="s">
        <v>48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52" t="s">
        <v>44</v>
      </c>
      <c r="B616" s="56">
        <v>-350.0</v>
      </c>
      <c r="C616" s="61">
        <v>46097.0</v>
      </c>
      <c r="D616" s="52" t="s">
        <v>21</v>
      </c>
      <c r="E616" s="52" t="s">
        <v>77</v>
      </c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52" t="s">
        <v>39</v>
      </c>
      <c r="B617" s="52">
        <v>-611.04</v>
      </c>
      <c r="C617" s="61">
        <v>46098.0</v>
      </c>
      <c r="D617" s="52" t="s">
        <v>22</v>
      </c>
      <c r="E617" s="52" t="s">
        <v>47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52" t="s">
        <v>44</v>
      </c>
      <c r="B618" s="52">
        <v>-90.75</v>
      </c>
      <c r="C618" s="61">
        <v>46098.0</v>
      </c>
      <c r="D618" s="52" t="s">
        <v>14</v>
      </c>
      <c r="E618" s="52" t="s">
        <v>53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52" t="s">
        <v>44</v>
      </c>
      <c r="B619" s="52">
        <v>-101.6</v>
      </c>
      <c r="C619" s="61">
        <v>46098.0</v>
      </c>
      <c r="D619" s="52" t="s">
        <v>16</v>
      </c>
      <c r="E619" s="52" t="s">
        <v>59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52" t="s">
        <v>39</v>
      </c>
      <c r="B620" s="56">
        <v>-500.0</v>
      </c>
      <c r="C620" s="61">
        <v>46099.0</v>
      </c>
      <c r="D620" s="52" t="s">
        <v>21</v>
      </c>
      <c r="E620" s="55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52" t="s">
        <v>44</v>
      </c>
      <c r="B621" s="56">
        <v>-85.0</v>
      </c>
      <c r="C621" s="61">
        <v>46099.0</v>
      </c>
      <c r="D621" s="52" t="s">
        <v>14</v>
      </c>
      <c r="E621" s="52" t="s">
        <v>53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52" t="s">
        <v>44</v>
      </c>
      <c r="B622" s="52">
        <v>-27.3</v>
      </c>
      <c r="C622" s="61">
        <v>46099.0</v>
      </c>
      <c r="D622" s="52" t="s">
        <v>16</v>
      </c>
      <c r="E622" s="52" t="s">
        <v>71</v>
      </c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52" t="s">
        <v>44</v>
      </c>
      <c r="B623" s="52">
        <v>-19.02</v>
      </c>
      <c r="C623" s="61">
        <v>46099.0</v>
      </c>
      <c r="D623" s="52" t="s">
        <v>16</v>
      </c>
      <c r="E623" s="52" t="s">
        <v>64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52" t="s">
        <v>44</v>
      </c>
      <c r="B624" s="52">
        <v>-300.0</v>
      </c>
      <c r="C624" s="61">
        <v>46100.0</v>
      </c>
      <c r="D624" s="52" t="s">
        <v>3</v>
      </c>
      <c r="E624" s="52" t="s">
        <v>50</v>
      </c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52" t="s">
        <v>39</v>
      </c>
      <c r="B625" s="52">
        <v>-789.26</v>
      </c>
      <c r="C625" s="61">
        <v>46101.0</v>
      </c>
      <c r="D625" s="52" t="s">
        <v>22</v>
      </c>
      <c r="E625" s="52" t="s">
        <v>47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52" t="s">
        <v>56</v>
      </c>
      <c r="B626" s="56">
        <v>-20.0</v>
      </c>
      <c r="C626" s="61">
        <v>46101.0</v>
      </c>
      <c r="D626" s="52" t="s">
        <v>2</v>
      </c>
      <c r="E626" s="52" t="s">
        <v>120</v>
      </c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52" t="s">
        <v>56</v>
      </c>
      <c r="B627" s="56">
        <v>-58.0</v>
      </c>
      <c r="C627" s="61">
        <v>46101.0</v>
      </c>
      <c r="D627" s="52" t="s">
        <v>3</v>
      </c>
      <c r="E627" s="52" t="s">
        <v>121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52" t="s">
        <v>56</v>
      </c>
      <c r="B628" s="52">
        <v>-25.36</v>
      </c>
      <c r="C628" s="61">
        <v>46101.0</v>
      </c>
      <c r="D628" s="52" t="s">
        <v>14</v>
      </c>
      <c r="E628" s="52" t="s">
        <v>121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52" t="s">
        <v>56</v>
      </c>
      <c r="B629" s="56">
        <v>-5.0</v>
      </c>
      <c r="C629" s="61">
        <v>46101.0</v>
      </c>
      <c r="D629" s="52" t="s">
        <v>15</v>
      </c>
      <c r="E629" s="52" t="s">
        <v>121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52" t="s">
        <v>56</v>
      </c>
      <c r="B630" s="52">
        <v>-308.233</v>
      </c>
      <c r="C630" s="61">
        <v>46101.0</v>
      </c>
      <c r="D630" s="52" t="s">
        <v>19</v>
      </c>
      <c r="E630" s="52" t="s">
        <v>121</v>
      </c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52" t="s">
        <v>56</v>
      </c>
      <c r="B631" s="56">
        <v>-20.0</v>
      </c>
      <c r="C631" s="61">
        <v>46101.0</v>
      </c>
      <c r="D631" s="52" t="s">
        <v>20</v>
      </c>
      <c r="E631" s="52" t="s">
        <v>120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52" t="s">
        <v>56</v>
      </c>
      <c r="B632" s="56">
        <v>-124.0</v>
      </c>
      <c r="C632" s="61">
        <v>46101.0</v>
      </c>
      <c r="D632" s="52" t="s">
        <v>21</v>
      </c>
      <c r="E632" s="52" t="s">
        <v>121</v>
      </c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52" t="s">
        <v>56</v>
      </c>
      <c r="B633" s="52">
        <v>-35.24</v>
      </c>
      <c r="C633" s="61">
        <v>46101.0</v>
      </c>
      <c r="D633" s="52" t="s">
        <v>21</v>
      </c>
      <c r="E633" s="52" t="s">
        <v>120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52" t="s">
        <v>56</v>
      </c>
      <c r="B634" s="56">
        <v>-77.0</v>
      </c>
      <c r="C634" s="61">
        <v>46101.0</v>
      </c>
      <c r="D634" s="52" t="s">
        <v>22</v>
      </c>
      <c r="E634" s="52" t="s">
        <v>121</v>
      </c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52" t="s">
        <v>56</v>
      </c>
      <c r="B635" s="56">
        <v>-10.0</v>
      </c>
      <c r="C635" s="61">
        <v>46101.0</v>
      </c>
      <c r="D635" s="52" t="s">
        <v>22</v>
      </c>
      <c r="E635" s="52" t="s">
        <v>120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52" t="s">
        <v>44</v>
      </c>
      <c r="B636" s="52">
        <v>-6.49</v>
      </c>
      <c r="C636" s="61">
        <v>46101.0</v>
      </c>
      <c r="D636" s="52" t="s">
        <v>14</v>
      </c>
      <c r="E636" s="52" t="s">
        <v>64</v>
      </c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52" t="s">
        <v>44</v>
      </c>
      <c r="B637" s="52">
        <v>-31.62</v>
      </c>
      <c r="C637" s="61">
        <v>46101.0</v>
      </c>
      <c r="D637" s="52" t="s">
        <v>14</v>
      </c>
      <c r="E637" s="52" t="s">
        <v>53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52" t="s">
        <v>44</v>
      </c>
      <c r="B638" s="52">
        <v>-11.1</v>
      </c>
      <c r="C638" s="61">
        <v>46101.0</v>
      </c>
      <c r="D638" s="52" t="s">
        <v>16</v>
      </c>
      <c r="E638" s="52" t="s">
        <v>59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52" t="s">
        <v>36</v>
      </c>
      <c r="B639" s="52">
        <v>-5043.52</v>
      </c>
      <c r="C639" s="61">
        <v>46104.0</v>
      </c>
      <c r="D639" s="52" t="s">
        <v>1</v>
      </c>
      <c r="E639" s="55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52" t="s">
        <v>36</v>
      </c>
      <c r="B640" s="52">
        <v>-3323.78</v>
      </c>
      <c r="C640" s="61">
        <v>46104.0</v>
      </c>
      <c r="D640" s="52" t="s">
        <v>5</v>
      </c>
      <c r="E640" s="55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52" t="s">
        <v>36</v>
      </c>
      <c r="B641" s="52">
        <v>-15394.973</v>
      </c>
      <c r="C641" s="61">
        <v>46104.0</v>
      </c>
      <c r="D641" s="52" t="s">
        <v>2</v>
      </c>
      <c r="E641" s="55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52" t="s">
        <v>36</v>
      </c>
      <c r="B642" s="52">
        <v>-14630.467</v>
      </c>
      <c r="C642" s="61">
        <v>46104.0</v>
      </c>
      <c r="D642" s="52" t="s">
        <v>3</v>
      </c>
      <c r="E642" s="55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52" t="s">
        <v>36</v>
      </c>
      <c r="B643" s="52">
        <v>-9125.504</v>
      </c>
      <c r="C643" s="61">
        <v>46104.0</v>
      </c>
      <c r="D643" s="52" t="s">
        <v>14</v>
      </c>
      <c r="E643" s="55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52" t="s">
        <v>36</v>
      </c>
      <c r="B644" s="52">
        <v>-4746.388</v>
      </c>
      <c r="C644" s="61">
        <v>46104.0</v>
      </c>
      <c r="D644" s="52" t="s">
        <v>15</v>
      </c>
      <c r="E644" s="55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52" t="s">
        <v>36</v>
      </c>
      <c r="B645" s="52">
        <v>-7314.369</v>
      </c>
      <c r="C645" s="61">
        <v>46104.0</v>
      </c>
      <c r="D645" s="52" t="s">
        <v>16</v>
      </c>
      <c r="E645" s="55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52" t="s">
        <v>36</v>
      </c>
      <c r="B646" s="52">
        <v>-6786.27</v>
      </c>
      <c r="C646" s="61">
        <v>46104.0</v>
      </c>
      <c r="D646" s="52" t="s">
        <v>19</v>
      </c>
      <c r="E646" s="55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52" t="s">
        <v>36</v>
      </c>
      <c r="B647" s="52">
        <v>-5078.031</v>
      </c>
      <c r="C647" s="61">
        <v>46104.0</v>
      </c>
      <c r="D647" s="52" t="s">
        <v>20</v>
      </c>
      <c r="E647" s="55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52" t="s">
        <v>36</v>
      </c>
      <c r="B648" s="52">
        <v>-5345.87</v>
      </c>
      <c r="C648" s="61">
        <v>46104.0</v>
      </c>
      <c r="D648" s="52" t="s">
        <v>21</v>
      </c>
      <c r="E648" s="55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52" t="s">
        <v>36</v>
      </c>
      <c r="B649" s="52">
        <v>-17543.812</v>
      </c>
      <c r="C649" s="61">
        <v>46104.0</v>
      </c>
      <c r="D649" s="52" t="s">
        <v>22</v>
      </c>
      <c r="E649" s="55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52" t="s">
        <v>39</v>
      </c>
      <c r="B650" s="56">
        <v>-1500.0</v>
      </c>
      <c r="C650" s="61">
        <v>46104.0</v>
      </c>
      <c r="D650" s="52" t="s">
        <v>5</v>
      </c>
      <c r="E650" s="55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52" t="s">
        <v>39</v>
      </c>
      <c r="B651" s="56">
        <v>2000.0</v>
      </c>
      <c r="C651" s="61">
        <v>46104.0</v>
      </c>
      <c r="D651" s="52" t="s">
        <v>2</v>
      </c>
      <c r="E651" s="52" t="s">
        <v>55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52" t="s">
        <v>39</v>
      </c>
      <c r="B652" s="56">
        <v>-2000.0</v>
      </c>
      <c r="C652" s="61">
        <v>46104.0</v>
      </c>
      <c r="D652" s="52" t="s">
        <v>14</v>
      </c>
      <c r="E652" s="55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52" t="s">
        <v>39</v>
      </c>
      <c r="B653" s="56">
        <v>500.0</v>
      </c>
      <c r="C653" s="61">
        <v>46104.0</v>
      </c>
      <c r="D653" s="52" t="s">
        <v>15</v>
      </c>
      <c r="E653" s="52" t="s">
        <v>55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52" t="s">
        <v>39</v>
      </c>
      <c r="B654" s="56">
        <v>-1500.0</v>
      </c>
      <c r="C654" s="61">
        <v>46104.0</v>
      </c>
      <c r="D654" s="52" t="s">
        <v>16</v>
      </c>
      <c r="E654" s="55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52" t="s">
        <v>39</v>
      </c>
      <c r="B655" s="56">
        <v>-3000.0</v>
      </c>
      <c r="C655" s="61">
        <v>46104.0</v>
      </c>
      <c r="D655" s="52" t="s">
        <v>19</v>
      </c>
      <c r="E655" s="55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52" t="s">
        <v>39</v>
      </c>
      <c r="B656" s="56">
        <v>2000.0</v>
      </c>
      <c r="C656" s="61">
        <v>46104.0</v>
      </c>
      <c r="D656" s="52" t="s">
        <v>20</v>
      </c>
      <c r="E656" s="52" t="s">
        <v>55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52" t="s">
        <v>39</v>
      </c>
      <c r="B657" s="56">
        <v>-1000.0</v>
      </c>
      <c r="C657" s="61">
        <v>46104.0</v>
      </c>
      <c r="D657" s="52" t="s">
        <v>21</v>
      </c>
      <c r="E657" s="55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52" t="s">
        <v>39</v>
      </c>
      <c r="B658" s="56">
        <v>2000.0</v>
      </c>
      <c r="C658" s="61">
        <v>46104.0</v>
      </c>
      <c r="D658" s="52" t="s">
        <v>22</v>
      </c>
      <c r="E658" s="52" t="s">
        <v>55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52" t="s">
        <v>56</v>
      </c>
      <c r="B659" s="56">
        <v>400.0</v>
      </c>
      <c r="C659" s="61">
        <v>46104.0</v>
      </c>
      <c r="D659" s="52" t="s">
        <v>1</v>
      </c>
      <c r="E659" s="52" t="s">
        <v>73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52" t="s">
        <v>56</v>
      </c>
      <c r="B660" s="56">
        <v>700.0</v>
      </c>
      <c r="C660" s="61">
        <v>46104.0</v>
      </c>
      <c r="D660" s="52" t="s">
        <v>5</v>
      </c>
      <c r="E660" s="52" t="s">
        <v>73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52" t="s">
        <v>56</v>
      </c>
      <c r="B661" s="56">
        <v>700.0</v>
      </c>
      <c r="C661" s="61">
        <v>46104.0</v>
      </c>
      <c r="D661" s="52" t="s">
        <v>2</v>
      </c>
      <c r="E661" s="52" t="s">
        <v>73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52" t="s">
        <v>56</v>
      </c>
      <c r="B662" s="56">
        <v>1000.0</v>
      </c>
      <c r="C662" s="61">
        <v>46104.0</v>
      </c>
      <c r="D662" s="52" t="s">
        <v>3</v>
      </c>
      <c r="E662" s="52" t="s">
        <v>73</v>
      </c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52" t="s">
        <v>56</v>
      </c>
      <c r="B663" s="56">
        <v>800.0</v>
      </c>
      <c r="C663" s="61">
        <v>46104.0</v>
      </c>
      <c r="D663" s="52" t="s">
        <v>14</v>
      </c>
      <c r="E663" s="52" t="s">
        <v>73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52" t="s">
        <v>56</v>
      </c>
      <c r="B664" s="56">
        <v>400.0</v>
      </c>
      <c r="C664" s="61">
        <v>46104.0</v>
      </c>
      <c r="D664" s="52" t="s">
        <v>15</v>
      </c>
      <c r="E664" s="52" t="s">
        <v>73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52" t="s">
        <v>56</v>
      </c>
      <c r="B665" s="56">
        <v>800.0</v>
      </c>
      <c r="C665" s="61">
        <v>46104.0</v>
      </c>
      <c r="D665" s="52" t="s">
        <v>16</v>
      </c>
      <c r="E665" s="52" t="s">
        <v>73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52" t="s">
        <v>56</v>
      </c>
      <c r="B666" s="56">
        <v>700.0</v>
      </c>
      <c r="C666" s="61">
        <v>46104.0</v>
      </c>
      <c r="D666" s="52" t="s">
        <v>19</v>
      </c>
      <c r="E666" s="52" t="s">
        <v>73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52" t="s">
        <v>56</v>
      </c>
      <c r="B667" s="56">
        <v>400.0</v>
      </c>
      <c r="C667" s="61">
        <v>46104.0</v>
      </c>
      <c r="D667" s="52" t="s">
        <v>20</v>
      </c>
      <c r="E667" s="52" t="s">
        <v>73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52" t="s">
        <v>56</v>
      </c>
      <c r="B668" s="56">
        <v>800.0</v>
      </c>
      <c r="C668" s="61">
        <v>46104.0</v>
      </c>
      <c r="D668" s="52" t="s">
        <v>21</v>
      </c>
      <c r="E668" s="52" t="s">
        <v>73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52" t="s">
        <v>56</v>
      </c>
      <c r="B669" s="56">
        <v>1000.0</v>
      </c>
      <c r="C669" s="61">
        <v>46104.0</v>
      </c>
      <c r="D669" s="52" t="s">
        <v>22</v>
      </c>
      <c r="E669" s="52" t="s">
        <v>73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52" t="s">
        <v>65</v>
      </c>
      <c r="B670" s="52">
        <v>-1720.5</v>
      </c>
      <c r="C670" s="61">
        <v>46104.0</v>
      </c>
      <c r="D670" s="52" t="s">
        <v>21</v>
      </c>
      <c r="E670" s="55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52" t="s">
        <v>44</v>
      </c>
      <c r="B671" s="56">
        <v>-1000.0</v>
      </c>
      <c r="C671" s="61">
        <v>46104.0</v>
      </c>
      <c r="D671" s="52" t="s">
        <v>14</v>
      </c>
      <c r="E671" s="52" t="s">
        <v>122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52" t="s">
        <v>44</v>
      </c>
      <c r="B672" s="52">
        <v>-71.32</v>
      </c>
      <c r="C672" s="61">
        <v>46104.0</v>
      </c>
      <c r="D672" s="52" t="s">
        <v>14</v>
      </c>
      <c r="E672" s="52" t="s">
        <v>53</v>
      </c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52" t="s">
        <v>44</v>
      </c>
      <c r="B673" s="56">
        <v>-100.0</v>
      </c>
      <c r="C673" s="61">
        <v>46104.0</v>
      </c>
      <c r="D673" s="52" t="s">
        <v>16</v>
      </c>
      <c r="E673" s="52" t="s">
        <v>75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52" t="s">
        <v>44</v>
      </c>
      <c r="B674" s="52">
        <v>-20.9</v>
      </c>
      <c r="C674" s="61">
        <v>46104.0</v>
      </c>
      <c r="D674" s="52" t="s">
        <v>16</v>
      </c>
      <c r="E674" s="52" t="s">
        <v>59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52" t="s">
        <v>39</v>
      </c>
      <c r="B675" s="52">
        <v>-726.18</v>
      </c>
      <c r="C675" s="61">
        <v>46105.0</v>
      </c>
      <c r="D675" s="52" t="s">
        <v>22</v>
      </c>
      <c r="E675" s="52" t="s">
        <v>47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52" t="s">
        <v>44</v>
      </c>
      <c r="B676" s="56">
        <v>-205.0</v>
      </c>
      <c r="C676" s="61">
        <v>46105.0</v>
      </c>
      <c r="D676" s="52" t="s">
        <v>3</v>
      </c>
      <c r="E676" s="52" t="s">
        <v>59</v>
      </c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52" t="s">
        <v>44</v>
      </c>
      <c r="B677" s="56">
        <v>-98.0</v>
      </c>
      <c r="C677" s="61">
        <v>46105.0</v>
      </c>
      <c r="D677" s="52" t="s">
        <v>14</v>
      </c>
      <c r="E677" s="52" t="s">
        <v>53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52" t="s">
        <v>39</v>
      </c>
      <c r="B678" s="56">
        <v>-300.0</v>
      </c>
      <c r="C678" s="61">
        <v>46106.0</v>
      </c>
      <c r="D678" s="52" t="s">
        <v>21</v>
      </c>
      <c r="E678" s="55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52" t="s">
        <v>44</v>
      </c>
      <c r="B679" s="56">
        <v>-117.0</v>
      </c>
      <c r="C679" s="61">
        <v>46106.0</v>
      </c>
      <c r="D679" s="52" t="s">
        <v>14</v>
      </c>
      <c r="E679" s="52" t="s">
        <v>53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52" t="s">
        <v>44</v>
      </c>
      <c r="B680" s="56">
        <v>-16.0</v>
      </c>
      <c r="C680" s="61">
        <v>46106.0</v>
      </c>
      <c r="D680" s="52" t="s">
        <v>16</v>
      </c>
      <c r="E680" s="52" t="s">
        <v>59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52" t="s">
        <v>39</v>
      </c>
      <c r="B681" s="52">
        <v>-754.87</v>
      </c>
      <c r="C681" s="61">
        <v>46108.0</v>
      </c>
      <c r="D681" s="52" t="s">
        <v>22</v>
      </c>
      <c r="E681" s="52" t="s">
        <v>47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52" t="s">
        <v>44</v>
      </c>
      <c r="B682" s="52">
        <v>-52.5</v>
      </c>
      <c r="C682" s="61">
        <v>46108.0</v>
      </c>
      <c r="D682" s="52" t="s">
        <v>3</v>
      </c>
      <c r="E682" s="52" t="s">
        <v>67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52" t="s">
        <v>44</v>
      </c>
      <c r="B683" s="56">
        <v>-39.0</v>
      </c>
      <c r="C683" s="61">
        <v>46108.0</v>
      </c>
      <c r="D683" s="52" t="s">
        <v>14</v>
      </c>
      <c r="E683" s="52" t="s">
        <v>97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52" t="s">
        <v>44</v>
      </c>
      <c r="B684" s="52">
        <v>-77.5</v>
      </c>
      <c r="C684" s="61">
        <v>46108.0</v>
      </c>
      <c r="D684" s="52" t="s">
        <v>14</v>
      </c>
      <c r="E684" s="52" t="s">
        <v>123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52" t="s">
        <v>36</v>
      </c>
      <c r="B685" s="52">
        <v>-6948.01</v>
      </c>
      <c r="C685" s="61">
        <v>46111.0</v>
      </c>
      <c r="D685" s="52" t="s">
        <v>1</v>
      </c>
      <c r="E685" s="55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52" t="s">
        <v>36</v>
      </c>
      <c r="B686" s="52">
        <v>-3256.36</v>
      </c>
      <c r="C686" s="61">
        <v>46111.0</v>
      </c>
      <c r="D686" s="52" t="s">
        <v>5</v>
      </c>
      <c r="E686" s="55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52" t="s">
        <v>36</v>
      </c>
      <c r="B687" s="52">
        <v>-15651.2</v>
      </c>
      <c r="C687" s="61">
        <v>46111.0</v>
      </c>
      <c r="D687" s="52" t="s">
        <v>2</v>
      </c>
      <c r="E687" s="55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52" t="s">
        <v>36</v>
      </c>
      <c r="B688" s="52">
        <v>-10795.51</v>
      </c>
      <c r="C688" s="61">
        <v>46111.0</v>
      </c>
      <c r="D688" s="52" t="s">
        <v>3</v>
      </c>
      <c r="E688" s="55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52" t="s">
        <v>36</v>
      </c>
      <c r="B689" s="52">
        <v>-9183.78</v>
      </c>
      <c r="C689" s="61">
        <v>46111.0</v>
      </c>
      <c r="D689" s="52" t="s">
        <v>14</v>
      </c>
      <c r="E689" s="55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52" t="s">
        <v>36</v>
      </c>
      <c r="B690" s="52">
        <v>-4721.57</v>
      </c>
      <c r="C690" s="61">
        <v>46111.0</v>
      </c>
      <c r="D690" s="52" t="s">
        <v>15</v>
      </c>
      <c r="E690" s="55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52" t="s">
        <v>36</v>
      </c>
      <c r="B691" s="52">
        <v>-7323.41</v>
      </c>
      <c r="C691" s="61">
        <v>46111.0</v>
      </c>
      <c r="D691" s="52" t="s">
        <v>16</v>
      </c>
      <c r="E691" s="55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52" t="s">
        <v>36</v>
      </c>
      <c r="B692" s="52">
        <v>-6873.73</v>
      </c>
      <c r="C692" s="61">
        <v>46111.0</v>
      </c>
      <c r="D692" s="52" t="s">
        <v>19</v>
      </c>
      <c r="E692" s="55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52" t="s">
        <v>36</v>
      </c>
      <c r="B693" s="52">
        <v>-5328.25</v>
      </c>
      <c r="C693" s="61">
        <v>46111.0</v>
      </c>
      <c r="D693" s="52" t="s">
        <v>20</v>
      </c>
      <c r="E693" s="55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52" t="s">
        <v>36</v>
      </c>
      <c r="B694" s="52">
        <v>-5762.33</v>
      </c>
      <c r="C694" s="61">
        <v>46111.0</v>
      </c>
      <c r="D694" s="52" t="s">
        <v>21</v>
      </c>
      <c r="E694" s="55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52" t="s">
        <v>36</v>
      </c>
      <c r="B695" s="52">
        <v>-16554.82</v>
      </c>
      <c r="C695" s="61">
        <v>46111.0</v>
      </c>
      <c r="D695" s="52" t="s">
        <v>22</v>
      </c>
      <c r="E695" s="55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52" t="s">
        <v>39</v>
      </c>
      <c r="B696" s="56">
        <v>2000.0</v>
      </c>
      <c r="C696" s="61">
        <v>46111.0</v>
      </c>
      <c r="D696" s="52" t="s">
        <v>2</v>
      </c>
      <c r="E696" s="52" t="s">
        <v>55</v>
      </c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52" t="s">
        <v>39</v>
      </c>
      <c r="B697" s="56">
        <v>-500.0</v>
      </c>
      <c r="C697" s="61">
        <v>46111.0</v>
      </c>
      <c r="D697" s="52" t="s">
        <v>14</v>
      </c>
      <c r="E697" s="55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52" t="s">
        <v>39</v>
      </c>
      <c r="B698" s="56">
        <v>-500.0</v>
      </c>
      <c r="C698" s="61">
        <v>46111.0</v>
      </c>
      <c r="D698" s="52" t="s">
        <v>14</v>
      </c>
      <c r="E698" s="52" t="s">
        <v>124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52" t="s">
        <v>39</v>
      </c>
      <c r="B699" s="56">
        <v>500.0</v>
      </c>
      <c r="C699" s="61">
        <v>46111.0</v>
      </c>
      <c r="D699" s="52" t="s">
        <v>15</v>
      </c>
      <c r="E699" s="52" t="s">
        <v>55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52" t="s">
        <v>39</v>
      </c>
      <c r="B700" s="56">
        <v>-1000.0</v>
      </c>
      <c r="C700" s="61">
        <v>46111.0</v>
      </c>
      <c r="D700" s="52" t="s">
        <v>16</v>
      </c>
      <c r="E700" s="55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52" t="s">
        <v>39</v>
      </c>
      <c r="B701" s="56">
        <v>-3500.0</v>
      </c>
      <c r="C701" s="61">
        <v>46111.0</v>
      </c>
      <c r="D701" s="52" t="s">
        <v>19</v>
      </c>
      <c r="E701" s="55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52" t="s">
        <v>39</v>
      </c>
      <c r="B702" s="56">
        <v>1000.0</v>
      </c>
      <c r="C702" s="61">
        <v>46111.0</v>
      </c>
      <c r="D702" s="52" t="s">
        <v>20</v>
      </c>
      <c r="E702" s="52" t="s">
        <v>55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52" t="s">
        <v>39</v>
      </c>
      <c r="B703" s="56">
        <v>-500.0</v>
      </c>
      <c r="C703" s="61">
        <v>46111.0</v>
      </c>
      <c r="D703" s="52" t="s">
        <v>21</v>
      </c>
      <c r="E703" s="55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52" t="s">
        <v>39</v>
      </c>
      <c r="B704" s="56">
        <v>3000.0</v>
      </c>
      <c r="C704" s="61">
        <v>46111.0</v>
      </c>
      <c r="D704" s="52" t="s">
        <v>22</v>
      </c>
      <c r="E704" s="52" t="s">
        <v>55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52" t="s">
        <v>44</v>
      </c>
      <c r="B705" s="52">
        <v>-38.82</v>
      </c>
      <c r="C705" s="61">
        <v>46111.0</v>
      </c>
      <c r="D705" s="52" t="s">
        <v>3</v>
      </c>
      <c r="E705" s="52" t="s">
        <v>125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52" t="s">
        <v>44</v>
      </c>
      <c r="B706" s="56">
        <v>-13.0</v>
      </c>
      <c r="C706" s="61">
        <v>46111.0</v>
      </c>
      <c r="D706" s="52" t="s">
        <v>14</v>
      </c>
      <c r="E706" s="52" t="s">
        <v>94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52" t="s">
        <v>44</v>
      </c>
      <c r="B707" s="56">
        <v>-214.0</v>
      </c>
      <c r="C707" s="61">
        <v>46111.0</v>
      </c>
      <c r="D707" s="52" t="s">
        <v>14</v>
      </c>
      <c r="E707" s="52" t="s">
        <v>53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52" t="s">
        <v>44</v>
      </c>
      <c r="B708" s="52">
        <v>-365.2</v>
      </c>
      <c r="C708" s="61">
        <v>46111.0</v>
      </c>
      <c r="D708" s="52" t="s">
        <v>16</v>
      </c>
      <c r="E708" s="52" t="s">
        <v>59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52" t="s">
        <v>44</v>
      </c>
      <c r="B709" s="56">
        <v>-50000.0</v>
      </c>
      <c r="C709" s="61">
        <v>46111.0</v>
      </c>
      <c r="D709" s="52" t="s">
        <v>19</v>
      </c>
      <c r="E709" s="52" t="s">
        <v>126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52" t="s">
        <v>44</v>
      </c>
      <c r="B710" s="56">
        <v>50000.0</v>
      </c>
      <c r="C710" s="61">
        <v>46111.0</v>
      </c>
      <c r="D710" s="52" t="s">
        <v>2</v>
      </c>
      <c r="E710" s="52" t="s">
        <v>127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52" t="s">
        <v>39</v>
      </c>
      <c r="B711" s="52">
        <v>-676.78</v>
      </c>
      <c r="C711" s="61">
        <v>46112.0</v>
      </c>
      <c r="D711" s="52" t="s">
        <v>22</v>
      </c>
      <c r="E711" s="52" t="s">
        <v>47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52" t="s">
        <v>44</v>
      </c>
      <c r="B712" s="52">
        <v>-27.2</v>
      </c>
      <c r="C712" s="61">
        <v>46112.0</v>
      </c>
      <c r="D712" s="52" t="s">
        <v>16</v>
      </c>
      <c r="E712" s="52" t="s">
        <v>59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52" t="s">
        <v>37</v>
      </c>
      <c r="B713" s="52">
        <v>26340.53</v>
      </c>
      <c r="C713" s="61">
        <v>46112.0</v>
      </c>
      <c r="D713" s="52" t="s">
        <v>1</v>
      </c>
      <c r="E713" s="52" t="s">
        <v>128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52" t="s">
        <v>37</v>
      </c>
      <c r="B714" s="52">
        <v>24841.09</v>
      </c>
      <c r="C714" s="61">
        <v>46112.0</v>
      </c>
      <c r="D714" s="52" t="s">
        <v>5</v>
      </c>
      <c r="E714" s="52" t="s">
        <v>128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52" t="s">
        <v>37</v>
      </c>
      <c r="B715" s="52">
        <v>47338.21</v>
      </c>
      <c r="C715" s="61">
        <v>46112.0</v>
      </c>
      <c r="D715" s="52" t="s">
        <v>2</v>
      </c>
      <c r="E715" s="52" t="s">
        <v>128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52" t="s">
        <v>37</v>
      </c>
      <c r="B716" s="52">
        <v>50132.54</v>
      </c>
      <c r="C716" s="61">
        <v>46112.0</v>
      </c>
      <c r="D716" s="52" t="s">
        <v>3</v>
      </c>
      <c r="E716" s="52" t="s">
        <v>128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52" t="s">
        <v>37</v>
      </c>
      <c r="B717" s="52">
        <v>41784.74</v>
      </c>
      <c r="C717" s="61">
        <v>46112.0</v>
      </c>
      <c r="D717" s="52" t="s">
        <v>14</v>
      </c>
      <c r="E717" s="52" t="s">
        <v>128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52" t="s">
        <v>37</v>
      </c>
      <c r="B718" s="52">
        <v>21823.73</v>
      </c>
      <c r="C718" s="61">
        <v>46112.0</v>
      </c>
      <c r="D718" s="52" t="s">
        <v>15</v>
      </c>
      <c r="E718" s="52" t="s">
        <v>128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52" t="s">
        <v>37</v>
      </c>
      <c r="B719" s="52">
        <v>31773.55</v>
      </c>
      <c r="C719" s="61">
        <v>46112.0</v>
      </c>
      <c r="D719" s="52" t="s">
        <v>16</v>
      </c>
      <c r="E719" s="52" t="s">
        <v>128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52" t="s">
        <v>37</v>
      </c>
      <c r="B720" s="52">
        <v>33796.66</v>
      </c>
      <c r="C720" s="61">
        <v>46112.0</v>
      </c>
      <c r="D720" s="52" t="s">
        <v>19</v>
      </c>
      <c r="E720" s="52" t="s">
        <v>128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52" t="s">
        <v>37</v>
      </c>
      <c r="B721" s="52">
        <v>21283.91</v>
      </c>
      <c r="C721" s="61">
        <v>46112.0</v>
      </c>
      <c r="D721" s="52" t="s">
        <v>20</v>
      </c>
      <c r="E721" s="52" t="s">
        <v>128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52" t="s">
        <v>37</v>
      </c>
      <c r="B722" s="52">
        <v>32653.27</v>
      </c>
      <c r="C722" s="61">
        <v>46112.0</v>
      </c>
      <c r="D722" s="52" t="s">
        <v>21</v>
      </c>
      <c r="E722" s="52" t="s">
        <v>128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52" t="s">
        <v>37</v>
      </c>
      <c r="B723" s="52">
        <v>55242.35</v>
      </c>
      <c r="C723" s="61">
        <v>46112.0</v>
      </c>
      <c r="D723" s="52" t="s">
        <v>22</v>
      </c>
      <c r="E723" s="52" t="s">
        <v>128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52" t="s">
        <v>39</v>
      </c>
      <c r="B724" s="56">
        <v>500.0</v>
      </c>
      <c r="C724" s="61">
        <v>46113.0</v>
      </c>
      <c r="D724" s="52" t="s">
        <v>1</v>
      </c>
      <c r="E724" s="52" t="s">
        <v>55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52" t="s">
        <v>39</v>
      </c>
      <c r="B725" s="56">
        <v>1000.0</v>
      </c>
      <c r="C725" s="61">
        <v>46113.0</v>
      </c>
      <c r="D725" s="52" t="s">
        <v>3</v>
      </c>
      <c r="E725" s="52" t="s">
        <v>55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52" t="s">
        <v>39</v>
      </c>
      <c r="B726" s="56">
        <v>-200.0</v>
      </c>
      <c r="C726" s="61">
        <v>46113.0</v>
      </c>
      <c r="D726" s="52" t="s">
        <v>14</v>
      </c>
      <c r="E726" s="52" t="s">
        <v>53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52" t="s">
        <v>39</v>
      </c>
      <c r="B727" s="56">
        <v>500.0</v>
      </c>
      <c r="C727" s="61">
        <v>46113.0</v>
      </c>
      <c r="D727" s="52" t="s">
        <v>15</v>
      </c>
      <c r="E727" s="52" t="s">
        <v>55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52" t="s">
        <v>39</v>
      </c>
      <c r="B728" s="56">
        <v>-54.9</v>
      </c>
      <c r="C728" s="61">
        <v>46113.0</v>
      </c>
      <c r="D728" s="52" t="s">
        <v>16</v>
      </c>
      <c r="E728" s="52" t="s">
        <v>59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52" t="s">
        <v>39</v>
      </c>
      <c r="B729" s="56">
        <v>-500.0</v>
      </c>
      <c r="C729" s="61">
        <v>46113.0</v>
      </c>
      <c r="D729" s="52" t="s">
        <v>19</v>
      </c>
      <c r="E729" s="55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52" t="s">
        <v>39</v>
      </c>
      <c r="B730" s="56">
        <v>-500.0</v>
      </c>
      <c r="C730" s="61">
        <v>46113.0</v>
      </c>
      <c r="D730" s="52" t="s">
        <v>21</v>
      </c>
      <c r="E730" s="55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52" t="s">
        <v>39</v>
      </c>
      <c r="B731" s="56">
        <v>1000.0</v>
      </c>
      <c r="C731" s="61">
        <v>46113.0</v>
      </c>
      <c r="D731" s="52" t="s">
        <v>22</v>
      </c>
      <c r="E731" s="52" t="s">
        <v>55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52" t="s">
        <v>39</v>
      </c>
      <c r="B732" s="56">
        <v>3000.0</v>
      </c>
      <c r="C732" s="61">
        <v>46115.0</v>
      </c>
      <c r="D732" s="52" t="s">
        <v>22</v>
      </c>
      <c r="E732" s="52" t="s">
        <v>55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52" t="s">
        <v>39</v>
      </c>
      <c r="B733" s="52">
        <v>-780.9</v>
      </c>
      <c r="C733" s="61">
        <v>46115.0</v>
      </c>
      <c r="D733" s="52" t="s">
        <v>22</v>
      </c>
      <c r="E733" s="52" t="s">
        <v>47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52" t="s">
        <v>56</v>
      </c>
      <c r="B734" s="52">
        <v>-55.11</v>
      </c>
      <c r="C734" s="61">
        <v>46115.0</v>
      </c>
      <c r="D734" s="52" t="s">
        <v>2</v>
      </c>
      <c r="E734" s="52" t="s">
        <v>129</v>
      </c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52" t="s">
        <v>56</v>
      </c>
      <c r="B735" s="52">
        <v>-87.92</v>
      </c>
      <c r="C735" s="61">
        <v>46115.0</v>
      </c>
      <c r="D735" s="52" t="s">
        <v>3</v>
      </c>
      <c r="E735" s="52" t="s">
        <v>129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52" t="s">
        <v>56</v>
      </c>
      <c r="B736" s="52">
        <v>-62.48</v>
      </c>
      <c r="C736" s="61">
        <v>46115.0</v>
      </c>
      <c r="D736" s="52" t="s">
        <v>3</v>
      </c>
      <c r="E736" s="52" t="s">
        <v>130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52" t="s">
        <v>56</v>
      </c>
      <c r="B737" s="52">
        <v>-18.1</v>
      </c>
      <c r="C737" s="61">
        <v>46115.0</v>
      </c>
      <c r="D737" s="52" t="s">
        <v>14</v>
      </c>
      <c r="E737" s="52" t="s">
        <v>130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52" t="s">
        <v>56</v>
      </c>
      <c r="B738" s="56">
        <v>-12.0</v>
      </c>
      <c r="C738" s="61">
        <v>46115.0</v>
      </c>
      <c r="D738" s="52" t="s">
        <v>16</v>
      </c>
      <c r="E738" s="52" t="s">
        <v>130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52" t="s">
        <v>56</v>
      </c>
      <c r="B739" s="56">
        <v>-327.0</v>
      </c>
      <c r="C739" s="61">
        <v>46115.0</v>
      </c>
      <c r="D739" s="52" t="s">
        <v>19</v>
      </c>
      <c r="E739" s="52" t="s">
        <v>129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52" t="s">
        <v>56</v>
      </c>
      <c r="B740" s="52">
        <v>-149.76</v>
      </c>
      <c r="C740" s="61">
        <v>46115.0</v>
      </c>
      <c r="D740" s="52" t="s">
        <v>19</v>
      </c>
      <c r="E740" s="52" t="s">
        <v>130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52" t="s">
        <v>56</v>
      </c>
      <c r="B741" s="52">
        <v>-20.23</v>
      </c>
      <c r="C741" s="61">
        <v>46115.0</v>
      </c>
      <c r="D741" s="52" t="s">
        <v>20</v>
      </c>
      <c r="E741" s="52" t="s">
        <v>130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52" t="s">
        <v>56</v>
      </c>
      <c r="B742" s="52">
        <v>-202.5</v>
      </c>
      <c r="C742" s="61">
        <v>46115.0</v>
      </c>
      <c r="D742" s="52" t="s">
        <v>21</v>
      </c>
      <c r="E742" s="52" t="s">
        <v>129</v>
      </c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52" t="s">
        <v>56</v>
      </c>
      <c r="B743" s="56">
        <v>-291.0</v>
      </c>
      <c r="C743" s="61">
        <v>46115.0</v>
      </c>
      <c r="D743" s="52" t="s">
        <v>21</v>
      </c>
      <c r="E743" s="52" t="s">
        <v>130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52" t="s">
        <v>56</v>
      </c>
      <c r="B744" s="52">
        <v>-137.72</v>
      </c>
      <c r="C744" s="61">
        <v>46115.0</v>
      </c>
      <c r="D744" s="52" t="s">
        <v>22</v>
      </c>
      <c r="E744" s="52" t="s">
        <v>129</v>
      </c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52" t="s">
        <v>56</v>
      </c>
      <c r="B745" s="56">
        <v>-69.0</v>
      </c>
      <c r="C745" s="61">
        <v>46115.0</v>
      </c>
      <c r="D745" s="52" t="s">
        <v>22</v>
      </c>
      <c r="E745" s="52" t="s">
        <v>130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52" t="s">
        <v>44</v>
      </c>
      <c r="B746" s="52">
        <v>-3.5</v>
      </c>
      <c r="C746" s="61">
        <v>46115.0</v>
      </c>
      <c r="D746" s="52" t="s">
        <v>14</v>
      </c>
      <c r="E746" s="52" t="s">
        <v>64</v>
      </c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52" t="s">
        <v>44</v>
      </c>
      <c r="B747" s="56">
        <v>-22.0</v>
      </c>
      <c r="C747" s="61">
        <v>46115.0</v>
      </c>
      <c r="D747" s="52" t="s">
        <v>14</v>
      </c>
      <c r="E747" s="52" t="s">
        <v>53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52" t="s">
        <v>44</v>
      </c>
      <c r="B748" s="56">
        <v>-250.0</v>
      </c>
      <c r="C748" s="61">
        <v>46115.0</v>
      </c>
      <c r="D748" s="52" t="s">
        <v>15</v>
      </c>
      <c r="E748" s="52" t="s">
        <v>54</v>
      </c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52" t="s">
        <v>44</v>
      </c>
      <c r="B749" s="56">
        <v>-30.0</v>
      </c>
      <c r="C749" s="61">
        <v>46115.0</v>
      </c>
      <c r="D749" s="52" t="s">
        <v>16</v>
      </c>
      <c r="E749" s="52" t="s">
        <v>71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52" t="s">
        <v>44</v>
      </c>
      <c r="B750" s="56">
        <v>-240.0</v>
      </c>
      <c r="C750" s="61">
        <v>46115.0</v>
      </c>
      <c r="D750" s="52" t="s">
        <v>20</v>
      </c>
      <c r="E750" s="52" t="s">
        <v>50</v>
      </c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52" t="s">
        <v>44</v>
      </c>
      <c r="B751" s="56">
        <v>-500.0</v>
      </c>
      <c r="C751" s="61">
        <v>46115.0</v>
      </c>
      <c r="D751" s="52" t="s">
        <v>22</v>
      </c>
      <c r="E751" s="52" t="s">
        <v>84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52" t="s">
        <v>36</v>
      </c>
      <c r="B752" s="52">
        <v>-7516.3</v>
      </c>
      <c r="C752" s="61">
        <v>46118.0</v>
      </c>
      <c r="D752" s="52" t="s">
        <v>1</v>
      </c>
      <c r="E752" s="55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52" t="s">
        <v>36</v>
      </c>
      <c r="B753" s="52">
        <v>-3512.82</v>
      </c>
      <c r="C753" s="61">
        <v>46118.0</v>
      </c>
      <c r="D753" s="52" t="s">
        <v>5</v>
      </c>
      <c r="E753" s="55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52" t="s">
        <v>36</v>
      </c>
      <c r="B754" s="52">
        <v>-14883.69</v>
      </c>
      <c r="C754" s="61">
        <v>46118.0</v>
      </c>
      <c r="D754" s="52" t="s">
        <v>2</v>
      </c>
      <c r="E754" s="55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52" t="s">
        <v>36</v>
      </c>
      <c r="B755" s="52">
        <v>-13872.71</v>
      </c>
      <c r="C755" s="61">
        <v>46118.0</v>
      </c>
      <c r="D755" s="52" t="s">
        <v>3</v>
      </c>
      <c r="E755" s="55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52" t="s">
        <v>36</v>
      </c>
      <c r="B756" s="52">
        <v>-8832.53</v>
      </c>
      <c r="C756" s="61">
        <v>46118.0</v>
      </c>
      <c r="D756" s="52" t="s">
        <v>14</v>
      </c>
      <c r="E756" s="55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52" t="s">
        <v>36</v>
      </c>
      <c r="B757" s="52">
        <v>-6251.21</v>
      </c>
      <c r="C757" s="61">
        <v>46118.0</v>
      </c>
      <c r="D757" s="52" t="s">
        <v>15</v>
      </c>
      <c r="E757" s="55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52" t="s">
        <v>36</v>
      </c>
      <c r="B758" s="52">
        <v>-6618.41</v>
      </c>
      <c r="C758" s="61">
        <v>46118.0</v>
      </c>
      <c r="D758" s="52" t="s">
        <v>16</v>
      </c>
      <c r="E758" s="55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52" t="s">
        <v>36</v>
      </c>
      <c r="B759" s="52">
        <v>-6576.77</v>
      </c>
      <c r="C759" s="61">
        <v>46118.0</v>
      </c>
      <c r="D759" s="52" t="s">
        <v>19</v>
      </c>
      <c r="E759" s="55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52" t="s">
        <v>36</v>
      </c>
      <c r="B760" s="52">
        <v>-4366.38</v>
      </c>
      <c r="C760" s="61">
        <v>46118.0</v>
      </c>
      <c r="D760" s="52" t="s">
        <v>20</v>
      </c>
      <c r="E760" s="55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52" t="s">
        <v>36</v>
      </c>
      <c r="B761" s="52">
        <v>-4955.33</v>
      </c>
      <c r="C761" s="61">
        <v>46118.0</v>
      </c>
      <c r="D761" s="52" t="s">
        <v>21</v>
      </c>
      <c r="E761" s="55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52" t="s">
        <v>36</v>
      </c>
      <c r="B762" s="52">
        <v>-16491.12</v>
      </c>
      <c r="C762" s="61">
        <v>46118.0</v>
      </c>
      <c r="D762" s="52" t="s">
        <v>22</v>
      </c>
      <c r="E762" s="55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52" t="s">
        <v>39</v>
      </c>
      <c r="B763" s="52">
        <v>-1499.995</v>
      </c>
      <c r="C763" s="61">
        <v>46118.0</v>
      </c>
      <c r="D763" s="52" t="s">
        <v>5</v>
      </c>
      <c r="E763" s="55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52" t="s">
        <v>39</v>
      </c>
      <c r="B764" s="56">
        <v>1000.0</v>
      </c>
      <c r="C764" s="61">
        <v>46118.0</v>
      </c>
      <c r="D764" s="52" t="s">
        <v>2</v>
      </c>
      <c r="E764" s="52" t="s">
        <v>55</v>
      </c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52" t="s">
        <v>39</v>
      </c>
      <c r="B765" s="56">
        <v>-500.0</v>
      </c>
      <c r="C765" s="61">
        <v>46118.0</v>
      </c>
      <c r="D765" s="52" t="s">
        <v>14</v>
      </c>
      <c r="E765" s="52" t="s">
        <v>131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52" t="s">
        <v>39</v>
      </c>
      <c r="B766" s="56">
        <v>1000.0</v>
      </c>
      <c r="C766" s="61">
        <v>46118.0</v>
      </c>
      <c r="D766" s="52" t="s">
        <v>15</v>
      </c>
      <c r="E766" s="52" t="s">
        <v>55</v>
      </c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52" t="s">
        <v>39</v>
      </c>
      <c r="B767" s="56">
        <v>-700.0</v>
      </c>
      <c r="C767" s="61">
        <v>46118.0</v>
      </c>
      <c r="D767" s="52" t="s">
        <v>16</v>
      </c>
      <c r="E767" s="55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52" t="s">
        <v>39</v>
      </c>
      <c r="B768" s="56">
        <v>-1500.0</v>
      </c>
      <c r="C768" s="61">
        <v>46118.0</v>
      </c>
      <c r="D768" s="52" t="s">
        <v>19</v>
      </c>
      <c r="E768" s="55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52" t="s">
        <v>39</v>
      </c>
      <c r="B769" s="56">
        <v>-1000.0</v>
      </c>
      <c r="C769" s="61">
        <v>46118.0</v>
      </c>
      <c r="D769" s="52" t="s">
        <v>21</v>
      </c>
      <c r="E769" s="55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52" t="s">
        <v>65</v>
      </c>
      <c r="B770" s="52">
        <v>-2102.62</v>
      </c>
      <c r="C770" s="61">
        <v>46118.0</v>
      </c>
      <c r="D770" s="52" t="s">
        <v>1</v>
      </c>
      <c r="E770" s="52" t="s">
        <v>132</v>
      </c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52" t="s">
        <v>65</v>
      </c>
      <c r="B771" s="52">
        <v>-3308.37</v>
      </c>
      <c r="C771" s="61">
        <v>46118.0</v>
      </c>
      <c r="D771" s="52" t="s">
        <v>3</v>
      </c>
      <c r="E771" s="52" t="s">
        <v>133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52" t="s">
        <v>65</v>
      </c>
      <c r="B772" s="52">
        <v>-2445.25</v>
      </c>
      <c r="C772" s="61">
        <v>46118.0</v>
      </c>
      <c r="D772" s="52" t="s">
        <v>15</v>
      </c>
      <c r="E772" s="52" t="s">
        <v>132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52" t="s">
        <v>65</v>
      </c>
      <c r="B773" s="52">
        <v>-3.4</v>
      </c>
      <c r="C773" s="61">
        <v>46118.0</v>
      </c>
      <c r="D773" s="52" t="s">
        <v>19</v>
      </c>
      <c r="E773" s="52" t="s">
        <v>132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52" t="s">
        <v>65</v>
      </c>
      <c r="B774" s="52">
        <v>-1674.52</v>
      </c>
      <c r="C774" s="61">
        <v>46118.0</v>
      </c>
      <c r="D774" s="52" t="s">
        <v>21</v>
      </c>
      <c r="E774" s="55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52" t="s">
        <v>65</v>
      </c>
      <c r="B775" s="52">
        <v>-1211.55</v>
      </c>
      <c r="C775" s="61">
        <v>46118.0</v>
      </c>
      <c r="D775" s="52" t="s">
        <v>21</v>
      </c>
      <c r="E775" s="52" t="s">
        <v>133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52" t="s">
        <v>44</v>
      </c>
      <c r="B776" s="56">
        <v>-300.0</v>
      </c>
      <c r="C776" s="61">
        <v>46118.0</v>
      </c>
      <c r="D776" s="52" t="s">
        <v>3</v>
      </c>
      <c r="E776" s="52" t="s">
        <v>50</v>
      </c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52" t="s">
        <v>44</v>
      </c>
      <c r="B777" s="52">
        <v>-2045.2</v>
      </c>
      <c r="C777" s="61">
        <v>46118.0</v>
      </c>
      <c r="D777" s="52" t="s">
        <v>3</v>
      </c>
      <c r="E777" s="52" t="s">
        <v>117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52" t="s">
        <v>44</v>
      </c>
      <c r="B778" s="56">
        <v>-200.0</v>
      </c>
      <c r="C778" s="61">
        <v>46118.0</v>
      </c>
      <c r="D778" s="52" t="s">
        <v>14</v>
      </c>
      <c r="E778" s="52" t="s">
        <v>51</v>
      </c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52" t="s">
        <v>44</v>
      </c>
      <c r="B779" s="56">
        <v>-119.0</v>
      </c>
      <c r="C779" s="61">
        <v>46118.0</v>
      </c>
      <c r="D779" s="52" t="s">
        <v>14</v>
      </c>
      <c r="E779" s="52" t="s">
        <v>53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52" t="s">
        <v>44</v>
      </c>
      <c r="B780" s="52">
        <v>-58.5</v>
      </c>
      <c r="C780" s="61">
        <v>46118.0</v>
      </c>
      <c r="D780" s="52" t="s">
        <v>16</v>
      </c>
      <c r="E780" s="52" t="s">
        <v>104</v>
      </c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52" t="s">
        <v>44</v>
      </c>
      <c r="B781" s="56">
        <v>-300.0</v>
      </c>
      <c r="C781" s="61">
        <v>46118.0</v>
      </c>
      <c r="D781" s="52" t="s">
        <v>19</v>
      </c>
      <c r="E781" s="52" t="s">
        <v>60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52" t="s">
        <v>44</v>
      </c>
      <c r="B782" s="52">
        <v>-67.08</v>
      </c>
      <c r="C782" s="61">
        <v>46118.0</v>
      </c>
      <c r="D782" s="52" t="s">
        <v>22</v>
      </c>
      <c r="E782" s="52" t="s">
        <v>53</v>
      </c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52" t="s">
        <v>39</v>
      </c>
      <c r="B783" s="56">
        <v>1900.0</v>
      </c>
      <c r="C783" s="61">
        <v>46119.0</v>
      </c>
      <c r="D783" s="52" t="s">
        <v>20</v>
      </c>
      <c r="E783" s="52" t="s">
        <v>55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52" t="s">
        <v>39</v>
      </c>
      <c r="B784" s="52">
        <v>-702.81</v>
      </c>
      <c r="C784" s="61">
        <v>46119.0</v>
      </c>
      <c r="D784" s="52" t="s">
        <v>22</v>
      </c>
      <c r="E784" s="52" t="s">
        <v>47</v>
      </c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52" t="s">
        <v>44</v>
      </c>
      <c r="B785" s="56">
        <v>-2.0</v>
      </c>
      <c r="C785" s="61">
        <v>46119.0</v>
      </c>
      <c r="D785" s="52" t="s">
        <v>14</v>
      </c>
      <c r="E785" s="52" t="s">
        <v>64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52" t="s">
        <v>44</v>
      </c>
      <c r="B786" s="56">
        <v>-92.0</v>
      </c>
      <c r="C786" s="61">
        <v>46119.0</v>
      </c>
      <c r="D786" s="52" t="s">
        <v>14</v>
      </c>
      <c r="E786" s="52" t="s">
        <v>53</v>
      </c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52" t="s">
        <v>44</v>
      </c>
      <c r="B787" s="52">
        <v>-91.53</v>
      </c>
      <c r="C787" s="61">
        <v>46119.0</v>
      </c>
      <c r="D787" s="52" t="s">
        <v>14</v>
      </c>
      <c r="E787" s="52" t="s">
        <v>134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52" t="s">
        <v>39</v>
      </c>
      <c r="B788" s="56">
        <v>1000.0</v>
      </c>
      <c r="C788" s="61">
        <v>46120.0</v>
      </c>
      <c r="D788" s="52" t="s">
        <v>15</v>
      </c>
      <c r="E788" s="52" t="s">
        <v>55</v>
      </c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52" t="s">
        <v>44</v>
      </c>
      <c r="B789" s="56">
        <v>-236.0</v>
      </c>
      <c r="C789" s="61">
        <v>46120.0</v>
      </c>
      <c r="D789" s="52" t="s">
        <v>3</v>
      </c>
      <c r="E789" s="52" t="s">
        <v>135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52" t="s">
        <v>44</v>
      </c>
      <c r="B790" s="52">
        <v>-8.12</v>
      </c>
      <c r="C790" s="61">
        <v>46120.0</v>
      </c>
      <c r="D790" s="52" t="s">
        <v>3</v>
      </c>
      <c r="E790" s="52" t="s">
        <v>53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52" t="s">
        <v>44</v>
      </c>
      <c r="B791" s="56">
        <v>-46.0</v>
      </c>
      <c r="C791" s="61">
        <v>46120.0</v>
      </c>
      <c r="D791" s="52" t="s">
        <v>14</v>
      </c>
      <c r="E791" s="52" t="s">
        <v>53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52" t="s">
        <v>44</v>
      </c>
      <c r="B792" s="52">
        <v>-69.5</v>
      </c>
      <c r="C792" s="61">
        <v>46120.0</v>
      </c>
      <c r="D792" s="52" t="s">
        <v>16</v>
      </c>
      <c r="E792" s="52" t="s">
        <v>104</v>
      </c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52" t="s">
        <v>39</v>
      </c>
      <c r="B793" s="56">
        <v>2000.0</v>
      </c>
      <c r="C793" s="61">
        <v>46121.0</v>
      </c>
      <c r="D793" s="52" t="s">
        <v>2</v>
      </c>
      <c r="E793" s="52" t="s">
        <v>55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52" t="s">
        <v>39</v>
      </c>
      <c r="B794" s="56">
        <v>1000.0</v>
      </c>
      <c r="C794" s="61">
        <v>46121.0</v>
      </c>
      <c r="D794" s="52" t="s">
        <v>16</v>
      </c>
      <c r="E794" s="52" t="s">
        <v>55</v>
      </c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52" t="s">
        <v>44</v>
      </c>
      <c r="B795" s="56">
        <v>-36.0</v>
      </c>
      <c r="C795" s="61">
        <v>46121.0</v>
      </c>
      <c r="D795" s="52" t="s">
        <v>14</v>
      </c>
      <c r="E795" s="52" t="s">
        <v>97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52" t="s">
        <v>44</v>
      </c>
      <c r="B796" s="56">
        <v>-36.67</v>
      </c>
      <c r="C796" s="61">
        <v>46121.0</v>
      </c>
      <c r="D796" s="52" t="s">
        <v>14</v>
      </c>
      <c r="E796" s="52" t="s">
        <v>136</v>
      </c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52" t="s">
        <v>39</v>
      </c>
      <c r="B797" s="52">
        <v>-832.96</v>
      </c>
      <c r="C797" s="61">
        <v>46122.0</v>
      </c>
      <c r="D797" s="52" t="s">
        <v>22</v>
      </c>
      <c r="E797" s="52" t="s">
        <v>47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52" t="s">
        <v>44</v>
      </c>
      <c r="B798" s="56">
        <v>-100.0</v>
      </c>
      <c r="C798" s="61">
        <v>46122.0</v>
      </c>
      <c r="D798" s="52" t="s">
        <v>5</v>
      </c>
      <c r="E798" s="52" t="s">
        <v>74</v>
      </c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52" t="s">
        <v>44</v>
      </c>
      <c r="B799" s="56">
        <v>-46.0</v>
      </c>
      <c r="C799" s="61">
        <v>46122.0</v>
      </c>
      <c r="D799" s="52" t="s">
        <v>5</v>
      </c>
      <c r="E799" s="52" t="s">
        <v>104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52" t="s">
        <v>44</v>
      </c>
      <c r="B800" s="56">
        <v>-133.0</v>
      </c>
      <c r="C800" s="61">
        <v>46122.0</v>
      </c>
      <c r="D800" s="52" t="s">
        <v>14</v>
      </c>
      <c r="E800" s="52" t="s">
        <v>110</v>
      </c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52" t="s">
        <v>44</v>
      </c>
      <c r="B801" s="56">
        <v>-9.0</v>
      </c>
      <c r="C801" s="61">
        <v>46122.0</v>
      </c>
      <c r="D801" s="52" t="s">
        <v>21</v>
      </c>
      <c r="E801" s="52" t="s">
        <v>53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52" t="s">
        <v>44</v>
      </c>
      <c r="B802" s="52">
        <v>-76.56</v>
      </c>
      <c r="C802" s="61">
        <v>46122.0</v>
      </c>
      <c r="D802" s="52" t="s">
        <v>22</v>
      </c>
      <c r="E802" s="52" t="s">
        <v>53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52" t="s">
        <v>36</v>
      </c>
      <c r="B803" s="52">
        <v>-7264.67</v>
      </c>
      <c r="C803" s="61">
        <v>46126.0</v>
      </c>
      <c r="D803" s="52" t="s">
        <v>1</v>
      </c>
      <c r="E803" s="55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52" t="s">
        <v>36</v>
      </c>
      <c r="B804" s="52">
        <v>-3698.32</v>
      </c>
      <c r="C804" s="61">
        <v>46126.0</v>
      </c>
      <c r="D804" s="52" t="s">
        <v>5</v>
      </c>
      <c r="E804" s="55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52" t="s">
        <v>36</v>
      </c>
      <c r="B805" s="52">
        <v>-16333.08</v>
      </c>
      <c r="C805" s="61">
        <v>46126.0</v>
      </c>
      <c r="D805" s="52" t="s">
        <v>2</v>
      </c>
      <c r="E805" s="55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52" t="s">
        <v>36</v>
      </c>
      <c r="B806" s="52">
        <v>-14572.44</v>
      </c>
      <c r="C806" s="61">
        <v>46126.0</v>
      </c>
      <c r="D806" s="52" t="s">
        <v>3</v>
      </c>
      <c r="E806" s="55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52" t="s">
        <v>36</v>
      </c>
      <c r="B807" s="56">
        <v>-9837.0</v>
      </c>
      <c r="C807" s="61">
        <v>46126.0</v>
      </c>
      <c r="D807" s="52" t="s">
        <v>14</v>
      </c>
      <c r="E807" s="55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52" t="s">
        <v>36</v>
      </c>
      <c r="B808" s="52">
        <v>-6127.31</v>
      </c>
      <c r="C808" s="61">
        <v>46126.0</v>
      </c>
      <c r="D808" s="52" t="s">
        <v>15</v>
      </c>
      <c r="E808" s="55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52" t="s">
        <v>36</v>
      </c>
      <c r="B809" s="52">
        <v>-6180.74</v>
      </c>
      <c r="C809" s="61">
        <v>46126.0</v>
      </c>
      <c r="D809" s="52" t="s">
        <v>16</v>
      </c>
      <c r="E809" s="55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52" t="s">
        <v>36</v>
      </c>
      <c r="B810" s="52">
        <v>-7371.69</v>
      </c>
      <c r="C810" s="61">
        <v>46126.0</v>
      </c>
      <c r="D810" s="52" t="s">
        <v>19</v>
      </c>
      <c r="E810" s="55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52" t="s">
        <v>36</v>
      </c>
      <c r="B811" s="52">
        <v>-4603.33</v>
      </c>
      <c r="C811" s="61">
        <v>46126.0</v>
      </c>
      <c r="D811" s="52" t="s">
        <v>20</v>
      </c>
      <c r="E811" s="55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52" t="s">
        <v>36</v>
      </c>
      <c r="B812" s="52">
        <v>-4857.98</v>
      </c>
      <c r="C812" s="61">
        <v>46126.0</v>
      </c>
      <c r="D812" s="52" t="s">
        <v>21</v>
      </c>
      <c r="E812" s="55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52" t="s">
        <v>36</v>
      </c>
      <c r="B813" s="52">
        <v>-17263.47</v>
      </c>
      <c r="C813" s="61">
        <v>46126.0</v>
      </c>
      <c r="D813" s="52" t="s">
        <v>22</v>
      </c>
      <c r="E813" s="55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52" t="s">
        <v>39</v>
      </c>
      <c r="B814" s="56">
        <v>-300.0</v>
      </c>
      <c r="C814" s="61">
        <v>46126.0</v>
      </c>
      <c r="D814" s="52" t="s">
        <v>1</v>
      </c>
      <c r="E814" s="55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52" t="s">
        <v>39</v>
      </c>
      <c r="B815" s="56">
        <v>-1100.0</v>
      </c>
      <c r="C815" s="61">
        <v>46126.0</v>
      </c>
      <c r="D815" s="52" t="s">
        <v>5</v>
      </c>
      <c r="E815" s="55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52" t="s">
        <v>39</v>
      </c>
      <c r="B816" s="56">
        <v>-1000.0</v>
      </c>
      <c r="C816" s="61">
        <v>46126.0</v>
      </c>
      <c r="D816" s="52" t="s">
        <v>3</v>
      </c>
      <c r="E816" s="55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52" t="s">
        <v>39</v>
      </c>
      <c r="B817" s="56">
        <v>-1000.0</v>
      </c>
      <c r="C817" s="61">
        <v>46126.0</v>
      </c>
      <c r="D817" s="52" t="s">
        <v>14</v>
      </c>
      <c r="E817" s="55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52" t="s">
        <v>39</v>
      </c>
      <c r="B818" s="56">
        <v>-1000.0</v>
      </c>
      <c r="C818" s="61">
        <v>46126.0</v>
      </c>
      <c r="D818" s="52" t="s">
        <v>14</v>
      </c>
      <c r="E818" s="52" t="s">
        <v>137</v>
      </c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52" t="s">
        <v>39</v>
      </c>
      <c r="B819" s="56">
        <v>-500.0</v>
      </c>
      <c r="C819" s="61">
        <v>46126.0</v>
      </c>
      <c r="D819" s="52" t="s">
        <v>15</v>
      </c>
      <c r="E819" s="55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52" t="s">
        <v>39</v>
      </c>
      <c r="B820" s="56">
        <v>-2500.0</v>
      </c>
      <c r="C820" s="61">
        <v>46126.0</v>
      </c>
      <c r="D820" s="52" t="s">
        <v>16</v>
      </c>
      <c r="E820" s="55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52" t="s">
        <v>39</v>
      </c>
      <c r="B821" s="52">
        <v>-9000.004</v>
      </c>
      <c r="C821" s="61">
        <v>46126.0</v>
      </c>
      <c r="D821" s="52" t="s">
        <v>19</v>
      </c>
      <c r="E821" s="55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52" t="s">
        <v>39</v>
      </c>
      <c r="B822" s="56">
        <v>-1000.0</v>
      </c>
      <c r="C822" s="61">
        <v>46126.0</v>
      </c>
      <c r="D822" s="52" t="s">
        <v>21</v>
      </c>
      <c r="E822" s="55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52" t="s">
        <v>39</v>
      </c>
      <c r="B823" s="56">
        <v>-4000.0</v>
      </c>
      <c r="C823" s="61">
        <v>46126.0</v>
      </c>
      <c r="D823" s="52" t="s">
        <v>22</v>
      </c>
      <c r="E823" s="55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52" t="s">
        <v>39</v>
      </c>
      <c r="B824" s="56">
        <v>-520.0</v>
      </c>
      <c r="C824" s="61">
        <v>46126.0</v>
      </c>
      <c r="D824" s="52" t="s">
        <v>22</v>
      </c>
      <c r="E824" s="52" t="s">
        <v>47</v>
      </c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52" t="s">
        <v>65</v>
      </c>
      <c r="B825" s="52">
        <v>-568.02</v>
      </c>
      <c r="C825" s="61">
        <v>46126.0</v>
      </c>
      <c r="D825" s="52" t="s">
        <v>16</v>
      </c>
      <c r="E825" s="55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52" t="s">
        <v>65</v>
      </c>
      <c r="B826" s="52">
        <v>-1833.94</v>
      </c>
      <c r="C826" s="61">
        <v>46126.0</v>
      </c>
      <c r="D826" s="52" t="s">
        <v>21</v>
      </c>
      <c r="E826" s="55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52" t="s">
        <v>44</v>
      </c>
      <c r="B827" s="56">
        <v>-120.0</v>
      </c>
      <c r="C827" s="61">
        <v>46126.0</v>
      </c>
      <c r="D827" s="52" t="s">
        <v>14</v>
      </c>
      <c r="E827" s="52" t="s">
        <v>51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52" t="s">
        <v>44</v>
      </c>
      <c r="B828" s="56">
        <v>-178.0</v>
      </c>
      <c r="C828" s="61">
        <v>46126.0</v>
      </c>
      <c r="D828" s="52" t="s">
        <v>14</v>
      </c>
      <c r="E828" s="52" t="s">
        <v>53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52" t="s">
        <v>44</v>
      </c>
      <c r="B829" s="56">
        <v>-250.0</v>
      </c>
      <c r="C829" s="61">
        <v>46126.0</v>
      </c>
      <c r="D829" s="52" t="s">
        <v>21</v>
      </c>
      <c r="E829" s="52" t="s">
        <v>77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52" t="s">
        <v>44</v>
      </c>
      <c r="B830" s="56">
        <v>-74.0</v>
      </c>
      <c r="C830" s="61">
        <v>46127.0</v>
      </c>
      <c r="D830" s="52" t="s">
        <v>14</v>
      </c>
      <c r="E830" s="52" t="s">
        <v>53</v>
      </c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52" t="s">
        <v>44</v>
      </c>
      <c r="B831" s="56">
        <v>-30.0</v>
      </c>
      <c r="C831" s="61">
        <v>46127.0</v>
      </c>
      <c r="D831" s="52" t="s">
        <v>21</v>
      </c>
      <c r="E831" s="52" t="s">
        <v>138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52" t="s">
        <v>39</v>
      </c>
      <c r="B832" s="56">
        <v>500.0</v>
      </c>
      <c r="C832" s="61">
        <v>46129.0</v>
      </c>
      <c r="D832" s="52" t="s">
        <v>15</v>
      </c>
      <c r="E832" s="52" t="s">
        <v>55</v>
      </c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52" t="s">
        <v>39</v>
      </c>
      <c r="B833" s="56">
        <v>-312.96</v>
      </c>
      <c r="C833" s="61">
        <v>46129.0</v>
      </c>
      <c r="D833" s="52" t="s">
        <v>22</v>
      </c>
      <c r="E833" s="52" t="s">
        <v>47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52" t="s">
        <v>44</v>
      </c>
      <c r="B834" s="56">
        <v>-800.0</v>
      </c>
      <c r="C834" s="61">
        <v>46129.0</v>
      </c>
      <c r="D834" s="52" t="s">
        <v>2</v>
      </c>
      <c r="E834" s="52" t="s">
        <v>49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52" t="s">
        <v>44</v>
      </c>
      <c r="B835" s="56">
        <v>-107.5</v>
      </c>
      <c r="C835" s="61">
        <v>46129.0</v>
      </c>
      <c r="D835" s="52" t="s">
        <v>14</v>
      </c>
      <c r="E835" s="52" t="s">
        <v>53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52" t="s">
        <v>39</v>
      </c>
      <c r="B836" s="56">
        <v>-1500.0</v>
      </c>
      <c r="C836" s="61">
        <v>46132.0</v>
      </c>
      <c r="D836" s="52" t="s">
        <v>5</v>
      </c>
      <c r="E836" s="55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52" t="s">
        <v>39</v>
      </c>
      <c r="B837" s="56">
        <v>-1000.0</v>
      </c>
      <c r="C837" s="61">
        <v>46132.0</v>
      </c>
      <c r="D837" s="52" t="s">
        <v>14</v>
      </c>
      <c r="E837" s="55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52" t="s">
        <v>39</v>
      </c>
      <c r="B838" s="56">
        <v>-1000.0</v>
      </c>
      <c r="C838" s="61">
        <v>46132.0</v>
      </c>
      <c r="D838" s="52" t="s">
        <v>14</v>
      </c>
      <c r="E838" s="52" t="s">
        <v>139</v>
      </c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52" t="s">
        <v>39</v>
      </c>
      <c r="B839" s="56">
        <v>-1500.0</v>
      </c>
      <c r="C839" s="61">
        <v>46132.0</v>
      </c>
      <c r="D839" s="52" t="s">
        <v>16</v>
      </c>
      <c r="E839" s="55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52" t="s">
        <v>39</v>
      </c>
      <c r="B840" s="56">
        <v>-1000.0</v>
      </c>
      <c r="C840" s="61">
        <v>46132.0</v>
      </c>
      <c r="D840" s="52" t="s">
        <v>19</v>
      </c>
      <c r="E840" s="55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52" t="s">
        <v>39</v>
      </c>
      <c r="B841" s="56">
        <v>-1500.0</v>
      </c>
      <c r="C841" s="61">
        <v>46132.0</v>
      </c>
      <c r="D841" s="52" t="s">
        <v>21</v>
      </c>
      <c r="E841" s="55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52" t="s">
        <v>39</v>
      </c>
      <c r="B842" s="56">
        <v>-2500.0</v>
      </c>
      <c r="C842" s="61">
        <v>46132.0</v>
      </c>
      <c r="D842" s="52" t="s">
        <v>22</v>
      </c>
      <c r="E842" s="55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52" t="s">
        <v>44</v>
      </c>
      <c r="B843" s="52">
        <v>-74.21</v>
      </c>
      <c r="C843" s="61">
        <v>46132.0</v>
      </c>
      <c r="D843" s="52" t="s">
        <v>5</v>
      </c>
      <c r="E843" s="52" t="s">
        <v>104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52" t="s">
        <v>44</v>
      </c>
      <c r="B844" s="56">
        <v>-5.0</v>
      </c>
      <c r="C844" s="61">
        <v>46132.0</v>
      </c>
      <c r="D844" s="52" t="s">
        <v>14</v>
      </c>
      <c r="E844" s="52" t="s">
        <v>64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52" t="s">
        <v>44</v>
      </c>
      <c r="B845" s="52">
        <v>-59.5</v>
      </c>
      <c r="C845" s="61">
        <v>46132.0</v>
      </c>
      <c r="D845" s="52" t="s">
        <v>14</v>
      </c>
      <c r="E845" s="52" t="s">
        <v>53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52" t="s">
        <v>44</v>
      </c>
      <c r="B846" s="56">
        <v>-108.0</v>
      </c>
      <c r="C846" s="61">
        <v>46132.0</v>
      </c>
      <c r="D846" s="52" t="s">
        <v>14</v>
      </c>
      <c r="E846" s="52" t="s">
        <v>140</v>
      </c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52" t="s">
        <v>44</v>
      </c>
      <c r="B847" s="56">
        <v>-500.0</v>
      </c>
      <c r="C847" s="61">
        <v>46132.0</v>
      </c>
      <c r="D847" s="52" t="s">
        <v>16</v>
      </c>
      <c r="E847" s="52" t="s">
        <v>75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52" t="s">
        <v>36</v>
      </c>
      <c r="B848" s="52">
        <v>-7778.62</v>
      </c>
      <c r="C848" s="61">
        <v>46132.0</v>
      </c>
      <c r="D848" s="52" t="s">
        <v>1</v>
      </c>
      <c r="E848" s="52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52" t="s">
        <v>36</v>
      </c>
      <c r="B849" s="52">
        <v>-3489.74</v>
      </c>
      <c r="C849" s="61">
        <v>46132.0</v>
      </c>
      <c r="D849" s="52" t="s">
        <v>5</v>
      </c>
      <c r="E849" s="52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52" t="s">
        <v>36</v>
      </c>
      <c r="B850" s="52">
        <v>-15845.65</v>
      </c>
      <c r="C850" s="61">
        <v>46132.0</v>
      </c>
      <c r="D850" s="52" t="s">
        <v>2</v>
      </c>
      <c r="E850" s="52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52" t="s">
        <v>36</v>
      </c>
      <c r="B851" s="52">
        <v>-13351.38</v>
      </c>
      <c r="C851" s="61">
        <v>46132.0</v>
      </c>
      <c r="D851" s="52" t="s">
        <v>3</v>
      </c>
      <c r="E851" s="52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52" t="s">
        <v>36</v>
      </c>
      <c r="B852" s="52">
        <v>-8533.38</v>
      </c>
      <c r="C852" s="61">
        <v>46132.0</v>
      </c>
      <c r="D852" s="52" t="s">
        <v>14</v>
      </c>
      <c r="E852" s="52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52" t="s">
        <v>36</v>
      </c>
      <c r="B853" s="52">
        <v>-5330.58</v>
      </c>
      <c r="C853" s="61">
        <v>46132.0</v>
      </c>
      <c r="D853" s="52" t="s">
        <v>15</v>
      </c>
      <c r="E853" s="52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52" t="s">
        <v>36</v>
      </c>
      <c r="B854" s="52">
        <v>-7032.81</v>
      </c>
      <c r="C854" s="61">
        <v>46132.0</v>
      </c>
      <c r="D854" s="52" t="s">
        <v>16</v>
      </c>
      <c r="E854" s="52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52" t="s">
        <v>36</v>
      </c>
      <c r="B855" s="52">
        <v>-7270.68</v>
      </c>
      <c r="C855" s="61">
        <v>46132.0</v>
      </c>
      <c r="D855" s="52" t="s">
        <v>19</v>
      </c>
      <c r="E855" s="52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52" t="s">
        <v>36</v>
      </c>
      <c r="B856" s="52">
        <v>-4416.27</v>
      </c>
      <c r="C856" s="61">
        <v>46132.0</v>
      </c>
      <c r="D856" s="52" t="s">
        <v>20</v>
      </c>
      <c r="E856" s="52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52" t="s">
        <v>36</v>
      </c>
      <c r="B857" s="52">
        <v>-5464.35</v>
      </c>
      <c r="C857" s="61">
        <v>46132.0</v>
      </c>
      <c r="D857" s="52" t="s">
        <v>21</v>
      </c>
      <c r="E857" s="52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52" t="s">
        <v>36</v>
      </c>
      <c r="B858" s="52">
        <v>-15575.18</v>
      </c>
      <c r="C858" s="61">
        <v>46132.0</v>
      </c>
      <c r="D858" s="52" t="s">
        <v>22</v>
      </c>
      <c r="E858" s="52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52" t="s">
        <v>39</v>
      </c>
      <c r="B859" s="56">
        <v>-624.72</v>
      </c>
      <c r="C859" s="61">
        <v>46133.0</v>
      </c>
      <c r="D859" s="52" t="s">
        <v>22</v>
      </c>
      <c r="E859" s="52" t="s">
        <v>47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52" t="s">
        <v>44</v>
      </c>
      <c r="B860" s="56">
        <v>-62.5</v>
      </c>
      <c r="C860" s="61">
        <v>46133.0</v>
      </c>
      <c r="D860" s="52" t="s">
        <v>14</v>
      </c>
      <c r="E860" s="52" t="s">
        <v>53</v>
      </c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52" t="s">
        <v>39</v>
      </c>
      <c r="B861" s="56">
        <v>500.0</v>
      </c>
      <c r="C861" s="61">
        <v>46134.0</v>
      </c>
      <c r="D861" s="52" t="s">
        <v>15</v>
      </c>
      <c r="E861" s="52" t="s">
        <v>55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52" t="s">
        <v>39</v>
      </c>
      <c r="B862" s="56">
        <v>-500.0</v>
      </c>
      <c r="C862" s="61">
        <v>46134.0</v>
      </c>
      <c r="D862" s="52" t="s">
        <v>16</v>
      </c>
      <c r="E862" s="55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52" t="s">
        <v>39</v>
      </c>
      <c r="B863" s="56">
        <v>-500.0</v>
      </c>
      <c r="C863" s="61">
        <v>46134.0</v>
      </c>
      <c r="D863" s="52" t="s">
        <v>19</v>
      </c>
      <c r="E863" s="55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52" t="s">
        <v>39</v>
      </c>
      <c r="B864" s="56">
        <v>-1000.0</v>
      </c>
      <c r="C864" s="61">
        <v>46134.0</v>
      </c>
      <c r="D864" s="52" t="s">
        <v>21</v>
      </c>
      <c r="E864" s="55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52" t="s">
        <v>56</v>
      </c>
      <c r="B865" s="56">
        <v>500.0</v>
      </c>
      <c r="C865" s="61">
        <v>46134.0</v>
      </c>
      <c r="D865" s="52" t="s">
        <v>1</v>
      </c>
      <c r="E865" s="52" t="s">
        <v>73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52" t="s">
        <v>56</v>
      </c>
      <c r="B866" s="56">
        <v>700.0</v>
      </c>
      <c r="C866" s="61">
        <v>46134.0</v>
      </c>
      <c r="D866" s="52" t="s">
        <v>5</v>
      </c>
      <c r="E866" s="52" t="s">
        <v>73</v>
      </c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52" t="s">
        <v>56</v>
      </c>
      <c r="B867" s="56">
        <v>700.0</v>
      </c>
      <c r="C867" s="61">
        <v>46134.0</v>
      </c>
      <c r="D867" s="52" t="s">
        <v>2</v>
      </c>
      <c r="E867" s="52" t="s">
        <v>73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52" t="s">
        <v>56</v>
      </c>
      <c r="B868" s="56">
        <v>900.0</v>
      </c>
      <c r="C868" s="61">
        <v>46134.0</v>
      </c>
      <c r="D868" s="52" t="s">
        <v>3</v>
      </c>
      <c r="E868" s="55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52" t="s">
        <v>56</v>
      </c>
      <c r="B869" s="56">
        <v>700.0</v>
      </c>
      <c r="C869" s="61">
        <v>46134.0</v>
      </c>
      <c r="D869" s="52" t="s">
        <v>14</v>
      </c>
      <c r="E869" s="52" t="s">
        <v>73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52" t="s">
        <v>56</v>
      </c>
      <c r="B870" s="56">
        <v>500.0</v>
      </c>
      <c r="C870" s="61">
        <v>46134.0</v>
      </c>
      <c r="D870" s="52" t="s">
        <v>15</v>
      </c>
      <c r="E870" s="52" t="s">
        <v>73</v>
      </c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52" t="s">
        <v>56</v>
      </c>
      <c r="B871" s="56">
        <v>900.0</v>
      </c>
      <c r="C871" s="61">
        <v>46134.0</v>
      </c>
      <c r="D871" s="52" t="s">
        <v>16</v>
      </c>
      <c r="E871" s="52" t="s">
        <v>73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52" t="s">
        <v>56</v>
      </c>
      <c r="B872" s="56">
        <v>800.0</v>
      </c>
      <c r="C872" s="61">
        <v>46134.0</v>
      </c>
      <c r="D872" s="52" t="s">
        <v>19</v>
      </c>
      <c r="E872" s="52" t="s">
        <v>73</v>
      </c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52" t="s">
        <v>56</v>
      </c>
      <c r="B873" s="56">
        <v>500.0</v>
      </c>
      <c r="C873" s="61">
        <v>46134.0</v>
      </c>
      <c r="D873" s="52" t="s">
        <v>20</v>
      </c>
      <c r="E873" s="52" t="s">
        <v>73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52" t="s">
        <v>56</v>
      </c>
      <c r="B874" s="56">
        <v>800.0</v>
      </c>
      <c r="C874" s="61">
        <v>46134.0</v>
      </c>
      <c r="D874" s="52" t="s">
        <v>21</v>
      </c>
      <c r="E874" s="52" t="s">
        <v>73</v>
      </c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52" t="s">
        <v>56</v>
      </c>
      <c r="B875" s="56">
        <v>1000.0</v>
      </c>
      <c r="C875" s="61">
        <v>46134.0</v>
      </c>
      <c r="D875" s="52" t="s">
        <v>22</v>
      </c>
      <c r="E875" s="52" t="s">
        <v>73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52" t="s">
        <v>44</v>
      </c>
      <c r="B876" s="56">
        <v>-300.0</v>
      </c>
      <c r="C876" s="61">
        <v>46134.0</v>
      </c>
      <c r="D876" s="52" t="s">
        <v>2</v>
      </c>
      <c r="E876" s="52" t="s">
        <v>49</v>
      </c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52" t="s">
        <v>44</v>
      </c>
      <c r="B877" s="56">
        <v>-18.3</v>
      </c>
      <c r="C877" s="61">
        <v>46134.0</v>
      </c>
      <c r="D877" s="52" t="s">
        <v>2</v>
      </c>
      <c r="E877" s="52" t="s">
        <v>141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52" t="s">
        <v>44</v>
      </c>
      <c r="B878" s="56">
        <v>-19.0</v>
      </c>
      <c r="C878" s="61">
        <v>46134.0</v>
      </c>
      <c r="D878" s="52" t="s">
        <v>14</v>
      </c>
      <c r="E878" s="52" t="s">
        <v>53</v>
      </c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52" t="s">
        <v>56</v>
      </c>
      <c r="B879" s="56">
        <v>-20.0</v>
      </c>
      <c r="C879" s="61">
        <v>46135.0</v>
      </c>
      <c r="D879" s="52" t="s">
        <v>1</v>
      </c>
      <c r="E879" s="61">
        <v>38327.0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52" t="s">
        <v>56</v>
      </c>
      <c r="B880" s="56">
        <v>-37.0</v>
      </c>
      <c r="C880" s="61">
        <v>46135.0</v>
      </c>
      <c r="D880" s="52" t="s">
        <v>1</v>
      </c>
      <c r="E880" s="52" t="s">
        <v>142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52" t="s">
        <v>56</v>
      </c>
      <c r="B881" s="56">
        <v>-10.0</v>
      </c>
      <c r="C881" s="61">
        <v>46135.0</v>
      </c>
      <c r="D881" s="52" t="s">
        <v>1</v>
      </c>
      <c r="E881" s="52" t="s">
        <v>143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52" t="s">
        <v>56</v>
      </c>
      <c r="B882" s="56">
        <v>-42.0</v>
      </c>
      <c r="C882" s="61">
        <v>46135.0</v>
      </c>
      <c r="D882" s="52" t="s">
        <v>3</v>
      </c>
      <c r="E882" s="61">
        <v>38327.0</v>
      </c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52" t="s">
        <v>56</v>
      </c>
      <c r="B883" s="52">
        <v>-42.22</v>
      </c>
      <c r="C883" s="61">
        <v>46135.0</v>
      </c>
      <c r="D883" s="52" t="s">
        <v>3</v>
      </c>
      <c r="E883" s="52" t="s">
        <v>142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52" t="s">
        <v>56</v>
      </c>
      <c r="B884" s="56">
        <v>-17.0</v>
      </c>
      <c r="C884" s="61">
        <v>46135.0</v>
      </c>
      <c r="D884" s="52" t="s">
        <v>3</v>
      </c>
      <c r="E884" s="52" t="s">
        <v>143</v>
      </c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52" t="s">
        <v>56</v>
      </c>
      <c r="B885" s="56">
        <v>-15.0</v>
      </c>
      <c r="C885" s="61">
        <v>46135.0</v>
      </c>
      <c r="D885" s="52" t="s">
        <v>14</v>
      </c>
      <c r="E885" s="61">
        <v>38327.0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52" t="s">
        <v>56</v>
      </c>
      <c r="B886" s="56">
        <v>-65.0</v>
      </c>
      <c r="C886" s="61">
        <v>46135.0</v>
      </c>
      <c r="D886" s="52" t="s">
        <v>14</v>
      </c>
      <c r="E886" s="52" t="s">
        <v>142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52" t="s">
        <v>56</v>
      </c>
      <c r="B887" s="56">
        <v>-34.0</v>
      </c>
      <c r="C887" s="61">
        <v>46135.0</v>
      </c>
      <c r="D887" s="52" t="s">
        <v>14</v>
      </c>
      <c r="E887" s="52" t="s">
        <v>143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52" t="s">
        <v>56</v>
      </c>
      <c r="B888" s="56">
        <v>-5.0</v>
      </c>
      <c r="C888" s="61">
        <v>46135.0</v>
      </c>
      <c r="D888" s="52" t="s">
        <v>15</v>
      </c>
      <c r="E888" s="61">
        <v>38327.0</v>
      </c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52" t="s">
        <v>56</v>
      </c>
      <c r="B889" s="56">
        <v>-5.0</v>
      </c>
      <c r="C889" s="61">
        <v>46135.0</v>
      </c>
      <c r="D889" s="52" t="s">
        <v>16</v>
      </c>
      <c r="E889" s="61">
        <v>38327.0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52" t="s">
        <v>56</v>
      </c>
      <c r="B890" s="52">
        <v>-31.5</v>
      </c>
      <c r="C890" s="61">
        <v>46135.0</v>
      </c>
      <c r="D890" s="52" t="s">
        <v>16</v>
      </c>
      <c r="E890" s="52" t="s">
        <v>142</v>
      </c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52" t="s">
        <v>56</v>
      </c>
      <c r="B891" s="56">
        <v>-2.0</v>
      </c>
      <c r="C891" s="61">
        <v>46135.0</v>
      </c>
      <c r="D891" s="52" t="s">
        <v>16</v>
      </c>
      <c r="E891" s="52" t="s">
        <v>143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52" t="s">
        <v>56</v>
      </c>
      <c r="B892" s="52">
        <v>-140.61</v>
      </c>
      <c r="C892" s="61">
        <v>46135.0</v>
      </c>
      <c r="D892" s="52" t="s">
        <v>19</v>
      </c>
      <c r="E892" s="61">
        <v>38327.0</v>
      </c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52" t="s">
        <v>56</v>
      </c>
      <c r="B893" s="52">
        <v>-167.9</v>
      </c>
      <c r="C893" s="61">
        <v>46135.0</v>
      </c>
      <c r="D893" s="52" t="s">
        <v>19</v>
      </c>
      <c r="E893" s="52" t="s">
        <v>142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52" t="s">
        <v>56</v>
      </c>
      <c r="B894" s="52">
        <v>-291.45</v>
      </c>
      <c r="C894" s="61">
        <v>46135.0</v>
      </c>
      <c r="D894" s="52" t="s">
        <v>21</v>
      </c>
      <c r="E894" s="61">
        <v>38327.0</v>
      </c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52" t="s">
        <v>56</v>
      </c>
      <c r="B895" s="52">
        <v>-381.84</v>
      </c>
      <c r="C895" s="61">
        <v>46135.0</v>
      </c>
      <c r="D895" s="52" t="s">
        <v>21</v>
      </c>
      <c r="E895" s="52" t="s">
        <v>143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52" t="s">
        <v>56</v>
      </c>
      <c r="B896" s="56">
        <v>-10.0</v>
      </c>
      <c r="C896" s="61">
        <v>46135.0</v>
      </c>
      <c r="D896" s="52" t="s">
        <v>22</v>
      </c>
      <c r="E896" s="61">
        <v>38327.0</v>
      </c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52" t="s">
        <v>56</v>
      </c>
      <c r="B897" s="52">
        <v>-121.65</v>
      </c>
      <c r="C897" s="61">
        <v>46135.0</v>
      </c>
      <c r="D897" s="52" t="s">
        <v>22</v>
      </c>
      <c r="E897" s="52" t="s">
        <v>142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52" t="s">
        <v>56</v>
      </c>
      <c r="B898" s="56">
        <v>-115.0</v>
      </c>
      <c r="C898" s="61">
        <v>46135.0</v>
      </c>
      <c r="D898" s="52" t="s">
        <v>22</v>
      </c>
      <c r="E898" s="52" t="s">
        <v>143</v>
      </c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52" t="s">
        <v>44</v>
      </c>
      <c r="B899" s="52">
        <v>-51.5</v>
      </c>
      <c r="C899" s="61">
        <v>46135.0</v>
      </c>
      <c r="D899" s="52" t="s">
        <v>14</v>
      </c>
      <c r="E899" s="52" t="s">
        <v>53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52" t="s">
        <v>44</v>
      </c>
      <c r="B900" s="56">
        <v>-154.0</v>
      </c>
      <c r="C900" s="61">
        <v>46135.0</v>
      </c>
      <c r="D900" s="52" t="s">
        <v>16</v>
      </c>
      <c r="E900" s="52" t="s">
        <v>104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52" t="s">
        <v>44</v>
      </c>
      <c r="B901" s="56">
        <v>-500.0</v>
      </c>
      <c r="C901" s="61">
        <v>46135.0</v>
      </c>
      <c r="D901" s="52" t="s">
        <v>22</v>
      </c>
      <c r="E901" s="52" t="s">
        <v>84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52" t="s">
        <v>39</v>
      </c>
      <c r="B902" s="56">
        <v>400.0</v>
      </c>
      <c r="C902" s="61">
        <v>46136.0</v>
      </c>
      <c r="D902" s="52" t="s">
        <v>2</v>
      </c>
      <c r="E902" s="52" t="s">
        <v>55</v>
      </c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52" t="s">
        <v>39</v>
      </c>
      <c r="B903" s="56">
        <v>-500.0</v>
      </c>
      <c r="C903" s="61">
        <v>46136.0</v>
      </c>
      <c r="D903" s="52" t="s">
        <v>14</v>
      </c>
      <c r="E903" s="55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52" t="s">
        <v>39</v>
      </c>
      <c r="B904" s="52">
        <v>-777.48</v>
      </c>
      <c r="C904" s="61">
        <v>46136.0</v>
      </c>
      <c r="D904" s="52" t="s">
        <v>22</v>
      </c>
      <c r="E904" s="52" t="s">
        <v>47</v>
      </c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52" t="s">
        <v>65</v>
      </c>
      <c r="B905" s="52">
        <v>-1345.79</v>
      </c>
      <c r="C905" s="61">
        <v>46136.0</v>
      </c>
      <c r="D905" s="52" t="s">
        <v>21</v>
      </c>
      <c r="E905" s="55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52" t="s">
        <v>44</v>
      </c>
      <c r="B906" s="56">
        <v>-110.0</v>
      </c>
      <c r="C906" s="61">
        <v>46136.0</v>
      </c>
      <c r="D906" s="52" t="s">
        <v>14</v>
      </c>
      <c r="E906" s="52" t="s">
        <v>53</v>
      </c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52" t="s">
        <v>36</v>
      </c>
      <c r="B907" s="52">
        <v>-7573.136</v>
      </c>
      <c r="C907" s="61">
        <v>46139.0</v>
      </c>
      <c r="D907" s="52" t="s">
        <v>1</v>
      </c>
      <c r="E907" s="55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52" t="s">
        <v>36</v>
      </c>
      <c r="B908" s="52">
        <v>-4024.33</v>
      </c>
      <c r="C908" s="61">
        <v>46139.0</v>
      </c>
      <c r="D908" s="52" t="s">
        <v>5</v>
      </c>
      <c r="E908" s="55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52" t="s">
        <v>36</v>
      </c>
      <c r="B909" s="52">
        <v>-15963.83</v>
      </c>
      <c r="C909" s="61">
        <v>46139.0</v>
      </c>
      <c r="D909" s="52" t="s">
        <v>2</v>
      </c>
      <c r="E909" s="55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52" t="s">
        <v>36</v>
      </c>
      <c r="B910" s="52">
        <v>-12363.31</v>
      </c>
      <c r="C910" s="61">
        <v>46139.0</v>
      </c>
      <c r="D910" s="52" t="s">
        <v>3</v>
      </c>
      <c r="E910" s="55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52" t="s">
        <v>36</v>
      </c>
      <c r="B911" s="52">
        <v>-9632.82</v>
      </c>
      <c r="C911" s="61">
        <v>46139.0</v>
      </c>
      <c r="D911" s="52" t="s">
        <v>14</v>
      </c>
      <c r="E911" s="55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52" t="s">
        <v>36</v>
      </c>
      <c r="B912" s="52">
        <v>-6463.26</v>
      </c>
      <c r="C912" s="61">
        <v>46139.0</v>
      </c>
      <c r="D912" s="52" t="s">
        <v>15</v>
      </c>
      <c r="E912" s="55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52" t="s">
        <v>36</v>
      </c>
      <c r="B913" s="52">
        <v>-7915.34</v>
      </c>
      <c r="C913" s="61">
        <v>46139.0</v>
      </c>
      <c r="D913" s="52" t="s">
        <v>16</v>
      </c>
      <c r="E913" s="55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52" t="s">
        <v>36</v>
      </c>
      <c r="B914" s="52">
        <v>-6662.91</v>
      </c>
      <c r="C914" s="61">
        <v>46139.0</v>
      </c>
      <c r="D914" s="52" t="s">
        <v>19</v>
      </c>
      <c r="E914" s="55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52" t="s">
        <v>36</v>
      </c>
      <c r="B915" s="52">
        <v>-4561.72</v>
      </c>
      <c r="C915" s="61">
        <v>46139.0</v>
      </c>
      <c r="D915" s="52" t="s">
        <v>20</v>
      </c>
      <c r="E915" s="55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52" t="s">
        <v>36</v>
      </c>
      <c r="B916" s="52">
        <v>-5487.42</v>
      </c>
      <c r="C916" s="61">
        <v>46139.0</v>
      </c>
      <c r="D916" s="52" t="s">
        <v>21</v>
      </c>
      <c r="E916" s="55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52" t="s">
        <v>36</v>
      </c>
      <c r="B917" s="52">
        <v>-16920.91</v>
      </c>
      <c r="C917" s="61">
        <v>46139.0</v>
      </c>
      <c r="D917" s="52" t="s">
        <v>22</v>
      </c>
      <c r="E917" s="55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52" t="s">
        <v>39</v>
      </c>
      <c r="B918" s="56">
        <v>-1500.0</v>
      </c>
      <c r="C918" s="61">
        <v>46139.0</v>
      </c>
      <c r="D918" s="52" t="s">
        <v>5</v>
      </c>
      <c r="E918" s="55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52" t="s">
        <v>39</v>
      </c>
      <c r="B919" s="56">
        <v>2000.0</v>
      </c>
      <c r="C919" s="61">
        <v>46139.0</v>
      </c>
      <c r="D919" s="52" t="s">
        <v>2</v>
      </c>
      <c r="E919" s="52" t="s">
        <v>55</v>
      </c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52" t="s">
        <v>39</v>
      </c>
      <c r="B920" s="56">
        <v>1500.0</v>
      </c>
      <c r="C920" s="61">
        <v>46139.0</v>
      </c>
      <c r="D920" s="52" t="s">
        <v>3</v>
      </c>
      <c r="E920" s="52" t="s">
        <v>55</v>
      </c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52" t="s">
        <v>39</v>
      </c>
      <c r="B921" s="56">
        <v>-1000.0</v>
      </c>
      <c r="C921" s="61">
        <v>46139.0</v>
      </c>
      <c r="D921" s="52" t="s">
        <v>14</v>
      </c>
      <c r="E921" s="52" t="s">
        <v>144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52" t="s">
        <v>39</v>
      </c>
      <c r="B922" s="52">
        <v>-1499.997</v>
      </c>
      <c r="C922" s="61">
        <v>46139.0</v>
      </c>
      <c r="D922" s="52" t="s">
        <v>16</v>
      </c>
      <c r="E922" s="55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52" t="s">
        <v>39</v>
      </c>
      <c r="B923" s="56">
        <v>-2000.0</v>
      </c>
      <c r="C923" s="61">
        <v>46139.0</v>
      </c>
      <c r="D923" s="52" t="s">
        <v>19</v>
      </c>
      <c r="E923" s="55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52" t="s">
        <v>39</v>
      </c>
      <c r="B924" s="56">
        <v>-1000.0</v>
      </c>
      <c r="C924" s="61">
        <v>46139.0</v>
      </c>
      <c r="D924" s="52" t="s">
        <v>21</v>
      </c>
      <c r="E924" s="55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52" t="s">
        <v>44</v>
      </c>
      <c r="B925" s="52">
        <v>-13.46</v>
      </c>
      <c r="C925" s="61">
        <v>46139.0</v>
      </c>
      <c r="D925" s="52" t="s">
        <v>3</v>
      </c>
      <c r="E925" s="52" t="s">
        <v>67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52" t="s">
        <v>44</v>
      </c>
      <c r="B926" s="56">
        <v>-140.0</v>
      </c>
      <c r="C926" s="61">
        <v>46139.0</v>
      </c>
      <c r="D926" s="52" t="s">
        <v>14</v>
      </c>
      <c r="E926" s="52" t="s">
        <v>53</v>
      </c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52" t="s">
        <v>44</v>
      </c>
      <c r="B927" s="56">
        <v>-740.0</v>
      </c>
      <c r="C927" s="61">
        <v>46139.0</v>
      </c>
      <c r="D927" s="52" t="s">
        <v>19</v>
      </c>
      <c r="E927" s="52" t="s">
        <v>99</v>
      </c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52" t="s">
        <v>39</v>
      </c>
      <c r="B928" s="52">
        <v>-754.87</v>
      </c>
      <c r="C928" s="61">
        <v>46140.0</v>
      </c>
      <c r="D928" s="52" t="s">
        <v>22</v>
      </c>
      <c r="E928" s="52" t="s">
        <v>47</v>
      </c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52" t="s">
        <v>44</v>
      </c>
      <c r="B929" s="52">
        <v>-23.84</v>
      </c>
      <c r="C929" s="61">
        <v>46140.0</v>
      </c>
      <c r="D929" s="52" t="s">
        <v>3</v>
      </c>
      <c r="E929" s="52" t="s">
        <v>67</v>
      </c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52" t="s">
        <v>44</v>
      </c>
      <c r="B930" s="56">
        <v>-65.0</v>
      </c>
      <c r="C930" s="61">
        <v>46140.0</v>
      </c>
      <c r="D930" s="52" t="s">
        <v>14</v>
      </c>
      <c r="E930" s="52" t="s">
        <v>53</v>
      </c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52" t="s">
        <v>44</v>
      </c>
      <c r="B931" s="52">
        <v>-13.0</v>
      </c>
      <c r="C931" s="61">
        <v>46141.0</v>
      </c>
      <c r="D931" s="52" t="s">
        <v>14</v>
      </c>
      <c r="E931" s="52" t="s">
        <v>94</v>
      </c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52" t="s">
        <v>44</v>
      </c>
      <c r="B932" s="52">
        <v>-67.0</v>
      </c>
      <c r="C932" s="61">
        <v>46142.0</v>
      </c>
      <c r="D932" s="52" t="s">
        <v>14</v>
      </c>
      <c r="E932" s="52" t="s">
        <v>53</v>
      </c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52" t="s">
        <v>39</v>
      </c>
      <c r="B933" s="56">
        <v>-500.0</v>
      </c>
      <c r="C933" s="61">
        <v>46143.0</v>
      </c>
      <c r="D933" s="52" t="s">
        <v>16</v>
      </c>
      <c r="E933" s="55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52" t="s">
        <v>39</v>
      </c>
      <c r="B934" s="56">
        <v>-500.0</v>
      </c>
      <c r="C934" s="61">
        <v>46143.0</v>
      </c>
      <c r="D934" s="52" t="s">
        <v>19</v>
      </c>
      <c r="E934" s="55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52" t="s">
        <v>39</v>
      </c>
      <c r="B935" s="56">
        <v>-500.0</v>
      </c>
      <c r="C935" s="61">
        <v>46143.0</v>
      </c>
      <c r="D935" s="52" t="s">
        <v>21</v>
      </c>
      <c r="E935" s="55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52" t="s">
        <v>39</v>
      </c>
      <c r="B936" s="56">
        <v>1500.0</v>
      </c>
      <c r="C936" s="61">
        <v>46143.0</v>
      </c>
      <c r="D936" s="52" t="s">
        <v>22</v>
      </c>
      <c r="E936" s="52" t="s">
        <v>55</v>
      </c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52" t="s">
        <v>39</v>
      </c>
      <c r="B937" s="56">
        <v>-572.66</v>
      </c>
      <c r="C937" s="61">
        <v>46143.0</v>
      </c>
      <c r="D937" s="52" t="s">
        <v>22</v>
      </c>
      <c r="E937" s="52" t="s">
        <v>47</v>
      </c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52" t="s">
        <v>44</v>
      </c>
      <c r="B938" s="56">
        <v>-159.0</v>
      </c>
      <c r="C938" s="61">
        <v>46143.0</v>
      </c>
      <c r="D938" s="52" t="s">
        <v>14</v>
      </c>
      <c r="E938" s="52" t="s">
        <v>53</v>
      </c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52" t="s">
        <v>44</v>
      </c>
      <c r="B939" s="56">
        <v>-636.8</v>
      </c>
      <c r="C939" s="61">
        <v>46143.0</v>
      </c>
      <c r="D939" s="52" t="s">
        <v>22</v>
      </c>
      <c r="E939" s="52" t="s">
        <v>145</v>
      </c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52" t="s">
        <v>36</v>
      </c>
      <c r="B940" s="52">
        <v>-5406.42</v>
      </c>
      <c r="C940" s="61">
        <v>46146.0</v>
      </c>
      <c r="D940" s="52" t="s">
        <v>1</v>
      </c>
      <c r="E940" s="55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52" t="s">
        <v>36</v>
      </c>
      <c r="B941" s="52">
        <v>-4109.17</v>
      </c>
      <c r="C941" s="61">
        <v>46146.0</v>
      </c>
      <c r="D941" s="52" t="s">
        <v>5</v>
      </c>
      <c r="E941" s="55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52" t="s">
        <v>36</v>
      </c>
      <c r="B942" s="52">
        <v>-12980.08</v>
      </c>
      <c r="C942" s="61">
        <v>46146.0</v>
      </c>
      <c r="D942" s="52" t="s">
        <v>2</v>
      </c>
      <c r="E942" s="55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52" t="s">
        <v>36</v>
      </c>
      <c r="B943" s="52">
        <v>-15230.81</v>
      </c>
      <c r="C943" s="61">
        <v>46146.0</v>
      </c>
      <c r="D943" s="52" t="s">
        <v>3</v>
      </c>
      <c r="E943" s="55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52" t="s">
        <v>36</v>
      </c>
      <c r="B944" s="52">
        <v>-9185.64</v>
      </c>
      <c r="C944" s="61">
        <v>46146.0</v>
      </c>
      <c r="D944" s="52" t="s">
        <v>14</v>
      </c>
      <c r="E944" s="55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52" t="s">
        <v>36</v>
      </c>
      <c r="B945" s="52">
        <v>-349.85</v>
      </c>
      <c r="C945" s="61">
        <v>46146.0</v>
      </c>
      <c r="D945" s="52" t="s">
        <v>15</v>
      </c>
      <c r="E945" s="55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52" t="s">
        <v>36</v>
      </c>
      <c r="B946" s="52">
        <v>-7380.75</v>
      </c>
      <c r="C946" s="61">
        <v>46146.0</v>
      </c>
      <c r="D946" s="52" t="s">
        <v>16</v>
      </c>
      <c r="E946" s="55"/>
      <c r="F946" s="14"/>
      <c r="G946" s="14"/>
      <c r="I946" s="14"/>
      <c r="J946" s="14"/>
      <c r="K946" s="14"/>
      <c r="L946" s="14"/>
      <c r="M946" s="14"/>
      <c r="N946" s="14"/>
      <c r="O946" s="14"/>
      <c r="P946" s="14"/>
      <c r="Q946" s="14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52" t="s">
        <v>36</v>
      </c>
      <c r="B947" s="52">
        <v>-6595.53</v>
      </c>
      <c r="C947" s="61">
        <v>46146.0</v>
      </c>
      <c r="D947" s="52" t="s">
        <v>19</v>
      </c>
      <c r="E947" s="55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52" t="s">
        <v>36</v>
      </c>
      <c r="B948" s="52">
        <v>-5320.91</v>
      </c>
      <c r="C948" s="61">
        <v>46146.0</v>
      </c>
      <c r="D948" s="52" t="s">
        <v>20</v>
      </c>
      <c r="E948" s="55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52" t="s">
        <v>36</v>
      </c>
      <c r="B949" s="52">
        <v>-5100.04</v>
      </c>
      <c r="C949" s="61">
        <v>46146.0</v>
      </c>
      <c r="D949" s="52" t="s">
        <v>21</v>
      </c>
      <c r="E949" s="55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52" t="s">
        <v>36</v>
      </c>
      <c r="B950" s="52">
        <v>-15382.79</v>
      </c>
      <c r="C950" s="61">
        <v>46146.0</v>
      </c>
      <c r="D950" s="52" t="s">
        <v>22</v>
      </c>
      <c r="E950" s="55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52" t="s">
        <v>39</v>
      </c>
      <c r="B951" s="56">
        <v>-1000.0</v>
      </c>
      <c r="C951" s="61">
        <v>46146.0</v>
      </c>
      <c r="D951" s="52" t="s">
        <v>5</v>
      </c>
      <c r="E951" s="55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52" t="s">
        <v>39</v>
      </c>
      <c r="B952" s="56">
        <v>-1000.0</v>
      </c>
      <c r="C952" s="61">
        <v>46146.0</v>
      </c>
      <c r="D952" s="52" t="s">
        <v>14</v>
      </c>
      <c r="E952" s="55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52" t="s">
        <v>39</v>
      </c>
      <c r="B953" s="56">
        <v>-1000.0</v>
      </c>
      <c r="C953" s="61">
        <v>46146.0</v>
      </c>
      <c r="D953" s="52" t="s">
        <v>16</v>
      </c>
      <c r="E953" s="55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52" t="s">
        <v>39</v>
      </c>
      <c r="B954" s="56">
        <v>-2500.0</v>
      </c>
      <c r="C954" s="61">
        <v>46146.0</v>
      </c>
      <c r="D954" s="52" t="s">
        <v>19</v>
      </c>
      <c r="E954" s="55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52" t="s">
        <v>39</v>
      </c>
      <c r="B955" s="56">
        <v>-500.0</v>
      </c>
      <c r="C955" s="61">
        <v>46146.0</v>
      </c>
      <c r="D955" s="52" t="s">
        <v>21</v>
      </c>
      <c r="E955" s="55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52" t="s">
        <v>39</v>
      </c>
      <c r="B956" s="56">
        <v>-1000.0</v>
      </c>
      <c r="C956" s="61">
        <v>46146.0</v>
      </c>
      <c r="D956" s="52" t="s">
        <v>22</v>
      </c>
      <c r="E956" s="55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52" t="s">
        <v>65</v>
      </c>
      <c r="B957" s="52">
        <v>-2328.71</v>
      </c>
      <c r="C957" s="61">
        <v>46146.0</v>
      </c>
      <c r="D957" s="52" t="s">
        <v>1</v>
      </c>
      <c r="E957" s="55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52" t="s">
        <v>65</v>
      </c>
      <c r="B958" s="52">
        <v>-2076.21</v>
      </c>
      <c r="C958" s="61">
        <v>46146.0</v>
      </c>
      <c r="D958" s="52" t="s">
        <v>2</v>
      </c>
      <c r="E958" s="55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52" t="s">
        <v>65</v>
      </c>
      <c r="B959" s="52">
        <v>-2943.27</v>
      </c>
      <c r="C959" s="61">
        <v>46146.0</v>
      </c>
      <c r="D959" s="52" t="s">
        <v>15</v>
      </c>
      <c r="E959" s="55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52" t="s">
        <v>65</v>
      </c>
      <c r="B960" s="52">
        <v>-1342.71</v>
      </c>
      <c r="C960" s="61">
        <v>46146.0</v>
      </c>
      <c r="D960" s="52" t="s">
        <v>21</v>
      </c>
      <c r="E960" s="55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52" t="s">
        <v>44</v>
      </c>
      <c r="B961" s="52">
        <v>-2888.71</v>
      </c>
      <c r="C961" s="61">
        <v>46146.0</v>
      </c>
      <c r="D961" s="52" t="s">
        <v>3</v>
      </c>
      <c r="E961" s="52" t="s">
        <v>83</v>
      </c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52" t="s">
        <v>44</v>
      </c>
      <c r="B962" s="56">
        <v>-1000.0</v>
      </c>
      <c r="C962" s="61">
        <v>46146.0</v>
      </c>
      <c r="D962" s="52" t="s">
        <v>14</v>
      </c>
      <c r="E962" s="52" t="s">
        <v>146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52" t="s">
        <v>44</v>
      </c>
      <c r="B963" s="56">
        <v>-53.0</v>
      </c>
      <c r="C963" s="61">
        <v>46146.0</v>
      </c>
      <c r="D963" s="52" t="s">
        <v>14</v>
      </c>
      <c r="E963" s="52" t="s">
        <v>53</v>
      </c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52" t="s">
        <v>44</v>
      </c>
      <c r="B964" s="52">
        <v>-67.9</v>
      </c>
      <c r="C964" s="61">
        <v>46146.0</v>
      </c>
      <c r="D964" s="52" t="s">
        <v>16</v>
      </c>
      <c r="E964" s="52" t="s">
        <v>147</v>
      </c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52" t="s">
        <v>39</v>
      </c>
      <c r="B965" s="52">
        <v>-650.75</v>
      </c>
      <c r="C965" s="61">
        <v>46147.0</v>
      </c>
      <c r="D965" s="52" t="s">
        <v>22</v>
      </c>
      <c r="E965" s="52" t="s">
        <v>47</v>
      </c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52" t="s">
        <v>44</v>
      </c>
      <c r="B966" s="56">
        <v>-100.0</v>
      </c>
      <c r="C966" s="61">
        <v>46147.0</v>
      </c>
      <c r="D966" s="52" t="s">
        <v>14</v>
      </c>
      <c r="E966" s="52" t="s">
        <v>51</v>
      </c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52" t="s">
        <v>44</v>
      </c>
      <c r="B967" s="56">
        <v>-89.0</v>
      </c>
      <c r="C967" s="61">
        <v>46147.0</v>
      </c>
      <c r="D967" s="52" t="s">
        <v>14</v>
      </c>
      <c r="E967" s="52" t="s">
        <v>53</v>
      </c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52" t="s">
        <v>44</v>
      </c>
      <c r="B968" s="52">
        <v>-26.4</v>
      </c>
      <c r="C968" s="61">
        <v>46147.0</v>
      </c>
      <c r="D968" s="52" t="s">
        <v>22</v>
      </c>
      <c r="E968" s="52" t="s">
        <v>53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52" t="s">
        <v>37</v>
      </c>
      <c r="B969" s="52">
        <v>39035.97</v>
      </c>
      <c r="C969" s="61">
        <v>46148.0</v>
      </c>
      <c r="D969" s="52" t="s">
        <v>1</v>
      </c>
      <c r="E969" s="52" t="s">
        <v>112</v>
      </c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52" t="s">
        <v>37</v>
      </c>
      <c r="B970" s="52">
        <v>35557.17</v>
      </c>
      <c r="C970" s="61">
        <v>46148.0</v>
      </c>
      <c r="D970" s="52" t="s">
        <v>5</v>
      </c>
      <c r="E970" s="52" t="s">
        <v>112</v>
      </c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52" t="s">
        <v>37</v>
      </c>
      <c r="B971" s="52">
        <v>68453.67</v>
      </c>
      <c r="C971" s="61">
        <v>46148.0</v>
      </c>
      <c r="D971" s="52" t="s">
        <v>2</v>
      </c>
      <c r="E971" s="52" t="s">
        <v>112</v>
      </c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52" t="s">
        <v>37</v>
      </c>
      <c r="B972" s="52">
        <v>74025.84</v>
      </c>
      <c r="C972" s="61">
        <v>46148.0</v>
      </c>
      <c r="D972" s="52" t="s">
        <v>3</v>
      </c>
      <c r="E972" s="52" t="s">
        <v>112</v>
      </c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52" t="s">
        <v>37</v>
      </c>
      <c r="B973" s="52">
        <v>60318.1</v>
      </c>
      <c r="C973" s="61">
        <v>46148.0</v>
      </c>
      <c r="D973" s="52" t="s">
        <v>14</v>
      </c>
      <c r="E973" s="52" t="s">
        <v>112</v>
      </c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52" t="s">
        <v>37</v>
      </c>
      <c r="B974" s="52">
        <v>30326.58</v>
      </c>
      <c r="C974" s="61">
        <v>46148.0</v>
      </c>
      <c r="D974" s="52" t="s">
        <v>15</v>
      </c>
      <c r="E974" s="52" t="s">
        <v>112</v>
      </c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52" t="s">
        <v>37</v>
      </c>
      <c r="B975" s="52">
        <v>52727.92</v>
      </c>
      <c r="C975" s="61">
        <v>46148.0</v>
      </c>
      <c r="D975" s="52" t="s">
        <v>16</v>
      </c>
      <c r="E975" s="52" t="s">
        <v>112</v>
      </c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52" t="s">
        <v>37</v>
      </c>
      <c r="B976" s="52">
        <v>52025.63</v>
      </c>
      <c r="C976" s="61">
        <v>46148.0</v>
      </c>
      <c r="D976" s="52" t="s">
        <v>19</v>
      </c>
      <c r="E976" s="52" t="s">
        <v>112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52" t="s">
        <v>37</v>
      </c>
      <c r="B977" s="52">
        <v>30045.19</v>
      </c>
      <c r="C977" s="61">
        <v>46148.0</v>
      </c>
      <c r="D977" s="52" t="s">
        <v>20</v>
      </c>
      <c r="E977" s="52" t="s">
        <v>112</v>
      </c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52" t="s">
        <v>37</v>
      </c>
      <c r="B978" s="52">
        <v>49957.62</v>
      </c>
      <c r="C978" s="61">
        <v>46148.0</v>
      </c>
      <c r="D978" s="52" t="s">
        <v>21</v>
      </c>
      <c r="E978" s="52" t="s">
        <v>112</v>
      </c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52" t="s">
        <v>37</v>
      </c>
      <c r="B979" s="52">
        <v>109573.05</v>
      </c>
      <c r="C979" s="61">
        <v>46148.0</v>
      </c>
      <c r="D979" s="52" t="s">
        <v>22</v>
      </c>
      <c r="E979" s="52" t="s">
        <v>112</v>
      </c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52" t="s">
        <v>39</v>
      </c>
      <c r="B980" s="56">
        <v>-500.0</v>
      </c>
      <c r="C980" s="61">
        <v>46149.0</v>
      </c>
      <c r="D980" s="52" t="s">
        <v>14</v>
      </c>
      <c r="E980" s="55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52" t="s">
        <v>39</v>
      </c>
      <c r="B981" s="56">
        <v>-500.0</v>
      </c>
      <c r="C981" s="61">
        <v>46149.0</v>
      </c>
      <c r="D981" s="52" t="s">
        <v>14</v>
      </c>
      <c r="E981" s="52" t="s">
        <v>148</v>
      </c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52" t="s">
        <v>39</v>
      </c>
      <c r="B982" s="56">
        <v>-500.0</v>
      </c>
      <c r="C982" s="61">
        <v>46149.0</v>
      </c>
      <c r="D982" s="52" t="s">
        <v>16</v>
      </c>
      <c r="E982" s="55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52" t="s">
        <v>39</v>
      </c>
      <c r="B983" s="56">
        <v>-1000.0</v>
      </c>
      <c r="C983" s="61">
        <v>46149.0</v>
      </c>
      <c r="D983" s="52" t="s">
        <v>19</v>
      </c>
      <c r="E983" s="55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52" t="s">
        <v>39</v>
      </c>
      <c r="B984" s="56">
        <v>-500.0</v>
      </c>
      <c r="C984" s="61">
        <v>46149.0</v>
      </c>
      <c r="D984" s="52" t="s">
        <v>21</v>
      </c>
      <c r="E984" s="55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52" t="s">
        <v>39</v>
      </c>
      <c r="B985" s="56">
        <v>-1000.0</v>
      </c>
      <c r="C985" s="61">
        <v>46149.0</v>
      </c>
      <c r="D985" s="52" t="s">
        <v>22</v>
      </c>
      <c r="E985" s="55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52" t="s">
        <v>56</v>
      </c>
      <c r="B986" s="56">
        <v>-45.0</v>
      </c>
      <c r="C986" s="61">
        <v>46149.0</v>
      </c>
      <c r="D986" s="52" t="s">
        <v>2</v>
      </c>
      <c r="E986" s="52" t="s">
        <v>149</v>
      </c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52" t="s">
        <v>56</v>
      </c>
      <c r="B987" s="52">
        <v>-58.6</v>
      </c>
      <c r="C987" s="61">
        <v>46149.0</v>
      </c>
      <c r="D987" s="52" t="s">
        <v>2</v>
      </c>
      <c r="E987" s="52" t="s">
        <v>150</v>
      </c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52" t="s">
        <v>56</v>
      </c>
      <c r="B988" s="56">
        <v>-68.0</v>
      </c>
      <c r="C988" s="61">
        <v>46149.0</v>
      </c>
      <c r="D988" s="52" t="s">
        <v>3</v>
      </c>
      <c r="E988" s="52" t="s">
        <v>149</v>
      </c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52" t="s">
        <v>56</v>
      </c>
      <c r="B989" s="52">
        <v>-45.24</v>
      </c>
      <c r="C989" s="61">
        <v>46149.0</v>
      </c>
      <c r="D989" s="52" t="s">
        <v>3</v>
      </c>
      <c r="E989" s="52" t="s">
        <v>150</v>
      </c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52" t="s">
        <v>56</v>
      </c>
      <c r="B990" s="56">
        <v>-17.0</v>
      </c>
      <c r="C990" s="61">
        <v>46149.0</v>
      </c>
      <c r="D990" s="52" t="s">
        <v>14</v>
      </c>
      <c r="E990" s="52" t="s">
        <v>150</v>
      </c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52" t="s">
        <v>56</v>
      </c>
      <c r="B991" s="52">
        <v>-30.002</v>
      </c>
      <c r="C991" s="61">
        <v>46149.0</v>
      </c>
      <c r="D991" s="52" t="s">
        <v>15</v>
      </c>
      <c r="E991" s="52" t="s">
        <v>150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52" t="s">
        <v>56</v>
      </c>
      <c r="B992" s="56">
        <v>-10.0</v>
      </c>
      <c r="C992" s="61">
        <v>46149.0</v>
      </c>
      <c r="D992" s="52" t="s">
        <v>16</v>
      </c>
      <c r="E992" s="52" t="s">
        <v>149</v>
      </c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52" t="s">
        <v>56</v>
      </c>
      <c r="B993" s="52">
        <v>-279.76</v>
      </c>
      <c r="C993" s="61">
        <v>46149.0</v>
      </c>
      <c r="D993" s="52" t="s">
        <v>19</v>
      </c>
      <c r="E993" s="52" t="s">
        <v>150</v>
      </c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52" t="s">
        <v>56</v>
      </c>
      <c r="B994" s="52">
        <v>-510.6</v>
      </c>
      <c r="C994" s="61">
        <v>46149.0</v>
      </c>
      <c r="D994" s="52" t="s">
        <v>21</v>
      </c>
      <c r="E994" s="52" t="s">
        <v>149</v>
      </c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52" t="s">
        <v>56</v>
      </c>
      <c r="B995" s="56">
        <v>-109.0</v>
      </c>
      <c r="C995" s="61">
        <v>46149.0</v>
      </c>
      <c r="D995" s="52" t="s">
        <v>21</v>
      </c>
      <c r="E995" s="52" t="s">
        <v>150</v>
      </c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52" t="s">
        <v>56</v>
      </c>
      <c r="B996" s="52">
        <v>-40.08</v>
      </c>
      <c r="C996" s="61">
        <v>46149.0</v>
      </c>
      <c r="D996" s="52" t="s">
        <v>22</v>
      </c>
      <c r="E996" s="52" t="s">
        <v>149</v>
      </c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52" t="s">
        <v>44</v>
      </c>
      <c r="B997" s="52">
        <v>-38.98</v>
      </c>
      <c r="C997" s="61">
        <v>46149.0</v>
      </c>
      <c r="D997" s="52" t="s">
        <v>3</v>
      </c>
      <c r="E997" s="52" t="s">
        <v>67</v>
      </c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52" t="s">
        <v>44</v>
      </c>
      <c r="B998" s="56">
        <v>-100.0</v>
      </c>
      <c r="C998" s="61">
        <v>46149.0</v>
      </c>
      <c r="D998" s="52" t="s">
        <v>14</v>
      </c>
      <c r="E998" s="52" t="s">
        <v>151</v>
      </c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52" t="s">
        <v>39</v>
      </c>
      <c r="B999" s="56">
        <v>1000.0</v>
      </c>
      <c r="C999" s="61">
        <v>46150.0</v>
      </c>
      <c r="D999" s="52" t="s">
        <v>2</v>
      </c>
      <c r="E999" s="52" t="s">
        <v>55</v>
      </c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52" t="s">
        <v>39</v>
      </c>
      <c r="B1000" s="56">
        <v>1000.0</v>
      </c>
      <c r="C1000" s="61">
        <v>46150.0</v>
      </c>
      <c r="D1000" s="52" t="s">
        <v>3</v>
      </c>
      <c r="E1000" s="52" t="s">
        <v>55</v>
      </c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>
      <c r="A1001" s="52" t="s">
        <v>39</v>
      </c>
      <c r="B1001" s="56">
        <v>-500.0</v>
      </c>
      <c r="C1001" s="61">
        <v>46150.0</v>
      </c>
      <c r="D1001" s="52" t="s">
        <v>14</v>
      </c>
      <c r="E1001" s="55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>
      <c r="A1002" s="52" t="s">
        <v>39</v>
      </c>
      <c r="B1002" s="56">
        <v>500.0</v>
      </c>
      <c r="C1002" s="61">
        <v>46150.0</v>
      </c>
      <c r="D1002" s="52" t="s">
        <v>15</v>
      </c>
      <c r="E1002" s="52" t="s">
        <v>55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</row>
    <row r="1003">
      <c r="A1003" s="52" t="s">
        <v>39</v>
      </c>
      <c r="B1003" s="56">
        <v>1000.0</v>
      </c>
      <c r="C1003" s="61">
        <v>46150.0</v>
      </c>
      <c r="D1003" s="52" t="s">
        <v>20</v>
      </c>
      <c r="E1003" s="52" t="s">
        <v>55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>
      <c r="A1004" s="52" t="s">
        <v>39</v>
      </c>
      <c r="B1004" s="56">
        <v>1000.0</v>
      </c>
      <c r="C1004" s="61">
        <v>46150.0</v>
      </c>
      <c r="D1004" s="52" t="s">
        <v>22</v>
      </c>
      <c r="E1004" s="52" t="s">
        <v>55</v>
      </c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</row>
    <row r="1005">
      <c r="A1005" s="52" t="s">
        <v>39</v>
      </c>
      <c r="B1005" s="52">
        <v>-598.69</v>
      </c>
      <c r="C1005" s="61">
        <v>46150.0</v>
      </c>
      <c r="D1005" s="52" t="s">
        <v>22</v>
      </c>
      <c r="E1005" s="52" t="s">
        <v>47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>
      <c r="A1006" s="52" t="s">
        <v>44</v>
      </c>
      <c r="B1006" s="56">
        <v>-500.0</v>
      </c>
      <c r="C1006" s="61">
        <v>46150.0</v>
      </c>
      <c r="D1006" s="52" t="s">
        <v>2</v>
      </c>
      <c r="E1006" s="52" t="s">
        <v>49</v>
      </c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</row>
    <row r="1007">
      <c r="A1007" s="52" t="s">
        <v>44</v>
      </c>
      <c r="B1007" s="52">
        <v>-57.8</v>
      </c>
      <c r="C1007" s="61">
        <v>46150.0</v>
      </c>
      <c r="D1007" s="52" t="s">
        <v>2</v>
      </c>
      <c r="E1007" s="52" t="s">
        <v>61</v>
      </c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</row>
    <row r="1008">
      <c r="A1008" s="52" t="s">
        <v>44</v>
      </c>
      <c r="B1008" s="56">
        <v>-228.0</v>
      </c>
      <c r="C1008" s="61">
        <v>46150.0</v>
      </c>
      <c r="D1008" s="52" t="s">
        <v>14</v>
      </c>
      <c r="E1008" s="52" t="s">
        <v>53</v>
      </c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>
      <c r="A1009" s="57" t="s">
        <v>36</v>
      </c>
      <c r="B1009" s="58">
        <v>-8044.58</v>
      </c>
      <c r="C1009" s="59">
        <v>46153.0</v>
      </c>
      <c r="D1009" s="57" t="s">
        <v>1</v>
      </c>
      <c r="E1009" s="62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</row>
    <row r="1010">
      <c r="A1010" s="57" t="s">
        <v>36</v>
      </c>
      <c r="B1010" s="58">
        <v>-4005.08</v>
      </c>
      <c r="C1010" s="59">
        <v>46153.0</v>
      </c>
      <c r="D1010" s="57" t="s">
        <v>5</v>
      </c>
      <c r="E1010" s="62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</row>
    <row r="1011">
      <c r="A1011" s="57" t="s">
        <v>36</v>
      </c>
      <c r="B1011" s="58">
        <v>-16910.03</v>
      </c>
      <c r="C1011" s="59">
        <v>46153.0</v>
      </c>
      <c r="D1011" s="57" t="s">
        <v>2</v>
      </c>
      <c r="E1011" s="62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</row>
    <row r="1012">
      <c r="A1012" s="57" t="s">
        <v>36</v>
      </c>
      <c r="B1012" s="58">
        <v>-14693.22</v>
      </c>
      <c r="C1012" s="59">
        <v>46153.0</v>
      </c>
      <c r="D1012" s="57" t="s">
        <v>3</v>
      </c>
      <c r="E1012" s="62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</row>
    <row r="1013">
      <c r="A1013" s="57" t="s">
        <v>36</v>
      </c>
      <c r="B1013" s="58">
        <v>-9558.82</v>
      </c>
      <c r="C1013" s="59">
        <v>46153.0</v>
      </c>
      <c r="D1013" s="57" t="s">
        <v>14</v>
      </c>
      <c r="E1013" s="62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</row>
    <row r="1014">
      <c r="A1014" s="57" t="s">
        <v>36</v>
      </c>
      <c r="B1014" s="58">
        <v>-6043.91</v>
      </c>
      <c r="C1014" s="59">
        <v>46153.0</v>
      </c>
      <c r="D1014" s="57" t="s">
        <v>15</v>
      </c>
      <c r="E1014" s="62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</row>
    <row r="1015">
      <c r="A1015" s="57" t="s">
        <v>36</v>
      </c>
      <c r="B1015" s="58">
        <v>-7445.59</v>
      </c>
      <c r="C1015" s="59">
        <v>46153.0</v>
      </c>
      <c r="D1015" s="57" t="s">
        <v>16</v>
      </c>
      <c r="E1015" s="62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</row>
    <row r="1016">
      <c r="A1016" s="57" t="s">
        <v>36</v>
      </c>
      <c r="B1016" s="58">
        <v>-7363.89</v>
      </c>
      <c r="C1016" s="59">
        <v>46153.0</v>
      </c>
      <c r="D1016" s="57" t="s">
        <v>19</v>
      </c>
      <c r="E1016" s="62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</row>
    <row r="1017">
      <c r="A1017" s="57" t="s">
        <v>36</v>
      </c>
      <c r="B1017" s="58">
        <v>-5255.05</v>
      </c>
      <c r="C1017" s="59">
        <v>46153.0</v>
      </c>
      <c r="D1017" s="57" t="s">
        <v>20</v>
      </c>
      <c r="E1017" s="62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</row>
    <row r="1018">
      <c r="A1018" s="57" t="s">
        <v>36</v>
      </c>
      <c r="B1018" s="58">
        <v>-4574.46</v>
      </c>
      <c r="C1018" s="59">
        <v>46153.0</v>
      </c>
      <c r="D1018" s="57" t="s">
        <v>21</v>
      </c>
      <c r="E1018" s="62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</row>
    <row r="1019">
      <c r="A1019" s="57" t="s">
        <v>36</v>
      </c>
      <c r="B1019" s="58">
        <v>-16176.67</v>
      </c>
      <c r="C1019" s="59">
        <v>46153.0</v>
      </c>
      <c r="D1019" s="57" t="s">
        <v>22</v>
      </c>
      <c r="E1019" s="62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</row>
    <row r="1020">
      <c r="A1020" s="57" t="s">
        <v>39</v>
      </c>
      <c r="B1020" s="58">
        <v>-1500.0</v>
      </c>
      <c r="C1020" s="59">
        <v>46153.0</v>
      </c>
      <c r="D1020" s="57" t="s">
        <v>5</v>
      </c>
      <c r="E1020" s="62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</row>
    <row r="1021">
      <c r="A1021" s="57" t="s">
        <v>39</v>
      </c>
      <c r="B1021" s="58">
        <v>1500.0</v>
      </c>
      <c r="C1021" s="59">
        <v>46153.0</v>
      </c>
      <c r="D1021" s="57" t="s">
        <v>2</v>
      </c>
      <c r="E1021" s="62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</row>
    <row r="1022">
      <c r="A1022" s="57" t="s">
        <v>39</v>
      </c>
      <c r="B1022" s="58">
        <v>-1500.0</v>
      </c>
      <c r="C1022" s="59">
        <v>46153.0</v>
      </c>
      <c r="D1022" s="57" t="s">
        <v>14</v>
      </c>
      <c r="E1022" s="62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</row>
    <row r="1023">
      <c r="A1023" s="57" t="s">
        <v>39</v>
      </c>
      <c r="B1023" s="58">
        <v>-1000.0</v>
      </c>
      <c r="C1023" s="59">
        <v>46153.0</v>
      </c>
      <c r="D1023" s="57" t="s">
        <v>14</v>
      </c>
      <c r="E1023" s="57">
        <v>9.05</v>
      </c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</row>
    <row r="1024">
      <c r="A1024" s="57" t="s">
        <v>39</v>
      </c>
      <c r="B1024" s="58">
        <v>-1500.0</v>
      </c>
      <c r="C1024" s="59">
        <v>46153.0</v>
      </c>
      <c r="D1024" s="57" t="s">
        <v>16</v>
      </c>
      <c r="E1024" s="62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</row>
    <row r="1025">
      <c r="A1025" s="57" t="s">
        <v>39</v>
      </c>
      <c r="B1025" s="58">
        <v>-3500.0</v>
      </c>
      <c r="C1025" s="59">
        <v>46153.0</v>
      </c>
      <c r="D1025" s="57" t="s">
        <v>19</v>
      </c>
      <c r="E1025" s="62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</row>
    <row r="1026">
      <c r="A1026" s="57" t="s">
        <v>39</v>
      </c>
      <c r="B1026" s="58">
        <v>-2000.0</v>
      </c>
      <c r="C1026" s="59">
        <v>46153.0</v>
      </c>
      <c r="D1026" s="57" t="s">
        <v>21</v>
      </c>
      <c r="E1026" s="62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</row>
    <row r="1027">
      <c r="A1027" s="57" t="s">
        <v>39</v>
      </c>
      <c r="B1027" s="58">
        <v>-2500.0</v>
      </c>
      <c r="C1027" s="59">
        <v>46153.0</v>
      </c>
      <c r="D1027" s="57" t="s">
        <v>22</v>
      </c>
      <c r="E1027" s="62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</row>
    <row r="1028">
      <c r="A1028" s="57" t="s">
        <v>65</v>
      </c>
      <c r="B1028" s="58">
        <v>-113.71</v>
      </c>
      <c r="C1028" s="59">
        <v>46153.0</v>
      </c>
      <c r="D1028" s="57" t="s">
        <v>2</v>
      </c>
      <c r="E1028" s="62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</row>
    <row r="1029">
      <c r="A1029" s="57" t="s">
        <v>65</v>
      </c>
      <c r="B1029" s="58">
        <v>-2442.77</v>
      </c>
      <c r="C1029" s="59">
        <v>46153.0</v>
      </c>
      <c r="D1029" s="57" t="s">
        <v>15</v>
      </c>
      <c r="E1029" s="62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</row>
    <row r="1030">
      <c r="A1030" s="57" t="s">
        <v>65</v>
      </c>
      <c r="B1030" s="58">
        <v>-1723.33</v>
      </c>
      <c r="C1030" s="59">
        <v>46153.0</v>
      </c>
      <c r="D1030" s="57" t="s">
        <v>21</v>
      </c>
      <c r="E1030" s="62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</row>
    <row r="1031">
      <c r="A1031" s="57" t="s">
        <v>39</v>
      </c>
      <c r="B1031" s="52">
        <v>-51.69</v>
      </c>
      <c r="C1031" s="59">
        <v>46154.0</v>
      </c>
      <c r="D1031" s="52" t="s">
        <v>3</v>
      </c>
      <c r="E1031" s="52" t="s">
        <v>152</v>
      </c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</row>
    <row r="1032">
      <c r="A1032" s="57" t="s">
        <v>39</v>
      </c>
      <c r="B1032" s="52">
        <v>-624.0</v>
      </c>
      <c r="C1032" s="59">
        <v>46154.0</v>
      </c>
      <c r="D1032" s="52" t="s">
        <v>22</v>
      </c>
      <c r="E1032" s="52" t="s">
        <v>153</v>
      </c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</row>
    <row r="1033">
      <c r="A1033" s="63" t="s">
        <v>39</v>
      </c>
      <c r="B1033" s="58">
        <v>-500.0</v>
      </c>
      <c r="C1033" s="64">
        <v>46155.0</v>
      </c>
      <c r="D1033" s="63" t="s">
        <v>14</v>
      </c>
      <c r="E1033" s="62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</row>
    <row r="1034">
      <c r="A1034" s="63" t="s">
        <v>39</v>
      </c>
      <c r="B1034" s="58">
        <v>-300.0</v>
      </c>
      <c r="C1034" s="64">
        <v>46155.0</v>
      </c>
      <c r="D1034" s="63" t="s">
        <v>14</v>
      </c>
      <c r="E1034" s="63" t="s">
        <v>51</v>
      </c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</row>
    <row r="1035">
      <c r="A1035" s="63" t="s">
        <v>39</v>
      </c>
      <c r="B1035" s="58">
        <v>-500.0</v>
      </c>
      <c r="C1035" s="64">
        <v>46155.0</v>
      </c>
      <c r="D1035" s="63" t="s">
        <v>16</v>
      </c>
      <c r="E1035" s="62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</row>
    <row r="1036">
      <c r="A1036" s="63" t="s">
        <v>39</v>
      </c>
      <c r="B1036" s="58">
        <v>-1500.0</v>
      </c>
      <c r="C1036" s="64">
        <v>46155.0</v>
      </c>
      <c r="D1036" s="63" t="s">
        <v>19</v>
      </c>
      <c r="E1036" s="62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</row>
    <row r="1037">
      <c r="A1037" s="63" t="s">
        <v>39</v>
      </c>
      <c r="B1037" s="58">
        <v>-100.0</v>
      </c>
      <c r="C1037" s="64">
        <v>46155.0</v>
      </c>
      <c r="D1037" s="63" t="s">
        <v>19</v>
      </c>
      <c r="E1037" s="63" t="s">
        <v>72</v>
      </c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</row>
    <row r="1038">
      <c r="A1038" s="63" t="s">
        <v>39</v>
      </c>
      <c r="B1038" s="58">
        <v>-1000.0</v>
      </c>
      <c r="C1038" s="64">
        <v>46155.0</v>
      </c>
      <c r="D1038" s="63" t="s">
        <v>21</v>
      </c>
      <c r="E1038" s="62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</row>
    <row r="1039">
      <c r="A1039" s="63" t="s">
        <v>39</v>
      </c>
      <c r="B1039" s="58">
        <v>-500.0</v>
      </c>
      <c r="C1039" s="64">
        <v>46157.0</v>
      </c>
      <c r="D1039" s="63" t="s">
        <v>5</v>
      </c>
      <c r="E1039" s="62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</row>
    <row r="1040">
      <c r="A1040" s="63" t="s">
        <v>39</v>
      </c>
      <c r="B1040" s="58">
        <v>-200.0</v>
      </c>
      <c r="C1040" s="64">
        <v>46157.0</v>
      </c>
      <c r="D1040" s="63" t="s">
        <v>5</v>
      </c>
      <c r="E1040" s="63" t="s">
        <v>154</v>
      </c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</row>
    <row r="1041">
      <c r="A1041" s="63" t="s">
        <v>39</v>
      </c>
      <c r="B1041" s="58">
        <v>-29.0</v>
      </c>
      <c r="C1041" s="64">
        <v>46157.0</v>
      </c>
      <c r="D1041" s="63" t="s">
        <v>14</v>
      </c>
      <c r="E1041" s="63" t="s">
        <v>155</v>
      </c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</row>
    <row r="1042">
      <c r="A1042" s="63" t="s">
        <v>39</v>
      </c>
      <c r="B1042" s="58">
        <v>-1300.0</v>
      </c>
      <c r="C1042" s="64">
        <v>46157.0</v>
      </c>
      <c r="D1042" s="63" t="s">
        <v>16</v>
      </c>
      <c r="E1042" s="62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</row>
    <row r="1043">
      <c r="A1043" s="63" t="s">
        <v>39</v>
      </c>
      <c r="B1043" s="58">
        <v>-500.0</v>
      </c>
      <c r="C1043" s="64">
        <v>46157.0</v>
      </c>
      <c r="D1043" s="63" t="s">
        <v>21</v>
      </c>
      <c r="E1043" s="62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</row>
    <row r="1044">
      <c r="A1044" s="63" t="s">
        <v>56</v>
      </c>
      <c r="B1044" s="58">
        <v>-11.0</v>
      </c>
      <c r="C1044" s="64">
        <v>46157.0</v>
      </c>
      <c r="D1044" s="63" t="s">
        <v>2</v>
      </c>
      <c r="E1044" s="62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</row>
    <row r="1045">
      <c r="A1045" s="63" t="s">
        <v>56</v>
      </c>
      <c r="B1045" s="58">
        <v>-13.11</v>
      </c>
      <c r="C1045" s="64">
        <v>46157.0</v>
      </c>
      <c r="D1045" s="63" t="s">
        <v>3</v>
      </c>
      <c r="E1045" s="62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</row>
    <row r="1046">
      <c r="A1046" s="63" t="s">
        <v>56</v>
      </c>
      <c r="B1046" s="58">
        <v>-125.36</v>
      </c>
      <c r="C1046" s="64">
        <v>46157.0</v>
      </c>
      <c r="D1046" s="63" t="s">
        <v>14</v>
      </c>
      <c r="E1046" s="62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</row>
    <row r="1047">
      <c r="A1047" s="63" t="s">
        <v>56</v>
      </c>
      <c r="B1047" s="58">
        <v>-6.0</v>
      </c>
      <c r="C1047" s="64">
        <v>46157.0</v>
      </c>
      <c r="D1047" s="63" t="s">
        <v>15</v>
      </c>
      <c r="E1047" s="62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</row>
    <row r="1048">
      <c r="A1048" s="63" t="s">
        <v>56</v>
      </c>
      <c r="B1048" s="58">
        <v>-20.0</v>
      </c>
      <c r="C1048" s="64">
        <v>46157.0</v>
      </c>
      <c r="D1048" s="63" t="s">
        <v>16</v>
      </c>
      <c r="E1048" s="62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</row>
    <row r="1049">
      <c r="A1049" s="63" t="s">
        <v>56</v>
      </c>
      <c r="B1049" s="58">
        <v>-27.0</v>
      </c>
      <c r="C1049" s="64">
        <v>46157.0</v>
      </c>
      <c r="D1049" s="63" t="s">
        <v>20</v>
      </c>
      <c r="E1049" s="62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</row>
    <row r="1050">
      <c r="A1050" s="63" t="s">
        <v>56</v>
      </c>
      <c r="B1050" s="58">
        <v>-186.0</v>
      </c>
      <c r="C1050" s="64">
        <v>46157.0</v>
      </c>
      <c r="D1050" s="63" t="s">
        <v>21</v>
      </c>
      <c r="E1050" s="62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</row>
    <row r="1051">
      <c r="A1051" s="63" t="s">
        <v>56</v>
      </c>
      <c r="B1051" s="58">
        <v>-60.2</v>
      </c>
      <c r="C1051" s="64">
        <v>46157.0</v>
      </c>
      <c r="D1051" s="63" t="s">
        <v>22</v>
      </c>
      <c r="E1051" s="62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</row>
    <row r="1052">
      <c r="A1052" s="63" t="s">
        <v>44</v>
      </c>
      <c r="B1052" s="58">
        <v>-188.0</v>
      </c>
      <c r="C1052" s="64">
        <v>46157.0</v>
      </c>
      <c r="D1052" s="63" t="s">
        <v>14</v>
      </c>
      <c r="E1052" s="63" t="s">
        <v>156</v>
      </c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</row>
    <row r="1053">
      <c r="A1053" s="63" t="s">
        <v>44</v>
      </c>
      <c r="B1053" s="58">
        <v>-768.96</v>
      </c>
      <c r="C1053" s="64">
        <v>46157.0</v>
      </c>
      <c r="D1053" s="63" t="s">
        <v>22</v>
      </c>
      <c r="E1053" s="63" t="s">
        <v>157</v>
      </c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</row>
    <row r="1054">
      <c r="A1054" s="52" t="s">
        <v>36</v>
      </c>
      <c r="B1054" s="52">
        <v>-5786.22</v>
      </c>
      <c r="C1054" s="61">
        <v>46160.0</v>
      </c>
      <c r="D1054" s="52" t="s">
        <v>1</v>
      </c>
      <c r="E1054" s="55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</row>
    <row r="1055">
      <c r="A1055" s="52" t="s">
        <v>36</v>
      </c>
      <c r="B1055" s="52">
        <v>-3981.5</v>
      </c>
      <c r="C1055" s="61">
        <v>46160.0</v>
      </c>
      <c r="D1055" s="52" t="s">
        <v>5</v>
      </c>
      <c r="E1055" s="55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</row>
    <row r="1056">
      <c r="A1056" s="52" t="s">
        <v>36</v>
      </c>
      <c r="B1056" s="52">
        <v>-17668.37</v>
      </c>
      <c r="C1056" s="61">
        <v>46160.0</v>
      </c>
      <c r="D1056" s="52" t="s">
        <v>2</v>
      </c>
      <c r="E1056" s="55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</row>
    <row r="1057">
      <c r="A1057" s="52" t="s">
        <v>36</v>
      </c>
      <c r="B1057" s="52">
        <v>-12839.34</v>
      </c>
      <c r="C1057" s="61">
        <v>46160.0</v>
      </c>
      <c r="D1057" s="52" t="s">
        <v>3</v>
      </c>
      <c r="E1057" s="55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</row>
    <row r="1058">
      <c r="A1058" s="52" t="s">
        <v>36</v>
      </c>
      <c r="B1058" s="52">
        <v>-10450.31</v>
      </c>
      <c r="C1058" s="61">
        <v>46160.0</v>
      </c>
      <c r="D1058" s="52" t="s">
        <v>14</v>
      </c>
      <c r="E1058" s="55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</row>
    <row r="1059">
      <c r="A1059" s="52" t="s">
        <v>36</v>
      </c>
      <c r="B1059" s="52">
        <v>-7003.95</v>
      </c>
      <c r="C1059" s="61">
        <v>46160.0</v>
      </c>
      <c r="D1059" s="52" t="s">
        <v>15</v>
      </c>
      <c r="E1059" s="55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</row>
    <row r="1060">
      <c r="A1060" s="52" t="s">
        <v>36</v>
      </c>
      <c r="B1060" s="52">
        <v>-7626.91</v>
      </c>
      <c r="C1060" s="61">
        <v>46160.0</v>
      </c>
      <c r="D1060" s="52" t="s">
        <v>16</v>
      </c>
      <c r="E1060" s="55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</row>
    <row r="1061">
      <c r="A1061" s="52" t="s">
        <v>36</v>
      </c>
      <c r="B1061" s="52">
        <v>-7288.11</v>
      </c>
      <c r="C1061" s="61">
        <v>46160.0</v>
      </c>
      <c r="D1061" s="52" t="s">
        <v>19</v>
      </c>
      <c r="E1061" s="55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</row>
    <row r="1062">
      <c r="A1062" s="52" t="s">
        <v>36</v>
      </c>
      <c r="B1062" s="52">
        <v>-4909.07</v>
      </c>
      <c r="C1062" s="61">
        <v>46160.0</v>
      </c>
      <c r="D1062" s="52" t="s">
        <v>20</v>
      </c>
      <c r="E1062" s="55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</row>
    <row r="1063">
      <c r="A1063" s="52" t="s">
        <v>36</v>
      </c>
      <c r="B1063" s="52">
        <v>-5340.95</v>
      </c>
      <c r="C1063" s="61">
        <v>46160.0</v>
      </c>
      <c r="D1063" s="52" t="s">
        <v>21</v>
      </c>
      <c r="E1063" s="55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</row>
    <row r="1064">
      <c r="A1064" s="52" t="s">
        <v>36</v>
      </c>
      <c r="B1064" s="52">
        <v>-16943.61</v>
      </c>
      <c r="C1064" s="61">
        <v>46160.0</v>
      </c>
      <c r="D1064" s="52" t="s">
        <v>22</v>
      </c>
      <c r="E1064" s="55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</row>
    <row r="1065">
      <c r="A1065" s="52" t="s">
        <v>39</v>
      </c>
      <c r="B1065" s="56">
        <v>500.0</v>
      </c>
      <c r="C1065" s="61">
        <v>46160.0</v>
      </c>
      <c r="D1065" s="52" t="s">
        <v>1</v>
      </c>
      <c r="E1065" s="52" t="s">
        <v>55</v>
      </c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</row>
    <row r="1066">
      <c r="A1066" s="52" t="s">
        <v>39</v>
      </c>
      <c r="B1066" s="56">
        <v>-2000.0</v>
      </c>
      <c r="C1066" s="61">
        <v>46160.0</v>
      </c>
      <c r="D1066" s="52" t="s">
        <v>5</v>
      </c>
      <c r="E1066" s="55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</row>
    <row r="1067">
      <c r="A1067" s="52" t="s">
        <v>39</v>
      </c>
      <c r="B1067" s="56">
        <v>-1500.0</v>
      </c>
      <c r="C1067" s="61">
        <v>46160.0</v>
      </c>
      <c r="D1067" s="52" t="s">
        <v>16</v>
      </c>
      <c r="E1067" s="55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</row>
    <row r="1068">
      <c r="A1068" s="52" t="s">
        <v>39</v>
      </c>
      <c r="B1068" s="56">
        <v>-2000.0</v>
      </c>
      <c r="C1068" s="61">
        <v>46160.0</v>
      </c>
      <c r="D1068" s="52" t="s">
        <v>19</v>
      </c>
      <c r="E1068" s="55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</row>
    <row r="1069">
      <c r="A1069" s="52" t="s">
        <v>39</v>
      </c>
      <c r="B1069" s="56">
        <v>-3000.0</v>
      </c>
      <c r="C1069" s="61">
        <v>46160.0</v>
      </c>
      <c r="D1069" s="52" t="s">
        <v>21</v>
      </c>
      <c r="E1069" s="55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</row>
    <row r="1070">
      <c r="A1070" s="52" t="s">
        <v>39</v>
      </c>
      <c r="B1070" s="56">
        <v>-1000.0</v>
      </c>
      <c r="C1070" s="61">
        <v>46160.0</v>
      </c>
      <c r="D1070" s="52" t="s">
        <v>22</v>
      </c>
      <c r="E1070" s="55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</row>
    <row r="1071">
      <c r="A1071" s="52" t="s">
        <v>39</v>
      </c>
      <c r="B1071" s="52">
        <v>-652.54</v>
      </c>
      <c r="C1071" s="61">
        <v>46160.0</v>
      </c>
      <c r="D1071" s="52" t="s">
        <v>22</v>
      </c>
      <c r="E1071" s="52" t="s">
        <v>47</v>
      </c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</row>
    <row r="1072">
      <c r="A1072" s="52" t="s">
        <v>65</v>
      </c>
      <c r="B1072" s="52">
        <v>-2547.02</v>
      </c>
      <c r="C1072" s="61">
        <v>46160.0</v>
      </c>
      <c r="D1072" s="52" t="s">
        <v>3</v>
      </c>
      <c r="E1072" s="55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</row>
    <row r="1073">
      <c r="A1073" s="52" t="s">
        <v>65</v>
      </c>
      <c r="B1073" s="52">
        <v>-1459.88</v>
      </c>
      <c r="C1073" s="61">
        <v>46160.0</v>
      </c>
      <c r="D1073" s="52" t="s">
        <v>21</v>
      </c>
      <c r="E1073" s="55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</row>
    <row r="1074">
      <c r="A1074" s="52" t="s">
        <v>44</v>
      </c>
      <c r="B1074" s="52">
        <v>-26.3</v>
      </c>
      <c r="C1074" s="61">
        <v>46160.0</v>
      </c>
      <c r="D1074" s="52" t="s">
        <v>3</v>
      </c>
      <c r="E1074" s="52" t="s">
        <v>125</v>
      </c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</row>
    <row r="1075">
      <c r="A1075" s="52" t="s">
        <v>44</v>
      </c>
      <c r="B1075" s="56">
        <v>-1000.0</v>
      </c>
      <c r="C1075" s="61">
        <v>46160.0</v>
      </c>
      <c r="D1075" s="52" t="s">
        <v>14</v>
      </c>
      <c r="E1075" s="52" t="s">
        <v>158</v>
      </c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</row>
    <row r="1076">
      <c r="A1076" s="52" t="s">
        <v>44</v>
      </c>
      <c r="B1076" s="56">
        <v>-42.0</v>
      </c>
      <c r="C1076" s="61">
        <v>46160.0</v>
      </c>
      <c r="D1076" s="52" t="s">
        <v>14</v>
      </c>
      <c r="E1076" s="52" t="s">
        <v>159</v>
      </c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</row>
    <row r="1077">
      <c r="A1077" s="52" t="s">
        <v>44</v>
      </c>
      <c r="B1077" s="56">
        <v>-114.0</v>
      </c>
      <c r="C1077" s="61">
        <v>46160.0</v>
      </c>
      <c r="D1077" s="52" t="s">
        <v>14</v>
      </c>
      <c r="E1077" s="52" t="s">
        <v>160</v>
      </c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</row>
    <row r="1078">
      <c r="A1078" s="52" t="s">
        <v>44</v>
      </c>
      <c r="B1078" s="56">
        <v>-400.0</v>
      </c>
      <c r="C1078" s="61">
        <v>46160.0</v>
      </c>
      <c r="D1078" s="52" t="s">
        <v>14</v>
      </c>
      <c r="E1078" s="52" t="s">
        <v>161</v>
      </c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</row>
    <row r="1079">
      <c r="A1079" s="52" t="s">
        <v>39</v>
      </c>
      <c r="B1079" s="56">
        <v>1000.0</v>
      </c>
      <c r="C1079" s="61">
        <v>46161.0</v>
      </c>
      <c r="D1079" s="52" t="s">
        <v>2</v>
      </c>
      <c r="E1079" s="52" t="s">
        <v>55</v>
      </c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</row>
    <row r="1080">
      <c r="A1080" s="52" t="s">
        <v>39</v>
      </c>
      <c r="B1080" s="52">
        <v>-598.69</v>
      </c>
      <c r="C1080" s="61">
        <v>46161.0</v>
      </c>
      <c r="D1080" s="52" t="s">
        <v>22</v>
      </c>
      <c r="E1080" s="52" t="s">
        <v>47</v>
      </c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</row>
    <row r="1081">
      <c r="A1081" s="52" t="s">
        <v>44</v>
      </c>
      <c r="B1081" s="52">
        <v>-41.5</v>
      </c>
      <c r="C1081" s="61">
        <v>46161.0</v>
      </c>
      <c r="D1081" s="52" t="s">
        <v>14</v>
      </c>
      <c r="E1081" s="52" t="s">
        <v>162</v>
      </c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</row>
    <row r="1082">
      <c r="A1082" s="52" t="s">
        <v>39</v>
      </c>
      <c r="B1082" s="56">
        <v>-1500.0</v>
      </c>
      <c r="C1082" s="61">
        <v>46162.0</v>
      </c>
      <c r="D1082" s="52" t="s">
        <v>16</v>
      </c>
      <c r="E1082" s="55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</row>
    <row r="1083">
      <c r="A1083" s="52" t="s">
        <v>39</v>
      </c>
      <c r="B1083" s="56">
        <v>-1000.0</v>
      </c>
      <c r="C1083" s="61">
        <v>46162.0</v>
      </c>
      <c r="D1083" s="52" t="s">
        <v>19</v>
      </c>
      <c r="E1083" s="55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</row>
    <row r="1084">
      <c r="A1084" s="52" t="s">
        <v>39</v>
      </c>
      <c r="B1084" s="56">
        <v>-1000.0</v>
      </c>
      <c r="C1084" s="61">
        <v>46162.0</v>
      </c>
      <c r="D1084" s="52" t="s">
        <v>21</v>
      </c>
      <c r="E1084" s="55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</row>
    <row r="1085">
      <c r="A1085" s="52" t="s">
        <v>39</v>
      </c>
      <c r="B1085" s="52">
        <v>-769.48</v>
      </c>
      <c r="C1085" s="61">
        <v>46162.0</v>
      </c>
      <c r="D1085" s="52" t="s">
        <v>22</v>
      </c>
      <c r="E1085" s="52" t="s">
        <v>163</v>
      </c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</row>
    <row r="1086">
      <c r="A1086" s="52" t="s">
        <v>56</v>
      </c>
      <c r="B1086" s="56">
        <v>400.0</v>
      </c>
      <c r="C1086" s="61">
        <v>46162.0</v>
      </c>
      <c r="D1086" s="52" t="s">
        <v>1</v>
      </c>
      <c r="E1086" s="52" t="s">
        <v>73</v>
      </c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</row>
    <row r="1087">
      <c r="A1087" s="52" t="s">
        <v>56</v>
      </c>
      <c r="B1087" s="56">
        <v>700.0</v>
      </c>
      <c r="C1087" s="61">
        <v>46162.0</v>
      </c>
      <c r="D1087" s="52" t="s">
        <v>5</v>
      </c>
      <c r="E1087" s="52" t="s">
        <v>73</v>
      </c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</row>
    <row r="1088">
      <c r="A1088" s="52" t="s">
        <v>56</v>
      </c>
      <c r="B1088" s="56">
        <v>700.0</v>
      </c>
      <c r="C1088" s="61">
        <v>46162.0</v>
      </c>
      <c r="D1088" s="52" t="s">
        <v>2</v>
      </c>
      <c r="E1088" s="52" t="s">
        <v>73</v>
      </c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</row>
    <row r="1089">
      <c r="A1089" s="52" t="s">
        <v>56</v>
      </c>
      <c r="B1089" s="56">
        <v>900.0</v>
      </c>
      <c r="C1089" s="61">
        <v>46162.0</v>
      </c>
      <c r="D1089" s="52" t="s">
        <v>3</v>
      </c>
      <c r="E1089" s="52" t="s">
        <v>73</v>
      </c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</row>
    <row r="1090">
      <c r="A1090" s="52" t="s">
        <v>56</v>
      </c>
      <c r="B1090" s="56">
        <v>700.0</v>
      </c>
      <c r="C1090" s="61">
        <v>46162.0</v>
      </c>
      <c r="D1090" s="52" t="s">
        <v>14</v>
      </c>
      <c r="E1090" s="52" t="s">
        <v>73</v>
      </c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</row>
    <row r="1091">
      <c r="A1091" s="52" t="s">
        <v>56</v>
      </c>
      <c r="B1091" s="56">
        <v>-100.0</v>
      </c>
      <c r="C1091" s="61">
        <v>46162.0</v>
      </c>
      <c r="D1091" s="52" t="s">
        <v>14</v>
      </c>
      <c r="E1091" s="52" t="s">
        <v>164</v>
      </c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</row>
    <row r="1092">
      <c r="A1092" s="52" t="s">
        <v>56</v>
      </c>
      <c r="B1092" s="56">
        <v>400.0</v>
      </c>
      <c r="C1092" s="61">
        <v>46162.0</v>
      </c>
      <c r="D1092" s="52" t="s">
        <v>15</v>
      </c>
      <c r="E1092" s="52" t="s">
        <v>73</v>
      </c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</row>
    <row r="1093">
      <c r="A1093" s="52" t="s">
        <v>56</v>
      </c>
      <c r="B1093" s="56">
        <v>900.0</v>
      </c>
      <c r="C1093" s="61">
        <v>46162.0</v>
      </c>
      <c r="D1093" s="52" t="s">
        <v>16</v>
      </c>
      <c r="E1093" s="52" t="s">
        <v>73</v>
      </c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</row>
    <row r="1094">
      <c r="A1094" s="52" t="s">
        <v>56</v>
      </c>
      <c r="B1094" s="56">
        <v>800.0</v>
      </c>
      <c r="C1094" s="61">
        <v>46162.0</v>
      </c>
      <c r="D1094" s="52" t="s">
        <v>19</v>
      </c>
      <c r="E1094" s="52" t="s">
        <v>73</v>
      </c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</row>
    <row r="1095">
      <c r="A1095" s="52" t="s">
        <v>56</v>
      </c>
      <c r="B1095" s="56">
        <v>500.0</v>
      </c>
      <c r="C1095" s="61">
        <v>46162.0</v>
      </c>
      <c r="D1095" s="52" t="s">
        <v>20</v>
      </c>
      <c r="E1095" s="52" t="s">
        <v>73</v>
      </c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</row>
    <row r="1096">
      <c r="A1096" s="52" t="s">
        <v>56</v>
      </c>
      <c r="B1096" s="56">
        <v>800.0</v>
      </c>
      <c r="C1096" s="61">
        <v>46162.0</v>
      </c>
      <c r="D1096" s="52" t="s">
        <v>21</v>
      </c>
      <c r="E1096" s="52" t="s">
        <v>73</v>
      </c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</row>
    <row r="1097">
      <c r="A1097" s="52" t="s">
        <v>56</v>
      </c>
      <c r="B1097" s="56">
        <v>800.0</v>
      </c>
      <c r="C1097" s="61">
        <v>46162.0</v>
      </c>
      <c r="D1097" s="52" t="s">
        <v>22</v>
      </c>
      <c r="E1097" s="52" t="s">
        <v>73</v>
      </c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</row>
    <row r="1098">
      <c r="A1098" s="52" t="s">
        <v>65</v>
      </c>
      <c r="B1098" s="52">
        <v>-2607.13</v>
      </c>
      <c r="C1098" s="61">
        <v>46162.0</v>
      </c>
      <c r="D1098" s="52" t="s">
        <v>3</v>
      </c>
      <c r="E1098" s="52" t="s">
        <v>165</v>
      </c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</row>
    <row r="1099">
      <c r="A1099" s="52" t="s">
        <v>65</v>
      </c>
      <c r="B1099" s="52">
        <v>-1237.39</v>
      </c>
      <c r="C1099" s="61">
        <v>46162.0</v>
      </c>
      <c r="D1099" s="52" t="s">
        <v>21</v>
      </c>
      <c r="E1099" s="52" t="s">
        <v>165</v>
      </c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</row>
    <row r="1100">
      <c r="A1100" s="52" t="s">
        <v>44</v>
      </c>
      <c r="B1100" s="56">
        <v>-15.0</v>
      </c>
      <c r="C1100" s="61">
        <v>46162.0</v>
      </c>
      <c r="D1100" s="52" t="s">
        <v>14</v>
      </c>
      <c r="E1100" s="52" t="s">
        <v>162</v>
      </c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</row>
    <row r="1101">
      <c r="A1101" s="52" t="s">
        <v>56</v>
      </c>
      <c r="B1101" s="52">
        <v>-45.5</v>
      </c>
      <c r="C1101" s="61">
        <v>46163.0</v>
      </c>
      <c r="D1101" s="52" t="s">
        <v>2</v>
      </c>
      <c r="E1101" s="55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</row>
    <row r="1102">
      <c r="A1102" s="52" t="s">
        <v>56</v>
      </c>
      <c r="B1102" s="56">
        <v>-60.0</v>
      </c>
      <c r="C1102" s="61">
        <v>46163.0</v>
      </c>
      <c r="D1102" s="52" t="s">
        <v>3</v>
      </c>
      <c r="E1102" s="55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</row>
    <row r="1103">
      <c r="A1103" s="52" t="s">
        <v>56</v>
      </c>
      <c r="B1103" s="52">
        <v>-6.2</v>
      </c>
      <c r="C1103" s="61">
        <v>46163.0</v>
      </c>
      <c r="D1103" s="52" t="s">
        <v>16</v>
      </c>
      <c r="E1103" s="55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</row>
    <row r="1104">
      <c r="A1104" s="52" t="s">
        <v>56</v>
      </c>
      <c r="B1104" s="52">
        <v>-146.23</v>
      </c>
      <c r="C1104" s="61">
        <v>46163.0</v>
      </c>
      <c r="D1104" s="52" t="s">
        <v>19</v>
      </c>
      <c r="E1104" s="55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</row>
    <row r="1105">
      <c r="A1105" s="52" t="s">
        <v>56</v>
      </c>
      <c r="B1105" s="56">
        <v>-91.0</v>
      </c>
      <c r="C1105" s="61">
        <v>46163.0</v>
      </c>
      <c r="D1105" s="52" t="s">
        <v>22</v>
      </c>
      <c r="E1105" s="55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</row>
    <row r="1106">
      <c r="A1106" s="52" t="s">
        <v>44</v>
      </c>
      <c r="B1106" s="52">
        <v>-31.5</v>
      </c>
      <c r="C1106" s="61">
        <v>46163.0</v>
      </c>
      <c r="D1106" s="52" t="s">
        <v>14</v>
      </c>
      <c r="E1106" s="52" t="s">
        <v>162</v>
      </c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</row>
    <row r="1107">
      <c r="A1107" s="52" t="s">
        <v>39</v>
      </c>
      <c r="B1107" s="56">
        <v>500.0</v>
      </c>
      <c r="C1107" s="61">
        <v>46164.0</v>
      </c>
      <c r="D1107" s="52" t="s">
        <v>1</v>
      </c>
      <c r="E1107" s="52" t="s">
        <v>55</v>
      </c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</row>
    <row r="1108">
      <c r="A1108" s="52" t="s">
        <v>39</v>
      </c>
      <c r="B1108" s="56">
        <v>-500.0</v>
      </c>
      <c r="C1108" s="61">
        <v>46164.0</v>
      </c>
      <c r="D1108" s="52" t="s">
        <v>5</v>
      </c>
      <c r="E1108" s="55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</row>
    <row r="1109">
      <c r="A1109" s="52" t="s">
        <v>39</v>
      </c>
      <c r="B1109" s="56">
        <v>-598.69</v>
      </c>
      <c r="C1109" s="61">
        <v>46164.0</v>
      </c>
      <c r="D1109" s="52" t="s">
        <v>22</v>
      </c>
      <c r="E1109" s="52" t="s">
        <v>47</v>
      </c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</row>
    <row r="1110">
      <c r="A1110" s="52" t="s">
        <v>44</v>
      </c>
      <c r="B1110" s="56">
        <v>-414.0</v>
      </c>
      <c r="C1110" s="61">
        <v>46164.0</v>
      </c>
      <c r="D1110" s="52" t="s">
        <v>14</v>
      </c>
      <c r="E1110" s="52" t="s">
        <v>162</v>
      </c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</row>
    <row r="1111">
      <c r="A1111" s="52" t="s">
        <v>36</v>
      </c>
      <c r="B1111" s="52">
        <v>-6221.12</v>
      </c>
      <c r="C1111" s="61">
        <v>46167.0</v>
      </c>
      <c r="D1111" s="52" t="s">
        <v>1</v>
      </c>
      <c r="E1111" s="55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</row>
    <row r="1112">
      <c r="A1112" s="52" t="s">
        <v>36</v>
      </c>
      <c r="B1112" s="52">
        <v>-3516.29</v>
      </c>
      <c r="C1112" s="61">
        <v>46167.0</v>
      </c>
      <c r="D1112" s="52" t="s">
        <v>5</v>
      </c>
      <c r="E1112" s="55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</row>
    <row r="1113">
      <c r="A1113" s="52" t="s">
        <v>36</v>
      </c>
      <c r="B1113" s="52">
        <v>-17548.87</v>
      </c>
      <c r="C1113" s="61">
        <v>46167.0</v>
      </c>
      <c r="D1113" s="52" t="s">
        <v>2</v>
      </c>
      <c r="E1113" s="55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</row>
    <row r="1114">
      <c r="A1114" s="52" t="s">
        <v>36</v>
      </c>
      <c r="B1114" s="52">
        <v>-15280.73</v>
      </c>
      <c r="C1114" s="61">
        <v>46167.0</v>
      </c>
      <c r="D1114" s="52" t="s">
        <v>3</v>
      </c>
      <c r="E1114" s="55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</row>
    <row r="1115">
      <c r="A1115" s="52" t="s">
        <v>36</v>
      </c>
      <c r="B1115" s="52">
        <v>-9487.35</v>
      </c>
      <c r="C1115" s="61">
        <v>46167.0</v>
      </c>
      <c r="D1115" s="52" t="s">
        <v>14</v>
      </c>
      <c r="E1115" s="55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</row>
    <row r="1116">
      <c r="A1116" s="52" t="s">
        <v>36</v>
      </c>
      <c r="B1116" s="52">
        <v>-6870.76</v>
      </c>
      <c r="C1116" s="61">
        <v>46167.0</v>
      </c>
      <c r="D1116" s="52" t="s">
        <v>15</v>
      </c>
      <c r="E1116" s="55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</row>
    <row r="1117">
      <c r="A1117" s="52" t="s">
        <v>36</v>
      </c>
      <c r="B1117" s="52">
        <v>-8098.89</v>
      </c>
      <c r="C1117" s="61">
        <v>46167.0</v>
      </c>
      <c r="D1117" s="52" t="s">
        <v>16</v>
      </c>
      <c r="E1117" s="55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</row>
    <row r="1118">
      <c r="A1118" s="52" t="s">
        <v>36</v>
      </c>
      <c r="B1118" s="52">
        <v>-6423.41</v>
      </c>
      <c r="C1118" s="61">
        <v>46167.0</v>
      </c>
      <c r="D1118" s="52" t="s">
        <v>19</v>
      </c>
      <c r="E1118" s="55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</row>
    <row r="1119">
      <c r="A1119" s="52" t="s">
        <v>36</v>
      </c>
      <c r="B1119" s="52">
        <v>-4369.674</v>
      </c>
      <c r="C1119" s="61">
        <v>46167.0</v>
      </c>
      <c r="D1119" s="52" t="s">
        <v>20</v>
      </c>
      <c r="E1119" s="55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</row>
    <row r="1120">
      <c r="A1120" s="52" t="s">
        <v>36</v>
      </c>
      <c r="B1120" s="52">
        <v>-5374.31</v>
      </c>
      <c r="C1120" s="61">
        <v>46167.0</v>
      </c>
      <c r="D1120" s="52" t="s">
        <v>21</v>
      </c>
      <c r="E1120" s="55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</row>
    <row r="1121">
      <c r="A1121" s="52" t="s">
        <v>36</v>
      </c>
      <c r="B1121" s="52">
        <v>-11042.19</v>
      </c>
      <c r="C1121" s="61">
        <v>46167.0</v>
      </c>
      <c r="D1121" s="52" t="s">
        <v>22</v>
      </c>
      <c r="E1121" s="55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</row>
    <row r="1122">
      <c r="A1122" s="52" t="s">
        <v>39</v>
      </c>
      <c r="B1122" s="56">
        <v>-1000.0</v>
      </c>
      <c r="C1122" s="61">
        <v>46167.0</v>
      </c>
      <c r="D1122" s="52" t="s">
        <v>14</v>
      </c>
      <c r="E1122" s="55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</row>
    <row r="1123">
      <c r="A1123" s="52" t="s">
        <v>39</v>
      </c>
      <c r="B1123" s="56">
        <v>-1000.0</v>
      </c>
      <c r="C1123" s="61">
        <v>46167.0</v>
      </c>
      <c r="D1123" s="52" t="s">
        <v>14</v>
      </c>
      <c r="E1123" s="52" t="s">
        <v>166</v>
      </c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</row>
    <row r="1124">
      <c r="A1124" s="52" t="s">
        <v>39</v>
      </c>
      <c r="B1124" s="56">
        <v>-1000.0</v>
      </c>
      <c r="C1124" s="61">
        <v>46168.0</v>
      </c>
      <c r="D1124" s="52" t="s">
        <v>5</v>
      </c>
      <c r="E1124" s="55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</row>
    <row r="1125">
      <c r="A1125" s="52" t="s">
        <v>39</v>
      </c>
      <c r="B1125" s="56">
        <v>-1500.0</v>
      </c>
      <c r="C1125" s="61">
        <v>46168.0</v>
      </c>
      <c r="D1125" s="52" t="s">
        <v>16</v>
      </c>
      <c r="E1125" s="55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</row>
    <row r="1126">
      <c r="A1126" s="52" t="s">
        <v>39</v>
      </c>
      <c r="B1126" s="56">
        <v>-2500.0</v>
      </c>
      <c r="C1126" s="61">
        <v>46168.0</v>
      </c>
      <c r="D1126" s="52" t="s">
        <v>19</v>
      </c>
      <c r="E1126" s="55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</row>
    <row r="1127">
      <c r="A1127" s="52" t="s">
        <v>39</v>
      </c>
      <c r="B1127" s="56">
        <v>-1000.0</v>
      </c>
      <c r="C1127" s="61">
        <v>46168.0</v>
      </c>
      <c r="D1127" s="52" t="s">
        <v>21</v>
      </c>
      <c r="E1127" s="55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</row>
    <row r="1128">
      <c r="A1128" s="52" t="s">
        <v>39</v>
      </c>
      <c r="B1128" s="56">
        <v>-1500.0</v>
      </c>
      <c r="C1128" s="61">
        <v>46168.0</v>
      </c>
      <c r="D1128" s="52" t="s">
        <v>22</v>
      </c>
      <c r="E1128" s="55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</row>
    <row r="1129">
      <c r="A1129" s="52" t="s">
        <v>39</v>
      </c>
      <c r="B1129" s="56">
        <v>-572.66</v>
      </c>
      <c r="C1129" s="61">
        <v>46168.0</v>
      </c>
      <c r="D1129" s="52" t="s">
        <v>22</v>
      </c>
      <c r="E1129" s="52" t="s">
        <v>47</v>
      </c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</row>
    <row r="1130">
      <c r="A1130" s="52" t="s">
        <v>44</v>
      </c>
      <c r="B1130" s="52">
        <v>-11.1</v>
      </c>
      <c r="C1130" s="61">
        <v>46169.0</v>
      </c>
      <c r="D1130" s="52" t="s">
        <v>2</v>
      </c>
      <c r="E1130" s="52" t="s">
        <v>78</v>
      </c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</row>
    <row r="1131">
      <c r="A1131" s="52" t="s">
        <v>44</v>
      </c>
      <c r="B1131" s="52">
        <v>-817.7</v>
      </c>
      <c r="C1131" s="61">
        <v>46169.0</v>
      </c>
      <c r="D1131" s="52" t="s">
        <v>22</v>
      </c>
      <c r="E1131" s="52" t="s">
        <v>145</v>
      </c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</row>
    <row r="1132">
      <c r="A1132" s="52" t="s">
        <v>39</v>
      </c>
      <c r="B1132" s="56">
        <v>2500.0</v>
      </c>
      <c r="C1132" s="61">
        <v>46171.0</v>
      </c>
      <c r="D1132" s="52" t="s">
        <v>2</v>
      </c>
      <c r="E1132" s="52" t="s">
        <v>55</v>
      </c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</row>
    <row r="1133">
      <c r="A1133" s="52" t="s">
        <v>39</v>
      </c>
      <c r="B1133" s="56">
        <v>-700.0</v>
      </c>
      <c r="C1133" s="61">
        <v>46171.0</v>
      </c>
      <c r="D1133" s="52" t="s">
        <v>14</v>
      </c>
      <c r="E1133" s="55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</row>
    <row r="1134">
      <c r="A1134" s="52" t="s">
        <v>39</v>
      </c>
      <c r="B1134" s="56">
        <v>-728.84</v>
      </c>
      <c r="C1134" s="61">
        <v>46171.0</v>
      </c>
      <c r="D1134" s="52" t="s">
        <v>22</v>
      </c>
      <c r="E1134" s="52" t="s">
        <v>47</v>
      </c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</row>
    <row r="1135">
      <c r="A1135" s="52" t="s">
        <v>44</v>
      </c>
      <c r="B1135" s="56">
        <v>-280.0</v>
      </c>
      <c r="C1135" s="61">
        <v>46171.0</v>
      </c>
      <c r="D1135" s="52" t="s">
        <v>15</v>
      </c>
      <c r="E1135" s="52" t="s">
        <v>54</v>
      </c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</row>
    <row r="1136">
      <c r="A1136" s="52" t="s">
        <v>39</v>
      </c>
      <c r="B1136" s="52">
        <v>-2000.0</v>
      </c>
      <c r="C1136" s="61">
        <v>46171.0</v>
      </c>
      <c r="D1136" s="52" t="s">
        <v>19</v>
      </c>
      <c r="E1136" s="52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</row>
    <row r="1137">
      <c r="A1137" s="52" t="s">
        <v>36</v>
      </c>
      <c r="B1137" s="52">
        <v>-8397.91</v>
      </c>
      <c r="C1137" s="61">
        <v>46174.0</v>
      </c>
      <c r="D1137" s="52" t="s">
        <v>1</v>
      </c>
      <c r="E1137" s="55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</row>
    <row r="1138">
      <c r="A1138" s="52" t="s">
        <v>36</v>
      </c>
      <c r="B1138" s="52">
        <v>-3573.27</v>
      </c>
      <c r="C1138" s="61">
        <v>46174.0</v>
      </c>
      <c r="D1138" s="52" t="s">
        <v>5</v>
      </c>
      <c r="E1138" s="55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</row>
    <row r="1139">
      <c r="A1139" s="52" t="s">
        <v>36</v>
      </c>
      <c r="B1139" s="52">
        <v>-14873.24</v>
      </c>
      <c r="C1139" s="61">
        <v>46174.0</v>
      </c>
      <c r="D1139" s="52" t="s">
        <v>2</v>
      </c>
      <c r="E1139" s="55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</row>
    <row r="1140">
      <c r="A1140" s="52" t="s">
        <v>36</v>
      </c>
      <c r="B1140" s="52">
        <v>-14655.9</v>
      </c>
      <c r="C1140" s="61">
        <v>46174.0</v>
      </c>
      <c r="D1140" s="52" t="s">
        <v>3</v>
      </c>
      <c r="E1140" s="55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</row>
    <row r="1141">
      <c r="A1141" s="52" t="s">
        <v>36</v>
      </c>
      <c r="B1141" s="52">
        <v>-9239.42</v>
      </c>
      <c r="C1141" s="61">
        <v>46174.0</v>
      </c>
      <c r="D1141" s="52" t="s">
        <v>14</v>
      </c>
      <c r="E1141" s="55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</row>
    <row r="1142">
      <c r="A1142" s="52" t="s">
        <v>36</v>
      </c>
      <c r="B1142" s="52">
        <v>-5863.02</v>
      </c>
      <c r="C1142" s="61">
        <v>46174.0</v>
      </c>
      <c r="D1142" s="52" t="s">
        <v>15</v>
      </c>
      <c r="E1142" s="55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</row>
    <row r="1143">
      <c r="A1143" s="52" t="s">
        <v>36</v>
      </c>
      <c r="B1143" s="52">
        <v>-7646.05</v>
      </c>
      <c r="C1143" s="61">
        <v>46174.0</v>
      </c>
      <c r="D1143" s="52" t="s">
        <v>16</v>
      </c>
      <c r="E1143" s="55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</row>
    <row r="1144">
      <c r="A1144" s="52" t="s">
        <v>36</v>
      </c>
      <c r="B1144" s="52">
        <v>-7139.41</v>
      </c>
      <c r="C1144" s="61">
        <v>46174.0</v>
      </c>
      <c r="D1144" s="52" t="s">
        <v>19</v>
      </c>
      <c r="E1144" s="55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</row>
    <row r="1145">
      <c r="A1145" s="52" t="s">
        <v>36</v>
      </c>
      <c r="B1145" s="52">
        <v>-4759.25</v>
      </c>
      <c r="C1145" s="61">
        <v>46174.0</v>
      </c>
      <c r="D1145" s="52" t="s">
        <v>20</v>
      </c>
      <c r="E1145" s="55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</row>
    <row r="1146">
      <c r="A1146" s="52" t="s">
        <v>36</v>
      </c>
      <c r="B1146" s="52">
        <v>-5169.3</v>
      </c>
      <c r="C1146" s="61">
        <v>46174.0</v>
      </c>
      <c r="D1146" s="52" t="s">
        <v>21</v>
      </c>
      <c r="E1146" s="55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</row>
    <row r="1147">
      <c r="A1147" s="52" t="s">
        <v>36</v>
      </c>
      <c r="B1147" s="52">
        <v>-12748.65</v>
      </c>
      <c r="C1147" s="61">
        <v>46174.0</v>
      </c>
      <c r="D1147" s="52" t="s">
        <v>22</v>
      </c>
      <c r="E1147" s="55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</row>
    <row r="1148">
      <c r="A1148" s="52" t="s">
        <v>39</v>
      </c>
      <c r="B1148" s="56">
        <v>-1500.0</v>
      </c>
      <c r="C1148" s="61">
        <v>46174.0</v>
      </c>
      <c r="D1148" s="52" t="s">
        <v>14</v>
      </c>
      <c r="E1148" s="55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</row>
    <row r="1149">
      <c r="A1149" s="52" t="s">
        <v>39</v>
      </c>
      <c r="B1149" s="56">
        <v>1500.0</v>
      </c>
      <c r="C1149" s="61">
        <v>46174.0</v>
      </c>
      <c r="D1149" s="52" t="s">
        <v>15</v>
      </c>
      <c r="E1149" s="52" t="s">
        <v>55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</row>
    <row r="1150">
      <c r="A1150" s="52" t="s">
        <v>39</v>
      </c>
      <c r="B1150" s="56">
        <v>-2000.0</v>
      </c>
      <c r="C1150" s="61">
        <v>46174.0</v>
      </c>
      <c r="D1150" s="52" t="s">
        <v>16</v>
      </c>
      <c r="E1150" s="55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</row>
    <row r="1151">
      <c r="A1151" s="52" t="s">
        <v>39</v>
      </c>
      <c r="B1151" s="56">
        <v>-3000.0</v>
      </c>
      <c r="C1151" s="61">
        <v>46174.0</v>
      </c>
      <c r="D1151" s="52" t="s">
        <v>19</v>
      </c>
      <c r="E1151" s="55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</row>
    <row r="1152">
      <c r="A1152" s="52" t="s">
        <v>39</v>
      </c>
      <c r="B1152" s="56">
        <v>-500.0</v>
      </c>
      <c r="C1152" s="61">
        <v>46174.0</v>
      </c>
      <c r="D1152" s="52" t="s">
        <v>21</v>
      </c>
      <c r="E1152" s="55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</row>
    <row r="1153">
      <c r="A1153" s="52" t="s">
        <v>39</v>
      </c>
      <c r="B1153" s="56">
        <v>-2500.0</v>
      </c>
      <c r="C1153" s="61">
        <v>46174.0</v>
      </c>
      <c r="D1153" s="52" t="s">
        <v>22</v>
      </c>
      <c r="E1153" s="55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</row>
    <row r="1154">
      <c r="A1154" s="52" t="s">
        <v>44</v>
      </c>
      <c r="B1154" s="56">
        <v>-100.0</v>
      </c>
      <c r="C1154" s="61">
        <v>46174.0</v>
      </c>
      <c r="D1154" s="52" t="s">
        <v>16</v>
      </c>
      <c r="E1154" s="52" t="s">
        <v>167</v>
      </c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</row>
    <row r="1155">
      <c r="A1155" s="52" t="s">
        <v>44</v>
      </c>
      <c r="B1155" s="56">
        <v>-500.0</v>
      </c>
      <c r="C1155" s="61">
        <v>46174.0</v>
      </c>
      <c r="D1155" s="52" t="s">
        <v>19</v>
      </c>
      <c r="E1155" s="52" t="s">
        <v>74</v>
      </c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</row>
    <row r="1156">
      <c r="A1156" s="52" t="s">
        <v>39</v>
      </c>
      <c r="B1156" s="52">
        <v>-1500.0</v>
      </c>
      <c r="C1156" s="61">
        <v>46174.0</v>
      </c>
      <c r="D1156" s="52" t="s">
        <v>5</v>
      </c>
      <c r="E1156" s="52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</row>
    <row r="1157">
      <c r="A1157" s="52" t="s">
        <v>39</v>
      </c>
      <c r="B1157" s="52">
        <v>-494.57</v>
      </c>
      <c r="C1157" s="61">
        <v>46175.0</v>
      </c>
      <c r="D1157" s="52" t="s">
        <v>22</v>
      </c>
      <c r="E1157" s="52" t="s">
        <v>47</v>
      </c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</row>
    <row r="1158">
      <c r="A1158" s="52" t="s">
        <v>65</v>
      </c>
      <c r="B1158" s="52">
        <v>-968.54</v>
      </c>
      <c r="C1158" s="61">
        <v>46175.0</v>
      </c>
      <c r="D1158" s="52" t="s">
        <v>2</v>
      </c>
      <c r="E1158" s="55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</row>
    <row r="1159">
      <c r="A1159" s="52" t="s">
        <v>65</v>
      </c>
      <c r="B1159" s="52">
        <v>-1334.38</v>
      </c>
      <c r="C1159" s="61">
        <v>46175.0</v>
      </c>
      <c r="D1159" s="52" t="s">
        <v>21</v>
      </c>
      <c r="E1159" s="55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</row>
    <row r="1160">
      <c r="A1160" s="52" t="s">
        <v>65</v>
      </c>
      <c r="B1160" s="52">
        <v>-4227.06</v>
      </c>
      <c r="C1160" s="61">
        <v>46175.0</v>
      </c>
      <c r="D1160" s="52" t="s">
        <v>22</v>
      </c>
      <c r="E1160" s="55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</row>
    <row r="1161">
      <c r="A1161" s="52" t="s">
        <v>44</v>
      </c>
      <c r="B1161" s="56">
        <v>-100.0</v>
      </c>
      <c r="C1161" s="61">
        <v>46175.0</v>
      </c>
      <c r="D1161" s="52" t="s">
        <v>14</v>
      </c>
      <c r="E1161" s="52" t="s">
        <v>48</v>
      </c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</row>
    <row r="1162">
      <c r="A1162" s="52" t="s">
        <v>44</v>
      </c>
      <c r="B1162" s="52">
        <v>-33.8</v>
      </c>
      <c r="C1162" s="61">
        <v>46175.0</v>
      </c>
      <c r="D1162" s="52" t="s">
        <v>16</v>
      </c>
      <c r="E1162" s="52" t="s">
        <v>104</v>
      </c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</row>
    <row r="1163">
      <c r="A1163" s="52" t="s">
        <v>39</v>
      </c>
      <c r="B1163" s="56">
        <v>-1000.0</v>
      </c>
      <c r="C1163" s="61">
        <v>46176.0</v>
      </c>
      <c r="D1163" s="52" t="s">
        <v>16</v>
      </c>
      <c r="E1163" s="55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</row>
    <row r="1164">
      <c r="A1164" s="52" t="s">
        <v>39</v>
      </c>
      <c r="B1164" s="56">
        <v>-500.0</v>
      </c>
      <c r="C1164" s="61">
        <v>46176.0</v>
      </c>
      <c r="D1164" s="52" t="s">
        <v>21</v>
      </c>
      <c r="E1164" s="55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</row>
    <row r="1165">
      <c r="A1165" s="52" t="s">
        <v>56</v>
      </c>
      <c r="B1165" s="56">
        <v>-51.0</v>
      </c>
      <c r="C1165" s="61">
        <v>46176.0</v>
      </c>
      <c r="D1165" s="52" t="s">
        <v>5</v>
      </c>
      <c r="E1165" s="52" t="s">
        <v>168</v>
      </c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</row>
    <row r="1166">
      <c r="A1166" s="52" t="s">
        <v>56</v>
      </c>
      <c r="B1166" s="52">
        <v>-61.97</v>
      </c>
      <c r="C1166" s="61">
        <v>46176.0</v>
      </c>
      <c r="D1166" s="52" t="s">
        <v>2</v>
      </c>
      <c r="E1166" s="52" t="s">
        <v>168</v>
      </c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</row>
    <row r="1167">
      <c r="A1167" s="52" t="s">
        <v>56</v>
      </c>
      <c r="B1167" s="52">
        <v>-80.11</v>
      </c>
      <c r="C1167" s="61">
        <v>46176.0</v>
      </c>
      <c r="D1167" s="52" t="s">
        <v>3</v>
      </c>
      <c r="E1167" s="52" t="s">
        <v>169</v>
      </c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</row>
    <row r="1168">
      <c r="A1168" s="52" t="s">
        <v>56</v>
      </c>
      <c r="B1168" s="52">
        <v>-68.12</v>
      </c>
      <c r="C1168" s="61">
        <v>46176.0</v>
      </c>
      <c r="D1168" s="52" t="s">
        <v>3</v>
      </c>
      <c r="E1168" s="52" t="s">
        <v>168</v>
      </c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</row>
    <row r="1169">
      <c r="A1169" s="52" t="s">
        <v>56</v>
      </c>
      <c r="B1169" s="56">
        <v>-87.0</v>
      </c>
      <c r="C1169" s="61">
        <v>46176.0</v>
      </c>
      <c r="D1169" s="52" t="s">
        <v>14</v>
      </c>
      <c r="E1169" s="52" t="s">
        <v>169</v>
      </c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</row>
    <row r="1170">
      <c r="A1170" s="52" t="s">
        <v>56</v>
      </c>
      <c r="B1170" s="52">
        <v>-85.36</v>
      </c>
      <c r="C1170" s="61">
        <v>46176.0</v>
      </c>
      <c r="D1170" s="52" t="s">
        <v>14</v>
      </c>
      <c r="E1170" s="52" t="s">
        <v>168</v>
      </c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</row>
    <row r="1171">
      <c r="A1171" s="52" t="s">
        <v>56</v>
      </c>
      <c r="B1171" s="56">
        <v>-20.0</v>
      </c>
      <c r="C1171" s="61">
        <v>46176.0</v>
      </c>
      <c r="D1171" s="52" t="s">
        <v>15</v>
      </c>
      <c r="E1171" s="52" t="s">
        <v>169</v>
      </c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</row>
    <row r="1172">
      <c r="A1172" s="52" t="s">
        <v>56</v>
      </c>
      <c r="B1172" s="56">
        <v>-10.0</v>
      </c>
      <c r="C1172" s="61">
        <v>46176.0</v>
      </c>
      <c r="D1172" s="52" t="s">
        <v>15</v>
      </c>
      <c r="E1172" s="52" t="s">
        <v>168</v>
      </c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</row>
    <row r="1173">
      <c r="A1173" s="52" t="s">
        <v>56</v>
      </c>
      <c r="B1173" s="52">
        <v>-3.1</v>
      </c>
      <c r="C1173" s="61">
        <v>46176.0</v>
      </c>
      <c r="D1173" s="52" t="s">
        <v>16</v>
      </c>
      <c r="E1173" s="52" t="s">
        <v>169</v>
      </c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</row>
    <row r="1174">
      <c r="A1174" s="52" t="s">
        <v>56</v>
      </c>
      <c r="B1174" s="52">
        <v>-343.6</v>
      </c>
      <c r="C1174" s="61">
        <v>46176.0</v>
      </c>
      <c r="D1174" s="52" t="s">
        <v>19</v>
      </c>
      <c r="E1174" s="52" t="s">
        <v>168</v>
      </c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</row>
    <row r="1175">
      <c r="A1175" s="52" t="s">
        <v>56</v>
      </c>
      <c r="B1175" s="52">
        <v>-499.4</v>
      </c>
      <c r="C1175" s="61">
        <v>46176.0</v>
      </c>
      <c r="D1175" s="52" t="s">
        <v>21</v>
      </c>
      <c r="E1175" s="52" t="s">
        <v>169</v>
      </c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</row>
    <row r="1176">
      <c r="A1176" s="52" t="s">
        <v>56</v>
      </c>
      <c r="B1176" s="52">
        <v>-144.94</v>
      </c>
      <c r="C1176" s="61">
        <v>46176.0</v>
      </c>
      <c r="D1176" s="52" t="s">
        <v>21</v>
      </c>
      <c r="E1176" s="52" t="s">
        <v>168</v>
      </c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</row>
    <row r="1177">
      <c r="A1177" s="52" t="s">
        <v>56</v>
      </c>
      <c r="B1177" s="52">
        <v>-260.36</v>
      </c>
      <c r="C1177" s="61">
        <v>46176.0</v>
      </c>
      <c r="D1177" s="52" t="s">
        <v>22</v>
      </c>
      <c r="E1177" s="52" t="s">
        <v>169</v>
      </c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</row>
    <row r="1178">
      <c r="A1178" s="52" t="s">
        <v>56</v>
      </c>
      <c r="B1178" s="56">
        <v>-84.0</v>
      </c>
      <c r="C1178" s="61">
        <v>46176.0</v>
      </c>
      <c r="D1178" s="52" t="s">
        <v>22</v>
      </c>
      <c r="E1178" s="52" t="s">
        <v>168</v>
      </c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</row>
    <row r="1179">
      <c r="A1179" s="52" t="s">
        <v>44</v>
      </c>
      <c r="B1179" s="56">
        <v>-100.0</v>
      </c>
      <c r="C1179" s="61">
        <v>46176.0</v>
      </c>
      <c r="D1179" s="52" t="s">
        <v>3</v>
      </c>
      <c r="E1179" s="52" t="s">
        <v>50</v>
      </c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</row>
    <row r="1180">
      <c r="A1180" s="52" t="s">
        <v>44</v>
      </c>
      <c r="B1180" s="52">
        <v>-2888.71</v>
      </c>
      <c r="C1180" s="61">
        <v>46176.0</v>
      </c>
      <c r="D1180" s="52" t="s">
        <v>3</v>
      </c>
      <c r="E1180" s="52" t="s">
        <v>117</v>
      </c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</row>
    <row r="1181">
      <c r="A1181" s="52" t="s">
        <v>44</v>
      </c>
      <c r="B1181" s="56">
        <v>-17.0</v>
      </c>
      <c r="C1181" s="61">
        <v>46176.0</v>
      </c>
      <c r="D1181" s="52" t="s">
        <v>14</v>
      </c>
      <c r="E1181" s="52" t="s">
        <v>162</v>
      </c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</row>
    <row r="1182">
      <c r="A1182" s="52" t="s">
        <v>44</v>
      </c>
      <c r="B1182" s="56">
        <v>-300.0</v>
      </c>
      <c r="C1182" s="61">
        <v>46176.0</v>
      </c>
      <c r="D1182" s="52" t="s">
        <v>22</v>
      </c>
      <c r="E1182" s="52" t="s">
        <v>170</v>
      </c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</row>
    <row r="1183">
      <c r="A1183" s="52" t="s">
        <v>39</v>
      </c>
      <c r="B1183" s="52">
        <v>-364.42</v>
      </c>
      <c r="C1183" s="61">
        <v>46177.0</v>
      </c>
      <c r="D1183" s="52" t="s">
        <v>22</v>
      </c>
      <c r="E1183" s="52" t="s">
        <v>47</v>
      </c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</row>
    <row r="1184">
      <c r="A1184" s="52" t="s">
        <v>44</v>
      </c>
      <c r="B1184" s="56">
        <v>-340.0</v>
      </c>
      <c r="C1184" s="61">
        <v>46177.0</v>
      </c>
      <c r="D1184" s="52" t="s">
        <v>2</v>
      </c>
      <c r="E1184" s="52" t="s">
        <v>49</v>
      </c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</row>
    <row r="1185">
      <c r="A1185" s="52" t="s">
        <v>44</v>
      </c>
      <c r="B1185" s="56">
        <v>-44.0</v>
      </c>
      <c r="C1185" s="61">
        <v>46177.0</v>
      </c>
      <c r="D1185" s="52" t="s">
        <v>14</v>
      </c>
      <c r="E1185" s="52" t="s">
        <v>162</v>
      </c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</row>
    <row r="1186">
      <c r="A1186" s="52" t="s">
        <v>44</v>
      </c>
      <c r="B1186" s="56">
        <v>-301.0</v>
      </c>
      <c r="C1186" s="61">
        <v>46177.0</v>
      </c>
      <c r="D1186" s="52" t="s">
        <v>22</v>
      </c>
      <c r="E1186" s="52" t="s">
        <v>84</v>
      </c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</row>
    <row r="1187">
      <c r="A1187" s="52" t="s">
        <v>44</v>
      </c>
      <c r="B1187" s="52">
        <v>-894.64</v>
      </c>
      <c r="C1187" s="61">
        <v>46177.0</v>
      </c>
      <c r="D1187" s="52" t="s">
        <v>22</v>
      </c>
      <c r="E1187" s="52" t="s">
        <v>145</v>
      </c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</row>
    <row r="1188">
      <c r="A1188" s="52" t="s">
        <v>44</v>
      </c>
      <c r="B1188" s="56">
        <v>-100.0</v>
      </c>
      <c r="C1188" s="61">
        <v>46178.0</v>
      </c>
      <c r="D1188" s="52" t="s">
        <v>14</v>
      </c>
      <c r="E1188" s="52" t="s">
        <v>51</v>
      </c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</row>
    <row r="1189">
      <c r="A1189" s="52" t="s">
        <v>44</v>
      </c>
      <c r="B1189" s="56">
        <v>-234.0</v>
      </c>
      <c r="C1189" s="61">
        <v>46178.0</v>
      </c>
      <c r="D1189" s="52" t="s">
        <v>14</v>
      </c>
      <c r="E1189" s="52" t="s">
        <v>162</v>
      </c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</row>
    <row r="1190">
      <c r="A1190" s="52" t="s">
        <v>44</v>
      </c>
      <c r="B1190" s="56">
        <v>-90.0</v>
      </c>
      <c r="C1190" s="61">
        <v>46178.0</v>
      </c>
      <c r="D1190" s="52" t="s">
        <v>22</v>
      </c>
      <c r="E1190" s="52" t="s">
        <v>170</v>
      </c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</row>
    <row r="1191">
      <c r="A1191" s="52" t="s">
        <v>44</v>
      </c>
      <c r="B1191" s="52">
        <v>-53.42</v>
      </c>
      <c r="C1191" s="61">
        <v>46178.0</v>
      </c>
      <c r="D1191" s="52" t="s">
        <v>16</v>
      </c>
      <c r="E1191" s="52" t="s">
        <v>104</v>
      </c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</row>
    <row r="1192">
      <c r="A1192" s="52" t="s">
        <v>39</v>
      </c>
      <c r="B1192" s="52">
        <v>-3000.0</v>
      </c>
      <c r="C1192" s="61">
        <v>46181.0</v>
      </c>
      <c r="D1192" s="52" t="s">
        <v>5</v>
      </c>
      <c r="E1192" s="55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</row>
    <row r="1193">
      <c r="A1193" s="52" t="s">
        <v>39</v>
      </c>
      <c r="B1193" s="56">
        <v>-500.0</v>
      </c>
      <c r="C1193" s="61">
        <v>46181.0</v>
      </c>
      <c r="D1193" s="52" t="s">
        <v>5</v>
      </c>
      <c r="E1193" s="52" t="s">
        <v>171</v>
      </c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</row>
    <row r="1194">
      <c r="A1194" s="52" t="s">
        <v>39</v>
      </c>
      <c r="B1194" s="56">
        <v>1000.0</v>
      </c>
      <c r="C1194" s="61">
        <v>46181.0</v>
      </c>
      <c r="D1194" s="52" t="s">
        <v>2</v>
      </c>
      <c r="E1194" s="52" t="s">
        <v>55</v>
      </c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</row>
    <row r="1195">
      <c r="A1195" s="52" t="s">
        <v>39</v>
      </c>
      <c r="B1195" s="56">
        <v>-500.0</v>
      </c>
      <c r="C1195" s="61">
        <v>46181.0</v>
      </c>
      <c r="D1195" s="52" t="s">
        <v>3</v>
      </c>
      <c r="E1195" s="55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</row>
    <row r="1196">
      <c r="A1196" s="52" t="s">
        <v>39</v>
      </c>
      <c r="B1196" s="56">
        <v>-1000.0</v>
      </c>
      <c r="C1196" s="61">
        <v>46181.0</v>
      </c>
      <c r="D1196" s="52" t="s">
        <v>3</v>
      </c>
      <c r="E1196" s="52" t="s">
        <v>172</v>
      </c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</row>
    <row r="1197">
      <c r="A1197" s="52" t="s">
        <v>39</v>
      </c>
      <c r="B1197" s="56">
        <v>-2500.0</v>
      </c>
      <c r="C1197" s="61">
        <v>46181.0</v>
      </c>
      <c r="D1197" s="52" t="s">
        <v>14</v>
      </c>
      <c r="E1197" s="55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</row>
    <row r="1198">
      <c r="A1198" s="52" t="s">
        <v>39</v>
      </c>
      <c r="B1198" s="56">
        <v>-1500.0</v>
      </c>
      <c r="C1198" s="61">
        <v>46181.0</v>
      </c>
      <c r="D1198" s="52" t="s">
        <v>16</v>
      </c>
      <c r="E1198" s="55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</row>
    <row r="1199">
      <c r="A1199" s="52" t="s">
        <v>39</v>
      </c>
      <c r="B1199" s="56">
        <v>-3500.0</v>
      </c>
      <c r="C1199" s="61">
        <v>46181.0</v>
      </c>
      <c r="D1199" s="52" t="s">
        <v>19</v>
      </c>
      <c r="E1199" s="55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</row>
    <row r="1200">
      <c r="A1200" s="52" t="s">
        <v>39</v>
      </c>
      <c r="B1200" s="56">
        <v>-2000.0</v>
      </c>
      <c r="C1200" s="61">
        <v>46181.0</v>
      </c>
      <c r="D1200" s="52" t="s">
        <v>21</v>
      </c>
      <c r="E1200" s="55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</row>
    <row r="1201">
      <c r="A1201" s="52" t="s">
        <v>44</v>
      </c>
      <c r="B1201" s="52">
        <v>-13.6</v>
      </c>
      <c r="C1201" s="61">
        <v>46181.0</v>
      </c>
      <c r="D1201" s="52" t="s">
        <v>3</v>
      </c>
      <c r="E1201" s="52" t="s">
        <v>125</v>
      </c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</row>
    <row r="1202">
      <c r="A1202" s="52" t="s">
        <v>44</v>
      </c>
      <c r="B1202" s="52">
        <v>-226.9</v>
      </c>
      <c r="C1202" s="61">
        <v>46181.0</v>
      </c>
      <c r="D1202" s="52" t="s">
        <v>22</v>
      </c>
      <c r="E1202" s="52" t="s">
        <v>173</v>
      </c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</row>
    <row r="1203">
      <c r="A1203" s="52" t="s">
        <v>39</v>
      </c>
      <c r="B1203" s="52">
        <v>-598.69</v>
      </c>
      <c r="C1203" s="61">
        <v>46182.0</v>
      </c>
      <c r="D1203" s="52" t="s">
        <v>22</v>
      </c>
      <c r="E1203" s="52" t="s">
        <v>47</v>
      </c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</row>
    <row r="1204">
      <c r="A1204" s="52" t="s">
        <v>44</v>
      </c>
      <c r="B1204" s="56">
        <v>-6.0</v>
      </c>
      <c r="C1204" s="61">
        <v>46182.0</v>
      </c>
      <c r="D1204" s="52" t="s">
        <v>3</v>
      </c>
      <c r="E1204" s="52" t="s">
        <v>125</v>
      </c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</row>
    <row r="1205">
      <c r="A1205" s="52" t="s">
        <v>44</v>
      </c>
      <c r="B1205" s="52">
        <v>-547.73</v>
      </c>
      <c r="C1205" s="61">
        <v>46182.0</v>
      </c>
      <c r="D1205" s="52" t="s">
        <v>14</v>
      </c>
      <c r="E1205" s="52" t="s">
        <v>173</v>
      </c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</row>
    <row r="1206">
      <c r="A1206" s="52" t="s">
        <v>44</v>
      </c>
      <c r="B1206" s="52">
        <v>-7.5</v>
      </c>
      <c r="C1206" s="61">
        <v>46182.0</v>
      </c>
      <c r="D1206" s="52" t="s">
        <v>14</v>
      </c>
      <c r="E1206" s="52" t="s">
        <v>162</v>
      </c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</row>
    <row r="1207">
      <c r="A1207" s="52" t="s">
        <v>44</v>
      </c>
      <c r="B1207" s="52">
        <v>-210.44</v>
      </c>
      <c r="C1207" s="61">
        <v>46182.0</v>
      </c>
      <c r="D1207" s="52" t="s">
        <v>21</v>
      </c>
      <c r="E1207" s="52" t="s">
        <v>173</v>
      </c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</row>
    <row r="1208">
      <c r="A1208" s="52" t="s">
        <v>36</v>
      </c>
      <c r="B1208" s="52">
        <v>-8032.73</v>
      </c>
      <c r="C1208" s="61">
        <v>46182.0</v>
      </c>
      <c r="D1208" s="52" t="s">
        <v>1</v>
      </c>
      <c r="E1208" s="55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</row>
    <row r="1209">
      <c r="A1209" s="52" t="s">
        <v>36</v>
      </c>
      <c r="B1209" s="52">
        <v>-4257.74</v>
      </c>
      <c r="C1209" s="61">
        <v>46182.0</v>
      </c>
      <c r="D1209" s="52" t="s">
        <v>5</v>
      </c>
      <c r="E1209" s="55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</row>
    <row r="1210">
      <c r="A1210" s="52" t="s">
        <v>36</v>
      </c>
      <c r="B1210" s="52">
        <v>-16656.85</v>
      </c>
      <c r="C1210" s="61">
        <v>46182.0</v>
      </c>
      <c r="D1210" s="52" t="s">
        <v>2</v>
      </c>
      <c r="E1210" s="55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</row>
    <row r="1211">
      <c r="A1211" s="52" t="s">
        <v>36</v>
      </c>
      <c r="B1211" s="52">
        <v>-14860.15</v>
      </c>
      <c r="C1211" s="61">
        <v>46182.0</v>
      </c>
      <c r="D1211" s="52" t="s">
        <v>3</v>
      </c>
      <c r="E1211" s="55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</row>
    <row r="1212">
      <c r="A1212" s="52" t="s">
        <v>36</v>
      </c>
      <c r="B1212" s="52">
        <v>-9388.3</v>
      </c>
      <c r="C1212" s="61">
        <v>46182.0</v>
      </c>
      <c r="D1212" s="52" t="s">
        <v>14</v>
      </c>
      <c r="E1212" s="55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</row>
    <row r="1213">
      <c r="A1213" s="52" t="s">
        <v>36</v>
      </c>
      <c r="B1213" s="52">
        <v>-6615.52</v>
      </c>
      <c r="C1213" s="61">
        <v>46182.0</v>
      </c>
      <c r="D1213" s="52" t="s">
        <v>15</v>
      </c>
      <c r="E1213" s="55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</row>
    <row r="1214">
      <c r="A1214" s="52" t="s">
        <v>36</v>
      </c>
      <c r="B1214" s="52">
        <v>-7706.67</v>
      </c>
      <c r="C1214" s="61">
        <v>46182.0</v>
      </c>
      <c r="D1214" s="52" t="s">
        <v>16</v>
      </c>
      <c r="E1214" s="55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</row>
    <row r="1215">
      <c r="A1215" s="52" t="s">
        <v>36</v>
      </c>
      <c r="B1215" s="52">
        <v>-7383.08</v>
      </c>
      <c r="C1215" s="61">
        <v>46182.0</v>
      </c>
      <c r="D1215" s="52" t="s">
        <v>19</v>
      </c>
      <c r="E1215" s="55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</row>
    <row r="1216">
      <c r="A1216" s="52" t="s">
        <v>36</v>
      </c>
      <c r="B1216" s="52">
        <v>-4622.83</v>
      </c>
      <c r="C1216" s="61">
        <v>46182.0</v>
      </c>
      <c r="D1216" s="52" t="s">
        <v>20</v>
      </c>
      <c r="E1216" s="55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</row>
    <row r="1217">
      <c r="A1217" s="52" t="s">
        <v>36</v>
      </c>
      <c r="B1217" s="52">
        <v>-4953.96</v>
      </c>
      <c r="C1217" s="61">
        <v>46182.0</v>
      </c>
      <c r="D1217" s="52" t="s">
        <v>21</v>
      </c>
      <c r="E1217" s="55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</row>
    <row r="1218">
      <c r="A1218" s="52" t="s">
        <v>36</v>
      </c>
      <c r="B1218" s="52">
        <v>-15667.95</v>
      </c>
      <c r="C1218" s="61">
        <v>46182.0</v>
      </c>
      <c r="D1218" s="52" t="s">
        <v>22</v>
      </c>
      <c r="E1218" s="55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</row>
    <row r="1219">
      <c r="A1219" s="52" t="s">
        <v>65</v>
      </c>
      <c r="B1219" s="52">
        <v>-1681.01</v>
      </c>
      <c r="C1219" s="61">
        <v>46182.0</v>
      </c>
      <c r="D1219" s="52" t="s">
        <v>2</v>
      </c>
      <c r="E1219" s="55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</row>
    <row r="1220">
      <c r="A1220" s="52" t="s">
        <v>65</v>
      </c>
      <c r="B1220" s="52">
        <v>-2974.39</v>
      </c>
      <c r="C1220" s="61">
        <v>46182.0</v>
      </c>
      <c r="D1220" s="52" t="s">
        <v>21</v>
      </c>
      <c r="E1220" s="55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</row>
    <row r="1221">
      <c r="A1221" s="52" t="s">
        <v>65</v>
      </c>
      <c r="B1221" s="52">
        <v>-4227.06</v>
      </c>
      <c r="C1221" s="61">
        <v>46182.0</v>
      </c>
      <c r="D1221" s="52" t="s">
        <v>22</v>
      </c>
      <c r="E1221" s="55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</row>
    <row r="1222">
      <c r="A1222" s="52" t="s">
        <v>44</v>
      </c>
      <c r="B1222" s="56">
        <v>-50000.0</v>
      </c>
      <c r="C1222" s="61">
        <v>46182.0</v>
      </c>
      <c r="D1222" s="52" t="s">
        <v>5</v>
      </c>
      <c r="E1222" s="52" t="s">
        <v>174</v>
      </c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</row>
    <row r="1223">
      <c r="A1223" s="52" t="s">
        <v>37</v>
      </c>
      <c r="B1223" s="56">
        <v>50000.0</v>
      </c>
      <c r="C1223" s="61">
        <v>46182.0</v>
      </c>
      <c r="D1223" s="52" t="s">
        <v>3</v>
      </c>
      <c r="E1223" s="52" t="s">
        <v>175</v>
      </c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</row>
    <row r="1224">
      <c r="A1224" s="63" t="s">
        <v>65</v>
      </c>
      <c r="B1224" s="58">
        <v>968.54</v>
      </c>
      <c r="C1224" s="64">
        <v>46183.0</v>
      </c>
      <c r="D1224" s="63" t="s">
        <v>2</v>
      </c>
      <c r="E1224" s="63" t="s">
        <v>176</v>
      </c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</row>
    <row r="1225">
      <c r="A1225" s="63" t="s">
        <v>65</v>
      </c>
      <c r="B1225" s="58">
        <v>1334.38</v>
      </c>
      <c r="C1225" s="64">
        <v>46183.0</v>
      </c>
      <c r="D1225" s="63" t="s">
        <v>21</v>
      </c>
      <c r="E1225" s="63" t="s">
        <v>176</v>
      </c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</row>
    <row r="1226">
      <c r="A1226" s="63" t="s">
        <v>65</v>
      </c>
      <c r="B1226" s="58">
        <v>4227.06</v>
      </c>
      <c r="C1226" s="64">
        <v>46183.0</v>
      </c>
      <c r="D1226" s="63" t="s">
        <v>22</v>
      </c>
      <c r="E1226" s="63" t="s">
        <v>176</v>
      </c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</row>
    <row r="1227">
      <c r="A1227" s="63" t="s">
        <v>65</v>
      </c>
      <c r="B1227" s="52">
        <v>-3206.99</v>
      </c>
      <c r="C1227" s="64">
        <v>46183.0</v>
      </c>
      <c r="D1227" s="52" t="s">
        <v>1</v>
      </c>
      <c r="E1227" s="52" t="s">
        <v>177</v>
      </c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</row>
    <row r="1228">
      <c r="A1228" s="63" t="s">
        <v>65</v>
      </c>
      <c r="B1228" s="52">
        <v>-4222.29</v>
      </c>
      <c r="C1228" s="64">
        <v>46183.0</v>
      </c>
      <c r="D1228" s="63" t="s">
        <v>22</v>
      </c>
      <c r="E1228" s="52" t="s">
        <v>177</v>
      </c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</row>
    <row r="1229">
      <c r="A1229" s="63" t="s">
        <v>65</v>
      </c>
      <c r="B1229" s="52">
        <v>-1713.64</v>
      </c>
      <c r="C1229" s="64">
        <v>46183.0</v>
      </c>
      <c r="D1229" s="63" t="s">
        <v>21</v>
      </c>
      <c r="E1229" s="52" t="s">
        <v>177</v>
      </c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</row>
    <row r="1230">
      <c r="A1230" s="52" t="s">
        <v>39</v>
      </c>
      <c r="B1230" s="56">
        <v>-500.0</v>
      </c>
      <c r="C1230" s="61">
        <v>46183.0</v>
      </c>
      <c r="D1230" s="52" t="s">
        <v>5</v>
      </c>
      <c r="E1230" s="55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</row>
    <row r="1231">
      <c r="A1231" s="52" t="s">
        <v>39</v>
      </c>
      <c r="B1231" s="56">
        <v>1500.0</v>
      </c>
      <c r="C1231" s="61">
        <v>46183.0</v>
      </c>
      <c r="D1231" s="52" t="s">
        <v>2</v>
      </c>
      <c r="E1231" s="52" t="s">
        <v>55</v>
      </c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</row>
    <row r="1232">
      <c r="A1232" s="52" t="s">
        <v>39</v>
      </c>
      <c r="B1232" s="56">
        <v>-1000.0</v>
      </c>
      <c r="C1232" s="61">
        <v>46183.0</v>
      </c>
      <c r="D1232" s="52" t="s">
        <v>16</v>
      </c>
      <c r="E1232" s="55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</row>
    <row r="1233">
      <c r="A1233" s="52" t="s">
        <v>39</v>
      </c>
      <c r="B1233" s="56">
        <v>-500.0</v>
      </c>
      <c r="C1233" s="61">
        <v>46183.0</v>
      </c>
      <c r="D1233" s="52" t="s">
        <v>21</v>
      </c>
      <c r="E1233" s="55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</row>
    <row r="1234">
      <c r="A1234" s="52" t="s">
        <v>39</v>
      </c>
      <c r="B1234" s="52">
        <v>-817.86</v>
      </c>
      <c r="C1234" s="61">
        <v>46183.0</v>
      </c>
      <c r="D1234" s="52" t="s">
        <v>22</v>
      </c>
      <c r="E1234" s="52" t="s">
        <v>145</v>
      </c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</row>
    <row r="1235">
      <c r="A1235" s="52" t="s">
        <v>44</v>
      </c>
      <c r="B1235" s="56">
        <v>-150.0</v>
      </c>
      <c r="C1235" s="61">
        <v>46183.0</v>
      </c>
      <c r="D1235" s="52" t="s">
        <v>1</v>
      </c>
      <c r="E1235" s="52" t="s">
        <v>178</v>
      </c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</row>
    <row r="1236">
      <c r="A1236" s="52" t="s">
        <v>44</v>
      </c>
      <c r="B1236" s="52">
        <v>-23.1</v>
      </c>
      <c r="C1236" s="61">
        <v>46183.0</v>
      </c>
      <c r="D1236" s="52" t="s">
        <v>3</v>
      </c>
      <c r="E1236" s="52" t="s">
        <v>125</v>
      </c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</row>
    <row r="1237">
      <c r="A1237" s="52" t="s">
        <v>44</v>
      </c>
      <c r="B1237" s="52">
        <v>-51.6</v>
      </c>
      <c r="C1237" s="61">
        <v>46183.0</v>
      </c>
      <c r="D1237" s="52" t="s">
        <v>3</v>
      </c>
      <c r="E1237" s="52" t="s">
        <v>179</v>
      </c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</row>
    <row r="1238">
      <c r="A1238" s="52" t="s">
        <v>44</v>
      </c>
      <c r="B1238" s="56">
        <v>-28.0</v>
      </c>
      <c r="C1238" s="61">
        <v>46183.0</v>
      </c>
      <c r="D1238" s="52" t="s">
        <v>14</v>
      </c>
      <c r="E1238" s="52" t="s">
        <v>180</v>
      </c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</row>
    <row r="1239">
      <c r="A1239" s="52" t="s">
        <v>44</v>
      </c>
      <c r="B1239" s="52">
        <v>-26.5</v>
      </c>
      <c r="C1239" s="61">
        <v>46183.0</v>
      </c>
      <c r="D1239" s="52" t="s">
        <v>14</v>
      </c>
      <c r="E1239" s="52" t="s">
        <v>162</v>
      </c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</row>
    <row r="1240">
      <c r="A1240" s="52" t="s">
        <v>44</v>
      </c>
      <c r="B1240" s="56">
        <v>-239.0</v>
      </c>
      <c r="C1240" s="61">
        <v>46183.0</v>
      </c>
      <c r="D1240" s="52" t="s">
        <v>16</v>
      </c>
      <c r="E1240" s="52" t="s">
        <v>181</v>
      </c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</row>
    <row r="1241">
      <c r="A1241" s="52" t="s">
        <v>39</v>
      </c>
      <c r="B1241" s="56">
        <v>-500.0</v>
      </c>
      <c r="C1241" s="61">
        <v>46185.0</v>
      </c>
      <c r="D1241" s="52" t="s">
        <v>5</v>
      </c>
      <c r="E1241" s="55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</row>
    <row r="1242">
      <c r="A1242" s="52" t="s">
        <v>39</v>
      </c>
      <c r="B1242" s="56">
        <v>-500.0</v>
      </c>
      <c r="C1242" s="61">
        <v>46185.0</v>
      </c>
      <c r="D1242" s="52" t="s">
        <v>19</v>
      </c>
      <c r="E1242" s="55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</row>
    <row r="1243">
      <c r="A1243" s="52" t="s">
        <v>39</v>
      </c>
      <c r="B1243" s="52">
        <v>-624.72</v>
      </c>
      <c r="C1243" s="61">
        <v>46185.0</v>
      </c>
      <c r="D1243" s="52" t="s">
        <v>22</v>
      </c>
      <c r="E1243" s="52" t="s">
        <v>47</v>
      </c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</row>
    <row r="1244">
      <c r="A1244" s="52" t="s">
        <v>44</v>
      </c>
      <c r="B1244" s="56">
        <v>-159.0</v>
      </c>
      <c r="C1244" s="61">
        <v>46185.0</v>
      </c>
      <c r="D1244" s="52" t="s">
        <v>14</v>
      </c>
      <c r="E1244" s="52" t="s">
        <v>162</v>
      </c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</row>
    <row r="1245">
      <c r="A1245" s="52" t="s">
        <v>44</v>
      </c>
      <c r="B1245" s="52">
        <v>-25.45</v>
      </c>
      <c r="C1245" s="61">
        <v>46185.0</v>
      </c>
      <c r="D1245" s="52" t="s">
        <v>21</v>
      </c>
      <c r="E1245" s="52" t="s">
        <v>162</v>
      </c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</row>
    <row r="1246">
      <c r="A1246" s="52" t="s">
        <v>36</v>
      </c>
      <c r="B1246" s="52">
        <v>-8941.67</v>
      </c>
      <c r="C1246" s="61">
        <v>46188.0</v>
      </c>
      <c r="D1246" s="52" t="s">
        <v>1</v>
      </c>
      <c r="E1246" s="55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</row>
    <row r="1247">
      <c r="A1247" s="52" t="s">
        <v>36</v>
      </c>
      <c r="B1247" s="52">
        <v>-4321.31</v>
      </c>
      <c r="C1247" s="61">
        <v>46188.0</v>
      </c>
      <c r="D1247" s="52" t="s">
        <v>5</v>
      </c>
      <c r="E1247" s="55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</row>
    <row r="1248">
      <c r="A1248" s="52" t="s">
        <v>36</v>
      </c>
      <c r="B1248" s="52">
        <v>-17266.75</v>
      </c>
      <c r="C1248" s="61">
        <v>46188.0</v>
      </c>
      <c r="D1248" s="52" t="s">
        <v>2</v>
      </c>
      <c r="E1248" s="55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</row>
    <row r="1249">
      <c r="A1249" s="52" t="s">
        <v>36</v>
      </c>
      <c r="B1249" s="52">
        <v>-12865.81</v>
      </c>
      <c r="C1249" s="61">
        <v>46188.0</v>
      </c>
      <c r="D1249" s="52" t="s">
        <v>3</v>
      </c>
      <c r="E1249" s="55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</row>
    <row r="1250">
      <c r="A1250" s="52" t="s">
        <v>36</v>
      </c>
      <c r="B1250" s="52">
        <v>-10015.53</v>
      </c>
      <c r="C1250" s="61">
        <v>46188.0</v>
      </c>
      <c r="D1250" s="52" t="s">
        <v>14</v>
      </c>
      <c r="E1250" s="55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</row>
    <row r="1251">
      <c r="A1251" s="52" t="s">
        <v>36</v>
      </c>
      <c r="B1251" s="52">
        <v>-6584.57</v>
      </c>
      <c r="C1251" s="61">
        <v>46188.0</v>
      </c>
      <c r="D1251" s="52" t="s">
        <v>15</v>
      </c>
      <c r="E1251" s="55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</row>
    <row r="1252">
      <c r="A1252" s="52" t="s">
        <v>36</v>
      </c>
      <c r="B1252" s="52">
        <v>-7760.29</v>
      </c>
      <c r="C1252" s="61">
        <v>46188.0</v>
      </c>
      <c r="D1252" s="52" t="s">
        <v>16</v>
      </c>
      <c r="E1252" s="55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</row>
    <row r="1253">
      <c r="A1253" s="52" t="s">
        <v>36</v>
      </c>
      <c r="B1253" s="52">
        <v>-7315.16</v>
      </c>
      <c r="C1253" s="61">
        <v>46188.0</v>
      </c>
      <c r="D1253" s="52" t="s">
        <v>19</v>
      </c>
      <c r="E1253" s="55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</row>
    <row r="1254">
      <c r="A1254" s="52" t="s">
        <v>36</v>
      </c>
      <c r="B1254" s="52">
        <v>-5185.28</v>
      </c>
      <c r="C1254" s="61">
        <v>46188.0</v>
      </c>
      <c r="D1254" s="52" t="s">
        <v>20</v>
      </c>
      <c r="E1254" s="55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</row>
    <row r="1255">
      <c r="A1255" s="52" t="s">
        <v>36</v>
      </c>
      <c r="B1255" s="52">
        <v>-6794.82</v>
      </c>
      <c r="C1255" s="61">
        <v>46188.0</v>
      </c>
      <c r="D1255" s="52" t="s">
        <v>21</v>
      </c>
      <c r="E1255" s="55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</row>
    <row r="1256">
      <c r="A1256" s="52" t="s">
        <v>36</v>
      </c>
      <c r="B1256" s="52">
        <v>-15287.86</v>
      </c>
      <c r="C1256" s="61">
        <v>46188.0</v>
      </c>
      <c r="D1256" s="52" t="s">
        <v>22</v>
      </c>
      <c r="E1256" s="55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</row>
    <row r="1257">
      <c r="A1257" s="52" t="s">
        <v>39</v>
      </c>
      <c r="B1257" s="56">
        <v>-2500.0</v>
      </c>
      <c r="C1257" s="61">
        <v>46188.0</v>
      </c>
      <c r="D1257" s="52" t="s">
        <v>5</v>
      </c>
      <c r="E1257" s="55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</row>
    <row r="1258">
      <c r="A1258" s="52" t="s">
        <v>39</v>
      </c>
      <c r="B1258" s="56">
        <v>-500.0</v>
      </c>
      <c r="C1258" s="61">
        <v>46188.0</v>
      </c>
      <c r="D1258" s="52" t="s">
        <v>3</v>
      </c>
      <c r="E1258" s="55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</row>
    <row r="1259">
      <c r="A1259" s="52" t="s">
        <v>39</v>
      </c>
      <c r="B1259" s="56">
        <v>-1500.0</v>
      </c>
      <c r="C1259" s="61">
        <v>46188.0</v>
      </c>
      <c r="D1259" s="52" t="s">
        <v>14</v>
      </c>
      <c r="E1259" s="55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</row>
    <row r="1260">
      <c r="A1260" s="52" t="s">
        <v>39</v>
      </c>
      <c r="B1260" s="56">
        <v>-2000.0</v>
      </c>
      <c r="C1260" s="61">
        <v>46188.0</v>
      </c>
      <c r="D1260" s="52" t="s">
        <v>14</v>
      </c>
      <c r="E1260" s="52" t="s">
        <v>182</v>
      </c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</row>
    <row r="1261">
      <c r="A1261" s="52" t="s">
        <v>39</v>
      </c>
      <c r="B1261" s="56">
        <v>-2000.0</v>
      </c>
      <c r="C1261" s="61">
        <v>46188.0</v>
      </c>
      <c r="D1261" s="52" t="s">
        <v>16</v>
      </c>
      <c r="E1261" s="55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</row>
    <row r="1262">
      <c r="A1262" s="52" t="s">
        <v>39</v>
      </c>
      <c r="B1262" s="56">
        <v>-2500.0</v>
      </c>
      <c r="C1262" s="61">
        <v>46188.0</v>
      </c>
      <c r="D1262" s="52" t="s">
        <v>19</v>
      </c>
      <c r="E1262" s="55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</row>
    <row r="1263">
      <c r="A1263" s="52" t="s">
        <v>39</v>
      </c>
      <c r="B1263" s="56">
        <v>-2000.0</v>
      </c>
      <c r="C1263" s="61">
        <v>46188.0</v>
      </c>
      <c r="D1263" s="52" t="s">
        <v>21</v>
      </c>
      <c r="E1263" s="55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</row>
    <row r="1264">
      <c r="A1264" s="52" t="s">
        <v>39</v>
      </c>
      <c r="B1264" s="56">
        <v>-2000.0</v>
      </c>
      <c r="C1264" s="61">
        <v>46188.0</v>
      </c>
      <c r="D1264" s="52" t="s">
        <v>22</v>
      </c>
      <c r="E1264" s="55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</row>
    <row r="1265">
      <c r="A1265" s="52" t="s">
        <v>65</v>
      </c>
      <c r="B1265" s="52">
        <v>-2721.13</v>
      </c>
      <c r="C1265" s="61">
        <v>46188.0</v>
      </c>
      <c r="D1265" s="52" t="s">
        <v>3</v>
      </c>
      <c r="E1265" s="55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</row>
    <row r="1266">
      <c r="A1266" s="52" t="s">
        <v>65</v>
      </c>
      <c r="B1266" s="52">
        <v>-1756.63</v>
      </c>
      <c r="C1266" s="61">
        <v>46188.0</v>
      </c>
      <c r="D1266" s="52" t="s">
        <v>21</v>
      </c>
      <c r="E1266" s="55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</row>
    <row r="1267">
      <c r="A1267" s="52" t="s">
        <v>44</v>
      </c>
      <c r="B1267" s="52">
        <v>-52.7</v>
      </c>
      <c r="C1267" s="61">
        <v>46188.0</v>
      </c>
      <c r="D1267" s="52" t="s">
        <v>2</v>
      </c>
      <c r="E1267" s="52" t="s">
        <v>183</v>
      </c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</row>
    <row r="1268">
      <c r="A1268" s="52" t="s">
        <v>44</v>
      </c>
      <c r="B1268" s="52">
        <v>-25.5</v>
      </c>
      <c r="C1268" s="61">
        <v>46188.0</v>
      </c>
      <c r="D1268" s="52" t="s">
        <v>14</v>
      </c>
      <c r="E1268" s="52" t="s">
        <v>162</v>
      </c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</row>
    <row r="1269">
      <c r="A1269" s="52" t="s">
        <v>44</v>
      </c>
      <c r="B1269" s="56">
        <v>-59.0</v>
      </c>
      <c r="C1269" s="61">
        <v>46188.0</v>
      </c>
      <c r="D1269" s="52" t="s">
        <v>14</v>
      </c>
      <c r="E1269" s="52" t="s">
        <v>184</v>
      </c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</row>
    <row r="1270">
      <c r="A1270" s="52" t="s">
        <v>44</v>
      </c>
      <c r="B1270" s="56">
        <v>-169.0</v>
      </c>
      <c r="C1270" s="61">
        <v>46188.0</v>
      </c>
      <c r="D1270" s="52" t="s">
        <v>16</v>
      </c>
      <c r="E1270" s="52" t="s">
        <v>59</v>
      </c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</row>
    <row r="1271">
      <c r="A1271" s="52" t="s">
        <v>37</v>
      </c>
      <c r="B1271" s="52">
        <v>42046.5</v>
      </c>
      <c r="C1271" s="61">
        <v>46188.0</v>
      </c>
      <c r="D1271" s="52" t="s">
        <v>1</v>
      </c>
      <c r="E1271" s="52" t="s">
        <v>112</v>
      </c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</row>
    <row r="1272">
      <c r="A1272" s="52" t="s">
        <v>37</v>
      </c>
      <c r="B1272" s="52">
        <v>43692.65</v>
      </c>
      <c r="C1272" s="61">
        <v>46188.0</v>
      </c>
      <c r="D1272" s="52" t="s">
        <v>5</v>
      </c>
      <c r="E1272" s="52" t="s">
        <v>112</v>
      </c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</row>
    <row r="1273">
      <c r="A1273" s="52" t="s">
        <v>37</v>
      </c>
      <c r="B1273" s="52">
        <v>82115.69</v>
      </c>
      <c r="C1273" s="61">
        <v>46188.0</v>
      </c>
      <c r="D1273" s="52" t="s">
        <v>2</v>
      </c>
      <c r="E1273" s="52" t="s">
        <v>112</v>
      </c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</row>
    <row r="1274">
      <c r="A1274" s="52" t="s">
        <v>37</v>
      </c>
      <c r="B1274" s="52">
        <v>81404.61</v>
      </c>
      <c r="C1274" s="61">
        <v>46188.0</v>
      </c>
      <c r="D1274" s="52" t="s">
        <v>3</v>
      </c>
      <c r="E1274" s="52" t="s">
        <v>112</v>
      </c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</row>
    <row r="1275">
      <c r="A1275" s="52" t="s">
        <v>37</v>
      </c>
      <c r="B1275" s="52">
        <v>66907.64</v>
      </c>
      <c r="C1275" s="61">
        <v>46188.0</v>
      </c>
      <c r="D1275" s="52" t="s">
        <v>14</v>
      </c>
      <c r="E1275" s="52" t="s">
        <v>112</v>
      </c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</row>
    <row r="1276">
      <c r="A1276" s="52" t="s">
        <v>37</v>
      </c>
      <c r="B1276" s="52">
        <v>33109.71</v>
      </c>
      <c r="C1276" s="61">
        <v>46188.0</v>
      </c>
      <c r="D1276" s="52" t="s">
        <v>15</v>
      </c>
      <c r="E1276" s="52" t="s">
        <v>112</v>
      </c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</row>
    <row r="1277">
      <c r="A1277" s="52" t="s">
        <v>37</v>
      </c>
      <c r="B1277" s="52">
        <v>56864.05</v>
      </c>
      <c r="C1277" s="61">
        <v>46188.0</v>
      </c>
      <c r="D1277" s="52" t="s">
        <v>16</v>
      </c>
      <c r="E1277" s="52" t="s">
        <v>112</v>
      </c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</row>
    <row r="1278">
      <c r="A1278" s="52" t="s">
        <v>37</v>
      </c>
      <c r="B1278" s="52">
        <v>60407.7</v>
      </c>
      <c r="C1278" s="61">
        <v>46188.0</v>
      </c>
      <c r="D1278" s="52" t="s">
        <v>19</v>
      </c>
      <c r="E1278" s="52" t="s">
        <v>112</v>
      </c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</row>
    <row r="1279">
      <c r="A1279" s="52" t="s">
        <v>37</v>
      </c>
      <c r="B1279" s="52">
        <v>33879.85</v>
      </c>
      <c r="C1279" s="61">
        <v>46188.0</v>
      </c>
      <c r="D1279" s="52" t="s">
        <v>20</v>
      </c>
      <c r="E1279" s="52" t="s">
        <v>112</v>
      </c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</row>
    <row r="1280">
      <c r="A1280" s="52" t="s">
        <v>37</v>
      </c>
      <c r="B1280" s="52">
        <v>57273.11</v>
      </c>
      <c r="C1280" s="61">
        <v>46188.0</v>
      </c>
      <c r="D1280" s="52" t="s">
        <v>21</v>
      </c>
      <c r="E1280" s="52" t="s">
        <v>112</v>
      </c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</row>
    <row r="1281">
      <c r="A1281" s="52" t="s">
        <v>37</v>
      </c>
      <c r="B1281" s="52">
        <v>103912.79</v>
      </c>
      <c r="C1281" s="61">
        <v>46188.0</v>
      </c>
      <c r="D1281" s="52" t="s">
        <v>22</v>
      </c>
      <c r="E1281" s="52" t="s">
        <v>112</v>
      </c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</row>
    <row r="1282">
      <c r="A1282" s="52" t="s">
        <v>39</v>
      </c>
      <c r="B1282" s="52">
        <v>-494.57</v>
      </c>
      <c r="C1282" s="61">
        <v>46189.0</v>
      </c>
      <c r="D1282" s="52" t="s">
        <v>22</v>
      </c>
      <c r="E1282" s="52" t="s">
        <v>47</v>
      </c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</row>
    <row r="1283">
      <c r="A1283" s="52" t="s">
        <v>44</v>
      </c>
      <c r="B1283" s="52">
        <v>-68.5</v>
      </c>
      <c r="C1283" s="61">
        <v>46189.0</v>
      </c>
      <c r="D1283" s="52" t="s">
        <v>14</v>
      </c>
      <c r="E1283" s="52" t="s">
        <v>162</v>
      </c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</row>
    <row r="1284">
      <c r="A1284" s="52" t="s">
        <v>44</v>
      </c>
      <c r="B1284" s="56">
        <v>-1300.0</v>
      </c>
      <c r="C1284" s="61">
        <v>46189.0</v>
      </c>
      <c r="D1284" s="52" t="s">
        <v>22</v>
      </c>
      <c r="E1284" s="52" t="s">
        <v>84</v>
      </c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</row>
    <row r="1285">
      <c r="A1285" s="52" t="s">
        <v>44</v>
      </c>
      <c r="B1285" s="56">
        <v>-76.0</v>
      </c>
      <c r="C1285" s="61">
        <v>46189.0</v>
      </c>
      <c r="D1285" s="52" t="s">
        <v>22</v>
      </c>
      <c r="E1285" s="52" t="s">
        <v>185</v>
      </c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</row>
    <row r="1286">
      <c r="A1286" s="52" t="s">
        <v>39</v>
      </c>
      <c r="B1286" s="52">
        <v>-1000.0</v>
      </c>
      <c r="C1286" s="61">
        <v>46189.0</v>
      </c>
      <c r="D1286" s="52" t="s">
        <v>14</v>
      </c>
      <c r="E1286" s="52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</row>
    <row r="1287">
      <c r="A1287" s="52" t="s">
        <v>39</v>
      </c>
      <c r="B1287" s="56">
        <v>-1000.0</v>
      </c>
      <c r="C1287" s="61">
        <v>46190.0</v>
      </c>
      <c r="D1287" s="52" t="s">
        <v>16</v>
      </c>
      <c r="E1287" s="55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</row>
    <row r="1288">
      <c r="A1288" s="52" t="s">
        <v>39</v>
      </c>
      <c r="B1288" s="56">
        <v>-1500.0</v>
      </c>
      <c r="C1288" s="61">
        <v>46190.0</v>
      </c>
      <c r="D1288" s="52" t="s">
        <v>19</v>
      </c>
      <c r="E1288" s="55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</row>
    <row r="1289">
      <c r="A1289" s="52" t="s">
        <v>39</v>
      </c>
      <c r="B1289" s="56">
        <v>-1000.0</v>
      </c>
      <c r="C1289" s="61">
        <v>46190.0</v>
      </c>
      <c r="D1289" s="52" t="s">
        <v>21</v>
      </c>
      <c r="E1289" s="55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</row>
    <row r="1290">
      <c r="A1290" s="52" t="s">
        <v>39</v>
      </c>
      <c r="B1290" s="52">
        <v>-955.2</v>
      </c>
      <c r="C1290" s="61">
        <v>46190.0</v>
      </c>
      <c r="D1290" s="52" t="s">
        <v>22</v>
      </c>
      <c r="E1290" s="52" t="s">
        <v>145</v>
      </c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</row>
    <row r="1291">
      <c r="A1291" s="52" t="s">
        <v>56</v>
      </c>
      <c r="B1291" s="56">
        <v>-20.0</v>
      </c>
      <c r="C1291" s="61">
        <v>46190.0</v>
      </c>
      <c r="D1291" s="52" t="s">
        <v>5</v>
      </c>
      <c r="E1291" s="52" t="s">
        <v>186</v>
      </c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</row>
    <row r="1292">
      <c r="A1292" s="52" t="s">
        <v>56</v>
      </c>
      <c r="B1292" s="52">
        <v>-14.07</v>
      </c>
      <c r="C1292" s="61">
        <v>46190.0</v>
      </c>
      <c r="D1292" s="52" t="s">
        <v>2</v>
      </c>
      <c r="E1292" s="52" t="s">
        <v>187</v>
      </c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</row>
    <row r="1293">
      <c r="A1293" s="52" t="s">
        <v>56</v>
      </c>
      <c r="B1293" s="52">
        <v>-17.2</v>
      </c>
      <c r="C1293" s="61">
        <v>46190.0</v>
      </c>
      <c r="D1293" s="52" t="s">
        <v>3</v>
      </c>
      <c r="E1293" s="52" t="s">
        <v>186</v>
      </c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</row>
    <row r="1294">
      <c r="A1294" s="52" t="s">
        <v>56</v>
      </c>
      <c r="B1294" s="56">
        <v>-40.0</v>
      </c>
      <c r="C1294" s="61">
        <v>46190.0</v>
      </c>
      <c r="D1294" s="52" t="s">
        <v>14</v>
      </c>
      <c r="E1294" s="52" t="s">
        <v>187</v>
      </c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</row>
    <row r="1295">
      <c r="A1295" s="52" t="s">
        <v>56</v>
      </c>
      <c r="B1295" s="56">
        <v>-93.0</v>
      </c>
      <c r="C1295" s="61">
        <v>46190.0</v>
      </c>
      <c r="D1295" s="52" t="s">
        <v>14</v>
      </c>
      <c r="E1295" s="52" t="s">
        <v>186</v>
      </c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</row>
    <row r="1296">
      <c r="A1296" s="52" t="s">
        <v>56</v>
      </c>
      <c r="B1296" s="56">
        <v>-5.0</v>
      </c>
      <c r="C1296" s="61">
        <v>46190.0</v>
      </c>
      <c r="D1296" s="52" t="s">
        <v>15</v>
      </c>
      <c r="E1296" s="52" t="s">
        <v>187</v>
      </c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</row>
    <row r="1297">
      <c r="A1297" s="52" t="s">
        <v>56</v>
      </c>
      <c r="B1297" s="56">
        <v>-45.0</v>
      </c>
      <c r="C1297" s="61">
        <v>46190.0</v>
      </c>
      <c r="D1297" s="52" t="s">
        <v>16</v>
      </c>
      <c r="E1297" s="52" t="s">
        <v>186</v>
      </c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</row>
    <row r="1298">
      <c r="A1298" s="52" t="s">
        <v>56</v>
      </c>
      <c r="B1298" s="56">
        <v>-71.0</v>
      </c>
      <c r="C1298" s="61">
        <v>46190.0</v>
      </c>
      <c r="D1298" s="52" t="s">
        <v>19</v>
      </c>
      <c r="E1298" s="52" t="s">
        <v>187</v>
      </c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</row>
    <row r="1299">
      <c r="A1299" s="52" t="s">
        <v>56</v>
      </c>
      <c r="B1299" s="56">
        <v>-52.0</v>
      </c>
      <c r="C1299" s="61">
        <v>46190.0</v>
      </c>
      <c r="D1299" s="52" t="s">
        <v>20</v>
      </c>
      <c r="E1299" s="52" t="s">
        <v>187</v>
      </c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</row>
    <row r="1300">
      <c r="A1300" s="52" t="s">
        <v>56</v>
      </c>
      <c r="B1300" s="52">
        <v>-321.91</v>
      </c>
      <c r="C1300" s="61">
        <v>46190.0</v>
      </c>
      <c r="D1300" s="52" t="s">
        <v>21</v>
      </c>
      <c r="E1300" s="52" t="s">
        <v>187</v>
      </c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</row>
    <row r="1301">
      <c r="A1301" s="52" t="s">
        <v>56</v>
      </c>
      <c r="B1301" s="52">
        <v>-60.72</v>
      </c>
      <c r="C1301" s="61">
        <v>46190.0</v>
      </c>
      <c r="D1301" s="52" t="s">
        <v>22</v>
      </c>
      <c r="E1301" s="52" t="s">
        <v>187</v>
      </c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</row>
    <row r="1302">
      <c r="A1302" s="52" t="s">
        <v>56</v>
      </c>
      <c r="B1302" s="56">
        <v>-42.0</v>
      </c>
      <c r="C1302" s="61">
        <v>46190.0</v>
      </c>
      <c r="D1302" s="52" t="s">
        <v>22</v>
      </c>
      <c r="E1302" s="52" t="s">
        <v>186</v>
      </c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</row>
    <row r="1303">
      <c r="A1303" s="52" t="s">
        <v>44</v>
      </c>
      <c r="B1303" s="52">
        <v>-16.97</v>
      </c>
      <c r="C1303" s="61">
        <v>46190.0</v>
      </c>
      <c r="D1303" s="52" t="s">
        <v>3</v>
      </c>
      <c r="E1303" s="52" t="s">
        <v>125</v>
      </c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</row>
    <row r="1304">
      <c r="A1304" s="52" t="s">
        <v>44</v>
      </c>
      <c r="B1304" s="52">
        <v>-48.5</v>
      </c>
      <c r="C1304" s="61">
        <v>46190.0</v>
      </c>
      <c r="D1304" s="52" t="s">
        <v>14</v>
      </c>
      <c r="E1304" s="52" t="s">
        <v>162</v>
      </c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</row>
    <row r="1305">
      <c r="A1305" s="52" t="s">
        <v>44</v>
      </c>
      <c r="B1305" s="56">
        <v>-19.0</v>
      </c>
      <c r="C1305" s="61">
        <v>46191.0</v>
      </c>
      <c r="D1305" s="52" t="s">
        <v>14</v>
      </c>
      <c r="E1305" s="52" t="s">
        <v>162</v>
      </c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</row>
    <row r="1306">
      <c r="A1306" s="52" t="s">
        <v>44</v>
      </c>
      <c r="B1306" s="56">
        <v>-300.0</v>
      </c>
      <c r="C1306" s="61">
        <v>46191.0</v>
      </c>
      <c r="D1306" s="52" t="s">
        <v>19</v>
      </c>
      <c r="E1306" s="52" t="s">
        <v>72</v>
      </c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</row>
    <row r="1307">
      <c r="A1307" s="52" t="s">
        <v>39</v>
      </c>
      <c r="B1307" s="56">
        <v>300.0</v>
      </c>
      <c r="C1307" s="61">
        <v>46192.0</v>
      </c>
      <c r="D1307" s="52" t="s">
        <v>1</v>
      </c>
      <c r="E1307" s="52" t="s">
        <v>55</v>
      </c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</row>
    <row r="1308">
      <c r="A1308" s="52" t="s">
        <v>39</v>
      </c>
      <c r="B1308" s="56">
        <v>-1000.0</v>
      </c>
      <c r="C1308" s="61">
        <v>46192.0</v>
      </c>
      <c r="D1308" s="52" t="s">
        <v>3</v>
      </c>
      <c r="E1308" s="55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</row>
    <row r="1309">
      <c r="A1309" s="52" t="s">
        <v>39</v>
      </c>
      <c r="B1309" s="56">
        <v>-1000.0</v>
      </c>
      <c r="C1309" s="61">
        <v>46192.0</v>
      </c>
      <c r="D1309" s="52" t="s">
        <v>16</v>
      </c>
      <c r="E1309" s="55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</row>
    <row r="1310">
      <c r="A1310" s="52" t="s">
        <v>39</v>
      </c>
      <c r="B1310" s="52">
        <v>-598.69</v>
      </c>
      <c r="C1310" s="61">
        <v>46192.0</v>
      </c>
      <c r="D1310" s="52" t="s">
        <v>22</v>
      </c>
      <c r="E1310" s="52" t="s">
        <v>47</v>
      </c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</row>
    <row r="1311">
      <c r="A1311" s="52" t="s">
        <v>56</v>
      </c>
      <c r="B1311" s="56">
        <v>400.0</v>
      </c>
      <c r="C1311" s="61">
        <v>46192.0</v>
      </c>
      <c r="D1311" s="52" t="s">
        <v>1</v>
      </c>
      <c r="E1311" s="52" t="s">
        <v>73</v>
      </c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</row>
    <row r="1312">
      <c r="A1312" s="52" t="s">
        <v>56</v>
      </c>
      <c r="B1312" s="56">
        <v>700.0</v>
      </c>
      <c r="C1312" s="61">
        <v>46192.0</v>
      </c>
      <c r="D1312" s="52" t="s">
        <v>5</v>
      </c>
      <c r="E1312" s="52" t="s">
        <v>73</v>
      </c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</row>
    <row r="1313">
      <c r="A1313" s="52" t="s">
        <v>56</v>
      </c>
      <c r="B1313" s="56">
        <v>700.0</v>
      </c>
      <c r="C1313" s="61">
        <v>46192.0</v>
      </c>
      <c r="D1313" s="52" t="s">
        <v>2</v>
      </c>
      <c r="E1313" s="52" t="s">
        <v>73</v>
      </c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</row>
    <row r="1314">
      <c r="A1314" s="52" t="s">
        <v>56</v>
      </c>
      <c r="B1314" s="56">
        <v>900.0</v>
      </c>
      <c r="C1314" s="61">
        <v>46192.0</v>
      </c>
      <c r="D1314" s="52" t="s">
        <v>3</v>
      </c>
      <c r="E1314" s="52" t="s">
        <v>73</v>
      </c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</row>
    <row r="1315">
      <c r="A1315" s="52" t="s">
        <v>56</v>
      </c>
      <c r="B1315" s="56">
        <v>600.0</v>
      </c>
      <c r="C1315" s="61">
        <v>46192.0</v>
      </c>
      <c r="D1315" s="52" t="s">
        <v>14</v>
      </c>
      <c r="E1315" s="52" t="s">
        <v>73</v>
      </c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</row>
    <row r="1316">
      <c r="A1316" s="52" t="s">
        <v>56</v>
      </c>
      <c r="B1316" s="56">
        <v>400.0</v>
      </c>
      <c r="C1316" s="61">
        <v>46192.0</v>
      </c>
      <c r="D1316" s="52" t="s">
        <v>15</v>
      </c>
      <c r="E1316" s="52" t="s">
        <v>73</v>
      </c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</row>
    <row r="1317">
      <c r="A1317" s="52" t="s">
        <v>56</v>
      </c>
      <c r="B1317" s="56">
        <v>700.0</v>
      </c>
      <c r="C1317" s="61">
        <v>46192.0</v>
      </c>
      <c r="D1317" s="52" t="s">
        <v>16</v>
      </c>
      <c r="E1317" s="52" t="s">
        <v>73</v>
      </c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</row>
    <row r="1318">
      <c r="A1318" s="52" t="s">
        <v>56</v>
      </c>
      <c r="B1318" s="56">
        <v>800.0</v>
      </c>
      <c r="C1318" s="61">
        <v>46192.0</v>
      </c>
      <c r="D1318" s="52" t="s">
        <v>19</v>
      </c>
      <c r="E1318" s="52" t="s">
        <v>73</v>
      </c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</row>
    <row r="1319">
      <c r="A1319" s="52" t="s">
        <v>56</v>
      </c>
      <c r="B1319" s="56">
        <v>500.0</v>
      </c>
      <c r="C1319" s="61">
        <v>46192.0</v>
      </c>
      <c r="D1319" s="52" t="s">
        <v>20</v>
      </c>
      <c r="E1319" s="52" t="s">
        <v>73</v>
      </c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</row>
    <row r="1320">
      <c r="A1320" s="52" t="s">
        <v>56</v>
      </c>
      <c r="B1320" s="56">
        <v>800.0</v>
      </c>
      <c r="C1320" s="61">
        <v>46192.0</v>
      </c>
      <c r="D1320" s="52" t="s">
        <v>21</v>
      </c>
      <c r="E1320" s="52" t="s">
        <v>73</v>
      </c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</row>
    <row r="1321">
      <c r="A1321" s="52" t="s">
        <v>56</v>
      </c>
      <c r="B1321" s="56">
        <v>1000.0</v>
      </c>
      <c r="C1321" s="61">
        <v>46192.0</v>
      </c>
      <c r="D1321" s="52" t="s">
        <v>22</v>
      </c>
      <c r="E1321" s="52" t="s">
        <v>73</v>
      </c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</row>
    <row r="1322">
      <c r="A1322" s="52" t="s">
        <v>44</v>
      </c>
      <c r="B1322" s="52">
        <v>-29.9</v>
      </c>
      <c r="C1322" s="61">
        <v>46192.0</v>
      </c>
      <c r="D1322" s="52" t="s">
        <v>3</v>
      </c>
      <c r="E1322" s="52" t="s">
        <v>125</v>
      </c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</row>
    <row r="1323">
      <c r="A1323" s="52" t="s">
        <v>44</v>
      </c>
      <c r="B1323" s="56">
        <v>-145.0</v>
      </c>
      <c r="C1323" s="61">
        <v>46192.0</v>
      </c>
      <c r="D1323" s="52" t="s">
        <v>14</v>
      </c>
      <c r="E1323" s="52" t="s">
        <v>162</v>
      </c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</row>
    <row r="1324">
      <c r="A1324" s="52" t="s">
        <v>36</v>
      </c>
      <c r="B1324" s="52">
        <v>-8216.53</v>
      </c>
      <c r="C1324" s="61">
        <v>46195.0</v>
      </c>
      <c r="D1324" s="52" t="s">
        <v>1</v>
      </c>
      <c r="E1324" s="55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</row>
    <row r="1325">
      <c r="A1325" s="52" t="s">
        <v>36</v>
      </c>
      <c r="B1325" s="52">
        <v>-4055.46</v>
      </c>
      <c r="C1325" s="61">
        <v>46195.0</v>
      </c>
      <c r="D1325" s="52" t="s">
        <v>5</v>
      </c>
      <c r="E1325" s="55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</row>
    <row r="1326">
      <c r="A1326" s="52" t="s">
        <v>36</v>
      </c>
      <c r="B1326" s="52">
        <v>-16029.97</v>
      </c>
      <c r="C1326" s="61">
        <v>46195.0</v>
      </c>
      <c r="D1326" s="52" t="s">
        <v>2</v>
      </c>
      <c r="E1326" s="55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</row>
    <row r="1327">
      <c r="A1327" s="52" t="s">
        <v>36</v>
      </c>
      <c r="B1327" s="52">
        <v>-13672.03</v>
      </c>
      <c r="C1327" s="61">
        <v>46195.0</v>
      </c>
      <c r="D1327" s="52" t="s">
        <v>3</v>
      </c>
      <c r="E1327" s="55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</row>
    <row r="1328">
      <c r="A1328" s="52" t="s">
        <v>36</v>
      </c>
      <c r="B1328" s="52">
        <v>-10080.03</v>
      </c>
      <c r="C1328" s="61">
        <v>46195.0</v>
      </c>
      <c r="D1328" s="52" t="s">
        <v>14</v>
      </c>
      <c r="E1328" s="55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</row>
    <row r="1329">
      <c r="A1329" s="52" t="s">
        <v>36</v>
      </c>
      <c r="B1329" s="52">
        <v>-3888.4</v>
      </c>
      <c r="C1329" s="61">
        <v>46195.0</v>
      </c>
      <c r="D1329" s="52" t="s">
        <v>15</v>
      </c>
      <c r="E1329" s="55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</row>
    <row r="1330">
      <c r="A1330" s="52" t="s">
        <v>36</v>
      </c>
      <c r="B1330" s="52">
        <v>-6750.96</v>
      </c>
      <c r="C1330" s="61">
        <v>46195.0</v>
      </c>
      <c r="D1330" s="52" t="s">
        <v>16</v>
      </c>
      <c r="E1330" s="55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</row>
    <row r="1331">
      <c r="A1331" s="52" t="s">
        <v>36</v>
      </c>
      <c r="B1331" s="52">
        <v>-3318.2</v>
      </c>
      <c r="C1331" s="61">
        <v>46195.0</v>
      </c>
      <c r="D1331" s="52" t="s">
        <v>19</v>
      </c>
      <c r="E1331" s="55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</row>
    <row r="1332">
      <c r="A1332" s="52" t="s">
        <v>36</v>
      </c>
      <c r="B1332" s="52">
        <v>-5207.72</v>
      </c>
      <c r="C1332" s="61">
        <v>46195.0</v>
      </c>
      <c r="D1332" s="52" t="s">
        <v>20</v>
      </c>
      <c r="E1332" s="55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</row>
    <row r="1333">
      <c r="A1333" s="52" t="s">
        <v>36</v>
      </c>
      <c r="B1333" s="52">
        <v>-5365.7</v>
      </c>
      <c r="C1333" s="61">
        <v>46195.0</v>
      </c>
      <c r="D1333" s="52" t="s">
        <v>21</v>
      </c>
      <c r="E1333" s="55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</row>
    <row r="1334">
      <c r="A1334" s="52" t="s">
        <v>36</v>
      </c>
      <c r="B1334" s="52">
        <v>-15656.51</v>
      </c>
      <c r="C1334" s="61">
        <v>46195.0</v>
      </c>
      <c r="D1334" s="52" t="s">
        <v>22</v>
      </c>
      <c r="E1334" s="55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</row>
    <row r="1335">
      <c r="A1335" s="52" t="s">
        <v>39</v>
      </c>
      <c r="B1335" s="56">
        <v>-2500.0</v>
      </c>
      <c r="C1335" s="61">
        <v>46195.0</v>
      </c>
      <c r="D1335" s="52" t="s">
        <v>5</v>
      </c>
      <c r="E1335" s="55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</row>
    <row r="1336">
      <c r="A1336" s="52" t="s">
        <v>39</v>
      </c>
      <c r="B1336" s="56">
        <v>1000.0</v>
      </c>
      <c r="C1336" s="61">
        <v>46195.0</v>
      </c>
      <c r="D1336" s="52" t="s">
        <v>2</v>
      </c>
      <c r="E1336" s="52" t="s">
        <v>55</v>
      </c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</row>
    <row r="1337">
      <c r="A1337" s="52" t="s">
        <v>39</v>
      </c>
      <c r="B1337" s="56">
        <v>-500.0</v>
      </c>
      <c r="C1337" s="61">
        <v>46195.0</v>
      </c>
      <c r="D1337" s="52" t="s">
        <v>3</v>
      </c>
      <c r="E1337" s="55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</row>
    <row r="1338">
      <c r="A1338" s="52" t="s">
        <v>39</v>
      </c>
      <c r="B1338" s="56">
        <v>-1000.0</v>
      </c>
      <c r="C1338" s="61">
        <v>46195.0</v>
      </c>
      <c r="D1338" s="52" t="s">
        <v>14</v>
      </c>
      <c r="E1338" s="55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</row>
    <row r="1339">
      <c r="A1339" s="52" t="s">
        <v>39</v>
      </c>
      <c r="B1339" s="56">
        <v>-1000.0</v>
      </c>
      <c r="C1339" s="61">
        <v>46195.0</v>
      </c>
      <c r="D1339" s="52" t="s">
        <v>14</v>
      </c>
      <c r="E1339" s="52" t="s">
        <v>188</v>
      </c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</row>
    <row r="1340">
      <c r="A1340" s="52" t="s">
        <v>39</v>
      </c>
      <c r="B1340" s="56">
        <v>-2000.0</v>
      </c>
      <c r="C1340" s="61">
        <v>46195.0</v>
      </c>
      <c r="D1340" s="52" t="s">
        <v>16</v>
      </c>
      <c r="E1340" s="55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</row>
    <row r="1341">
      <c r="A1341" s="52" t="s">
        <v>39</v>
      </c>
      <c r="B1341" s="56">
        <v>-2700.0</v>
      </c>
      <c r="C1341" s="61">
        <v>46195.0</v>
      </c>
      <c r="D1341" s="52" t="s">
        <v>19</v>
      </c>
      <c r="E1341" s="55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</row>
    <row r="1342">
      <c r="A1342" s="52" t="s">
        <v>39</v>
      </c>
      <c r="B1342" s="56">
        <v>-1500.0</v>
      </c>
      <c r="C1342" s="61">
        <v>46195.0</v>
      </c>
      <c r="D1342" s="52" t="s">
        <v>21</v>
      </c>
      <c r="E1342" s="55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</row>
    <row r="1343">
      <c r="A1343" s="52" t="s">
        <v>39</v>
      </c>
      <c r="B1343" s="56">
        <v>-2500.0</v>
      </c>
      <c r="C1343" s="61">
        <v>46195.0</v>
      </c>
      <c r="D1343" s="52" t="s">
        <v>22</v>
      </c>
      <c r="E1343" s="55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</row>
    <row r="1344">
      <c r="A1344" s="52" t="s">
        <v>65</v>
      </c>
      <c r="B1344" s="52">
        <v>-1860.22</v>
      </c>
      <c r="C1344" s="61">
        <v>46195.0</v>
      </c>
      <c r="D1344" s="52" t="s">
        <v>15</v>
      </c>
      <c r="E1344" s="55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</row>
    <row r="1345">
      <c r="A1345" s="52" t="s">
        <v>65</v>
      </c>
      <c r="B1345" s="52">
        <v>-2723.83</v>
      </c>
      <c r="C1345" s="61">
        <v>46195.0</v>
      </c>
      <c r="D1345" s="52" t="s">
        <v>19</v>
      </c>
      <c r="E1345" s="55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</row>
    <row r="1346">
      <c r="A1346" s="52" t="s">
        <v>65</v>
      </c>
      <c r="B1346" s="52">
        <v>-1454.58</v>
      </c>
      <c r="C1346" s="61">
        <v>46195.0</v>
      </c>
      <c r="D1346" s="52" t="s">
        <v>21</v>
      </c>
      <c r="E1346" s="55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</row>
    <row r="1347">
      <c r="A1347" s="52" t="s">
        <v>44</v>
      </c>
      <c r="B1347" s="56">
        <v>-150.0</v>
      </c>
      <c r="C1347" s="61">
        <v>46195.0</v>
      </c>
      <c r="D1347" s="52" t="s">
        <v>3</v>
      </c>
      <c r="E1347" s="52" t="s">
        <v>74</v>
      </c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</row>
    <row r="1348">
      <c r="A1348" s="52" t="s">
        <v>44</v>
      </c>
      <c r="B1348" s="56">
        <v>-416.0</v>
      </c>
      <c r="C1348" s="61">
        <v>46195.0</v>
      </c>
      <c r="D1348" s="52" t="s">
        <v>14</v>
      </c>
      <c r="E1348" s="52" t="s">
        <v>162</v>
      </c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</row>
    <row r="1349">
      <c r="A1349" s="52" t="s">
        <v>44</v>
      </c>
      <c r="B1349" s="56">
        <v>-300.0</v>
      </c>
      <c r="C1349" s="61">
        <v>46195.0</v>
      </c>
      <c r="D1349" s="52" t="s">
        <v>21</v>
      </c>
      <c r="E1349" s="52" t="s">
        <v>77</v>
      </c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</row>
    <row r="1350">
      <c r="A1350" s="52" t="s">
        <v>39</v>
      </c>
      <c r="B1350" s="56">
        <v>-500.0</v>
      </c>
      <c r="C1350" s="61">
        <v>46197.0</v>
      </c>
      <c r="D1350" s="52" t="s">
        <v>14</v>
      </c>
      <c r="E1350" s="55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</row>
    <row r="1351">
      <c r="A1351" s="52" t="s">
        <v>39</v>
      </c>
      <c r="B1351" s="56">
        <v>-500.0</v>
      </c>
      <c r="C1351" s="61">
        <v>46197.0</v>
      </c>
      <c r="D1351" s="52" t="s">
        <v>14</v>
      </c>
      <c r="E1351" s="52" t="s">
        <v>189</v>
      </c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</row>
    <row r="1352">
      <c r="A1352" s="52" t="s">
        <v>39</v>
      </c>
      <c r="B1352" s="56">
        <v>-1000.0</v>
      </c>
      <c r="C1352" s="61">
        <v>46197.0</v>
      </c>
      <c r="D1352" s="52" t="s">
        <v>16</v>
      </c>
      <c r="E1352" s="55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</row>
    <row r="1353">
      <c r="A1353" s="52" t="s">
        <v>39</v>
      </c>
      <c r="B1353" s="56">
        <v>-500.0</v>
      </c>
      <c r="C1353" s="61">
        <v>46197.0</v>
      </c>
      <c r="D1353" s="52" t="s">
        <v>21</v>
      </c>
      <c r="E1353" s="55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</row>
    <row r="1354">
      <c r="A1354" s="52" t="s">
        <v>39</v>
      </c>
      <c r="B1354" s="52">
        <v>-364.42</v>
      </c>
      <c r="C1354" s="61">
        <v>46197.0</v>
      </c>
      <c r="D1354" s="52" t="s">
        <v>22</v>
      </c>
      <c r="E1354" s="52" t="s">
        <v>47</v>
      </c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</row>
    <row r="1355">
      <c r="A1355" s="52" t="s">
        <v>56</v>
      </c>
      <c r="B1355" s="52">
        <v>-12.11</v>
      </c>
      <c r="C1355" s="61">
        <v>46197.0</v>
      </c>
      <c r="D1355" s="52" t="s">
        <v>3</v>
      </c>
      <c r="E1355" s="55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</row>
    <row r="1356">
      <c r="A1356" s="52" t="s">
        <v>56</v>
      </c>
      <c r="B1356" s="56">
        <v>-45.0</v>
      </c>
      <c r="C1356" s="61">
        <v>46197.0</v>
      </c>
      <c r="D1356" s="52" t="s">
        <v>16</v>
      </c>
      <c r="E1356" s="55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</row>
    <row r="1357">
      <c r="A1357" s="52" t="s">
        <v>56</v>
      </c>
      <c r="B1357" s="56">
        <v>-69.0</v>
      </c>
      <c r="C1357" s="61">
        <v>46197.0</v>
      </c>
      <c r="D1357" s="52" t="s">
        <v>19</v>
      </c>
      <c r="E1357" s="55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</row>
    <row r="1358">
      <c r="A1358" s="52" t="s">
        <v>56</v>
      </c>
      <c r="B1358" s="56">
        <v>-20.0</v>
      </c>
      <c r="C1358" s="61">
        <v>46197.0</v>
      </c>
      <c r="D1358" s="52" t="s">
        <v>20</v>
      </c>
      <c r="E1358" s="55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</row>
    <row r="1359">
      <c r="A1359" s="52" t="s">
        <v>56</v>
      </c>
      <c r="B1359" s="52">
        <v>-417.48</v>
      </c>
      <c r="C1359" s="61">
        <v>46197.0</v>
      </c>
      <c r="D1359" s="52" t="s">
        <v>21</v>
      </c>
      <c r="E1359" s="55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</row>
    <row r="1360">
      <c r="A1360" s="52" t="s">
        <v>56</v>
      </c>
      <c r="B1360" s="56">
        <v>-63.0</v>
      </c>
      <c r="C1360" s="61">
        <v>46197.0</v>
      </c>
      <c r="D1360" s="52" t="s">
        <v>22</v>
      </c>
      <c r="E1360" s="55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</row>
    <row r="1361">
      <c r="A1361" s="52" t="s">
        <v>44</v>
      </c>
      <c r="B1361" s="56">
        <v>-100.0</v>
      </c>
      <c r="C1361" s="61">
        <v>46197.0</v>
      </c>
      <c r="D1361" s="52" t="s">
        <v>16</v>
      </c>
      <c r="E1361" s="52" t="s">
        <v>75</v>
      </c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</row>
    <row r="1362">
      <c r="A1362" s="52" t="s">
        <v>44</v>
      </c>
      <c r="B1362" s="56">
        <v>-169.0</v>
      </c>
      <c r="C1362" s="61">
        <v>46197.0</v>
      </c>
      <c r="D1362" s="52" t="s">
        <v>16</v>
      </c>
      <c r="E1362" s="52" t="s">
        <v>59</v>
      </c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</row>
    <row r="1363">
      <c r="A1363" s="52" t="s">
        <v>44</v>
      </c>
      <c r="B1363" s="52">
        <v>-135.1</v>
      </c>
      <c r="C1363" s="61">
        <v>46198.0</v>
      </c>
      <c r="D1363" s="52" t="s">
        <v>16</v>
      </c>
      <c r="E1363" s="52" t="s">
        <v>104</v>
      </c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</row>
    <row r="1364">
      <c r="A1364" s="52" t="s">
        <v>39</v>
      </c>
      <c r="B1364" s="56">
        <v>-500.0</v>
      </c>
      <c r="C1364" s="61">
        <v>46199.0</v>
      </c>
      <c r="D1364" s="52" t="s">
        <v>5</v>
      </c>
      <c r="E1364" s="55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</row>
    <row r="1365">
      <c r="A1365" s="52" t="s">
        <v>39</v>
      </c>
      <c r="B1365" s="56">
        <v>2000.0</v>
      </c>
      <c r="C1365" s="61">
        <v>46199.0</v>
      </c>
      <c r="D1365" s="52" t="s">
        <v>2</v>
      </c>
      <c r="E1365" s="52" t="s">
        <v>55</v>
      </c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</row>
    <row r="1366">
      <c r="A1366" s="52" t="s">
        <v>39</v>
      </c>
      <c r="B1366" s="56">
        <v>-500.0</v>
      </c>
      <c r="C1366" s="61">
        <v>46199.0</v>
      </c>
      <c r="D1366" s="52" t="s">
        <v>14</v>
      </c>
      <c r="E1366" s="55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</row>
    <row r="1367">
      <c r="A1367" s="52" t="s">
        <v>39</v>
      </c>
      <c r="B1367" s="56">
        <v>700.0</v>
      </c>
      <c r="C1367" s="61">
        <v>46199.0</v>
      </c>
      <c r="D1367" s="52" t="s">
        <v>15</v>
      </c>
      <c r="E1367" s="52" t="s">
        <v>55</v>
      </c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</row>
    <row r="1368">
      <c r="A1368" s="52" t="s">
        <v>39</v>
      </c>
      <c r="B1368" s="56">
        <v>700.0</v>
      </c>
      <c r="C1368" s="61">
        <v>46199.0</v>
      </c>
      <c r="D1368" s="52" t="s">
        <v>20</v>
      </c>
      <c r="E1368" s="52" t="s">
        <v>55</v>
      </c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</row>
    <row r="1369">
      <c r="A1369" s="52" t="s">
        <v>39</v>
      </c>
      <c r="B1369" s="56">
        <v>-390.45</v>
      </c>
      <c r="C1369" s="61">
        <v>46199.0</v>
      </c>
      <c r="D1369" s="52" t="s">
        <v>22</v>
      </c>
      <c r="E1369" s="52" t="s">
        <v>47</v>
      </c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</row>
    <row r="1370">
      <c r="A1370" s="52" t="s">
        <v>44</v>
      </c>
      <c r="B1370" s="56">
        <v>-130.0</v>
      </c>
      <c r="C1370" s="61">
        <v>46199.0</v>
      </c>
      <c r="D1370" s="52" t="s">
        <v>14</v>
      </c>
      <c r="E1370" s="52" t="s">
        <v>48</v>
      </c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</row>
    <row r="1371">
      <c r="A1371" s="52" t="s">
        <v>44</v>
      </c>
      <c r="B1371" s="56">
        <v>-40.0</v>
      </c>
      <c r="C1371" s="61">
        <v>46199.0</v>
      </c>
      <c r="D1371" s="52" t="s">
        <v>22</v>
      </c>
      <c r="E1371" s="55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</row>
    <row r="1372">
      <c r="A1372" s="52" t="s">
        <v>39</v>
      </c>
      <c r="B1372" s="52">
        <v>-700.0</v>
      </c>
      <c r="C1372" s="61">
        <v>46200.0</v>
      </c>
      <c r="D1372" s="52" t="s">
        <v>16</v>
      </c>
      <c r="E1372" s="52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</row>
    <row r="1373">
      <c r="A1373" s="52" t="s">
        <v>36</v>
      </c>
      <c r="B1373" s="52">
        <v>-5468.02</v>
      </c>
      <c r="C1373" s="61">
        <v>46202.0</v>
      </c>
      <c r="D1373" s="52" t="s">
        <v>1</v>
      </c>
      <c r="E1373" s="55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</row>
    <row r="1374">
      <c r="A1374" s="52" t="s">
        <v>36</v>
      </c>
      <c r="B1374" s="52">
        <v>-4324.32</v>
      </c>
      <c r="C1374" s="61">
        <v>46202.0</v>
      </c>
      <c r="D1374" s="52" t="s">
        <v>5</v>
      </c>
      <c r="E1374" s="55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</row>
    <row r="1375">
      <c r="A1375" s="52" t="s">
        <v>36</v>
      </c>
      <c r="B1375" s="52">
        <v>-16990.94</v>
      </c>
      <c r="C1375" s="61">
        <v>46202.0</v>
      </c>
      <c r="D1375" s="52" t="s">
        <v>2</v>
      </c>
      <c r="E1375" s="55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</row>
    <row r="1376">
      <c r="A1376" s="52" t="s">
        <v>36</v>
      </c>
      <c r="B1376" s="52">
        <v>-13849.97</v>
      </c>
      <c r="C1376" s="61">
        <v>46202.0</v>
      </c>
      <c r="D1376" s="52" t="s">
        <v>3</v>
      </c>
      <c r="E1376" s="55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</row>
    <row r="1377">
      <c r="A1377" s="52" t="s">
        <v>36</v>
      </c>
      <c r="B1377" s="52">
        <v>-8806.34</v>
      </c>
      <c r="C1377" s="61">
        <v>46202.0</v>
      </c>
      <c r="D1377" s="52" t="s">
        <v>14</v>
      </c>
      <c r="E1377" s="55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</row>
    <row r="1378">
      <c r="A1378" s="52" t="s">
        <v>36</v>
      </c>
      <c r="B1378" s="52">
        <v>-6510.97</v>
      </c>
      <c r="C1378" s="61">
        <v>46202.0</v>
      </c>
      <c r="D1378" s="52" t="s">
        <v>15</v>
      </c>
      <c r="E1378" s="55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</row>
    <row r="1379">
      <c r="A1379" s="52" t="s">
        <v>36</v>
      </c>
      <c r="B1379" s="52">
        <v>-7654.28</v>
      </c>
      <c r="C1379" s="61">
        <v>46202.0</v>
      </c>
      <c r="D1379" s="52" t="s">
        <v>16</v>
      </c>
      <c r="E1379" s="55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</row>
    <row r="1380">
      <c r="A1380" s="52" t="s">
        <v>36</v>
      </c>
      <c r="B1380" s="52">
        <v>-6756.03</v>
      </c>
      <c r="C1380" s="61">
        <v>46202.0</v>
      </c>
      <c r="D1380" s="52" t="s">
        <v>19</v>
      </c>
      <c r="E1380" s="55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</row>
    <row r="1381">
      <c r="A1381" s="52" t="s">
        <v>36</v>
      </c>
      <c r="B1381" s="52">
        <v>-4975.88</v>
      </c>
      <c r="C1381" s="61">
        <v>46202.0</v>
      </c>
      <c r="D1381" s="52" t="s">
        <v>20</v>
      </c>
      <c r="E1381" s="55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</row>
    <row r="1382">
      <c r="A1382" s="52" t="s">
        <v>36</v>
      </c>
      <c r="B1382" s="52">
        <v>-6389.25</v>
      </c>
      <c r="C1382" s="61">
        <v>46202.0</v>
      </c>
      <c r="D1382" s="52" t="s">
        <v>21</v>
      </c>
      <c r="E1382" s="55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</row>
    <row r="1383">
      <c r="A1383" s="52" t="s">
        <v>36</v>
      </c>
      <c r="B1383" s="52">
        <v>-15452.63</v>
      </c>
      <c r="C1383" s="61">
        <v>46202.0</v>
      </c>
      <c r="D1383" s="52" t="s">
        <v>22</v>
      </c>
      <c r="E1383" s="55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</row>
    <row r="1384">
      <c r="A1384" s="52" t="s">
        <v>39</v>
      </c>
      <c r="B1384" s="56">
        <v>-2000.0</v>
      </c>
      <c r="C1384" s="61">
        <v>46202.0</v>
      </c>
      <c r="D1384" s="52" t="s">
        <v>5</v>
      </c>
      <c r="E1384" s="55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</row>
    <row r="1385">
      <c r="A1385" s="52" t="s">
        <v>39</v>
      </c>
      <c r="B1385" s="56">
        <v>-1000.0</v>
      </c>
      <c r="C1385" s="61">
        <v>46202.0</v>
      </c>
      <c r="D1385" s="52" t="s">
        <v>14</v>
      </c>
      <c r="E1385" s="55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</row>
    <row r="1386">
      <c r="A1386" s="52" t="s">
        <v>39</v>
      </c>
      <c r="B1386" s="56">
        <v>-1000.0</v>
      </c>
      <c r="C1386" s="61">
        <v>46202.0</v>
      </c>
      <c r="D1386" s="52" t="s">
        <v>14</v>
      </c>
      <c r="E1386" s="52" t="s">
        <v>190</v>
      </c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</row>
    <row r="1387">
      <c r="A1387" s="52" t="s">
        <v>39</v>
      </c>
      <c r="B1387" s="56">
        <v>-2000.0</v>
      </c>
      <c r="C1387" s="61">
        <v>46202.0</v>
      </c>
      <c r="D1387" s="52" t="s">
        <v>16</v>
      </c>
      <c r="E1387" s="55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</row>
    <row r="1388">
      <c r="A1388" s="52" t="s">
        <v>39</v>
      </c>
      <c r="B1388" s="56">
        <v>-2000.0</v>
      </c>
      <c r="C1388" s="61">
        <v>46202.0</v>
      </c>
      <c r="D1388" s="52" t="s">
        <v>19</v>
      </c>
      <c r="E1388" s="55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</row>
    <row r="1389">
      <c r="A1389" s="52" t="s">
        <v>39</v>
      </c>
      <c r="B1389" s="56">
        <v>-1000.0</v>
      </c>
      <c r="C1389" s="61">
        <v>46202.0</v>
      </c>
      <c r="D1389" s="52" t="s">
        <v>21</v>
      </c>
      <c r="E1389" s="55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</row>
    <row r="1390">
      <c r="A1390" s="52" t="s">
        <v>39</v>
      </c>
      <c r="B1390" s="56">
        <v>-2000.0</v>
      </c>
      <c r="C1390" s="61">
        <v>46202.0</v>
      </c>
      <c r="D1390" s="52" t="s">
        <v>22</v>
      </c>
      <c r="E1390" s="55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</row>
    <row r="1391">
      <c r="A1391" s="52" t="s">
        <v>65</v>
      </c>
      <c r="B1391" s="52">
        <v>-2150.9</v>
      </c>
      <c r="C1391" s="61">
        <v>46202.0</v>
      </c>
      <c r="D1391" s="52" t="s">
        <v>1</v>
      </c>
      <c r="E1391" s="55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</row>
    <row r="1392">
      <c r="A1392" s="52" t="s">
        <v>65</v>
      </c>
      <c r="B1392" s="52">
        <v>-992.78</v>
      </c>
      <c r="C1392" s="61">
        <v>46202.0</v>
      </c>
      <c r="D1392" s="52" t="s">
        <v>19</v>
      </c>
      <c r="E1392" s="55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</row>
    <row r="1393">
      <c r="A1393" s="52" t="s">
        <v>65</v>
      </c>
      <c r="B1393" s="52">
        <v>-553.71</v>
      </c>
      <c r="C1393" s="61">
        <v>46202.0</v>
      </c>
      <c r="D1393" s="52" t="s">
        <v>21</v>
      </c>
      <c r="E1393" s="55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</row>
    <row r="1394">
      <c r="A1394" s="52" t="s">
        <v>39</v>
      </c>
      <c r="B1394" s="52">
        <v>-442.51</v>
      </c>
      <c r="C1394" s="61">
        <v>46203.0</v>
      </c>
      <c r="D1394" s="52" t="s">
        <v>22</v>
      </c>
      <c r="E1394" s="52" t="s">
        <v>47</v>
      </c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</row>
    <row r="1395">
      <c r="A1395" s="52" t="s">
        <v>44</v>
      </c>
      <c r="B1395" s="52">
        <v>-27.7</v>
      </c>
      <c r="C1395" s="61">
        <v>46203.0</v>
      </c>
      <c r="D1395" s="52" t="s">
        <v>3</v>
      </c>
      <c r="E1395" s="52" t="s">
        <v>125</v>
      </c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</row>
    <row r="1396">
      <c r="A1396" s="52" t="s">
        <v>44</v>
      </c>
      <c r="B1396" s="52">
        <v>-2888.71</v>
      </c>
      <c r="C1396" s="61">
        <v>46203.0</v>
      </c>
      <c r="D1396" s="52" t="s">
        <v>3</v>
      </c>
      <c r="E1396" s="52" t="s">
        <v>117</v>
      </c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</row>
    <row r="1397">
      <c r="A1397" s="52" t="s">
        <v>44</v>
      </c>
      <c r="B1397" s="52">
        <v>-71.5</v>
      </c>
      <c r="C1397" s="61">
        <v>46203.0</v>
      </c>
      <c r="D1397" s="52" t="s">
        <v>14</v>
      </c>
      <c r="E1397" s="52" t="s">
        <v>162</v>
      </c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</row>
    <row r="1398">
      <c r="A1398" s="52" t="s">
        <v>39</v>
      </c>
      <c r="B1398" s="56">
        <v>-1000.0</v>
      </c>
      <c r="C1398" s="61">
        <v>46204.0</v>
      </c>
      <c r="D1398" s="52" t="s">
        <v>5</v>
      </c>
      <c r="E1398" s="55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</row>
    <row r="1399">
      <c r="A1399" s="52" t="s">
        <v>39</v>
      </c>
      <c r="B1399" s="56">
        <v>1000.0</v>
      </c>
      <c r="C1399" s="61">
        <v>46204.0</v>
      </c>
      <c r="D1399" s="52" t="s">
        <v>2</v>
      </c>
      <c r="E1399" s="52" t="s">
        <v>55</v>
      </c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</row>
    <row r="1400">
      <c r="A1400" s="52" t="s">
        <v>39</v>
      </c>
      <c r="B1400" s="56">
        <v>-800.0</v>
      </c>
      <c r="C1400" s="61">
        <v>46204.0</v>
      </c>
      <c r="D1400" s="52" t="s">
        <v>16</v>
      </c>
      <c r="E1400" s="55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</row>
    <row r="1401">
      <c r="A1401" s="52" t="s">
        <v>39</v>
      </c>
      <c r="B1401" s="56">
        <v>-550.0</v>
      </c>
      <c r="C1401" s="61">
        <v>46204.0</v>
      </c>
      <c r="D1401" s="52" t="s">
        <v>19</v>
      </c>
      <c r="E1401" s="55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</row>
    <row r="1402">
      <c r="A1402" s="52" t="s">
        <v>39</v>
      </c>
      <c r="B1402" s="56">
        <v>-500.0</v>
      </c>
      <c r="C1402" s="61">
        <v>46204.0</v>
      </c>
      <c r="D1402" s="52" t="s">
        <v>21</v>
      </c>
      <c r="E1402" s="55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</row>
    <row r="1403">
      <c r="A1403" s="52" t="s">
        <v>44</v>
      </c>
      <c r="B1403" s="52">
        <v>-57.4</v>
      </c>
      <c r="C1403" s="61">
        <v>46204.0</v>
      </c>
      <c r="D1403" s="52" t="s">
        <v>2</v>
      </c>
      <c r="E1403" s="52" t="s">
        <v>191</v>
      </c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</row>
    <row r="1404">
      <c r="A1404" s="52" t="s">
        <v>44</v>
      </c>
      <c r="B1404" s="56">
        <v>-93.0</v>
      </c>
      <c r="C1404" s="61">
        <v>46204.0</v>
      </c>
      <c r="D1404" s="52" t="s">
        <v>14</v>
      </c>
      <c r="E1404" s="52" t="s">
        <v>162</v>
      </c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</row>
    <row r="1405">
      <c r="A1405" s="52" t="s">
        <v>39</v>
      </c>
      <c r="B1405" s="56">
        <v>2000.0</v>
      </c>
      <c r="C1405" s="61">
        <v>46205.0</v>
      </c>
      <c r="D1405" s="52" t="s">
        <v>1</v>
      </c>
      <c r="E1405" s="52" t="s">
        <v>55</v>
      </c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</row>
    <row r="1406">
      <c r="A1406" s="52" t="s">
        <v>44</v>
      </c>
      <c r="B1406" s="56">
        <v>-14.0</v>
      </c>
      <c r="C1406" s="61">
        <v>46205.0</v>
      </c>
      <c r="D1406" s="52" t="s">
        <v>3</v>
      </c>
      <c r="E1406" s="52" t="s">
        <v>125</v>
      </c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</row>
    <row r="1407">
      <c r="A1407" s="52" t="s">
        <v>44</v>
      </c>
      <c r="B1407" s="56">
        <v>-22.0</v>
      </c>
      <c r="C1407" s="61">
        <v>46205.0</v>
      </c>
      <c r="D1407" s="52" t="s">
        <v>14</v>
      </c>
      <c r="E1407" s="52" t="s">
        <v>162</v>
      </c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</row>
    <row r="1408">
      <c r="A1408" s="52" t="s">
        <v>44</v>
      </c>
      <c r="B1408" s="56">
        <v>-300.0</v>
      </c>
      <c r="C1408" s="61">
        <v>46205.0</v>
      </c>
      <c r="D1408" s="52" t="s">
        <v>15</v>
      </c>
      <c r="E1408" s="52" t="s">
        <v>54</v>
      </c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</row>
    <row r="1409">
      <c r="A1409" s="52" t="s">
        <v>44</v>
      </c>
      <c r="B1409" s="56">
        <v>-200.0</v>
      </c>
      <c r="C1409" s="61">
        <v>46205.0</v>
      </c>
      <c r="D1409" s="52" t="s">
        <v>20</v>
      </c>
      <c r="E1409" s="52" t="s">
        <v>52</v>
      </c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</row>
    <row r="1410">
      <c r="A1410" s="52" t="s">
        <v>39</v>
      </c>
      <c r="B1410" s="52">
        <v>-442.51</v>
      </c>
      <c r="C1410" s="61">
        <v>46206.0</v>
      </c>
      <c r="D1410" s="52" t="s">
        <v>22</v>
      </c>
      <c r="E1410" s="52" t="s">
        <v>47</v>
      </c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</row>
    <row r="1411">
      <c r="A1411" s="52" t="s">
        <v>44</v>
      </c>
      <c r="B1411" s="56">
        <v>-35.0</v>
      </c>
      <c r="C1411" s="61">
        <v>46206.0</v>
      </c>
      <c r="D1411" s="52" t="s">
        <v>3</v>
      </c>
      <c r="E1411" s="52" t="s">
        <v>125</v>
      </c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</row>
    <row r="1412">
      <c r="A1412" s="52" t="s">
        <v>44</v>
      </c>
      <c r="B1412" s="52">
        <v>-159.5</v>
      </c>
      <c r="C1412" s="61">
        <v>46206.0</v>
      </c>
      <c r="D1412" s="52" t="s">
        <v>14</v>
      </c>
      <c r="E1412" s="52" t="s">
        <v>162</v>
      </c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</row>
    <row r="1413">
      <c r="A1413" s="52" t="s">
        <v>44</v>
      </c>
      <c r="B1413" s="52">
        <v>-48.39</v>
      </c>
      <c r="C1413" s="61">
        <v>46206.0</v>
      </c>
      <c r="D1413" s="52" t="s">
        <v>16</v>
      </c>
      <c r="E1413" s="52" t="s">
        <v>64</v>
      </c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</row>
    <row r="1414">
      <c r="A1414" s="52" t="s">
        <v>44</v>
      </c>
      <c r="B1414" s="56">
        <v>-150.0</v>
      </c>
      <c r="C1414" s="61">
        <v>46206.0</v>
      </c>
      <c r="D1414" s="52" t="s">
        <v>19</v>
      </c>
      <c r="E1414" s="52" t="s">
        <v>72</v>
      </c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</row>
    <row r="1415">
      <c r="A1415" s="52" t="s">
        <v>44</v>
      </c>
      <c r="B1415" s="56">
        <v>-300.0</v>
      </c>
      <c r="C1415" s="61">
        <v>46206.0</v>
      </c>
      <c r="D1415" s="52" t="s">
        <v>22</v>
      </c>
      <c r="E1415" s="52" t="s">
        <v>170</v>
      </c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</row>
    <row r="1416">
      <c r="A1416" s="52" t="s">
        <v>36</v>
      </c>
      <c r="B1416" s="52">
        <v>-4878.46</v>
      </c>
      <c r="C1416" s="61">
        <v>46209.0</v>
      </c>
      <c r="D1416" s="52" t="s">
        <v>1</v>
      </c>
      <c r="E1416" s="55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</row>
    <row r="1417">
      <c r="A1417" s="52" t="s">
        <v>36</v>
      </c>
      <c r="B1417" s="52">
        <v>-4012.56</v>
      </c>
      <c r="C1417" s="61">
        <v>46209.0</v>
      </c>
      <c r="D1417" s="52" t="s">
        <v>5</v>
      </c>
      <c r="E1417" s="55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</row>
    <row r="1418">
      <c r="A1418" s="52" t="s">
        <v>36</v>
      </c>
      <c r="B1418" s="52">
        <v>-14939.7</v>
      </c>
      <c r="C1418" s="61">
        <v>46209.0</v>
      </c>
      <c r="D1418" s="52" t="s">
        <v>2</v>
      </c>
      <c r="E1418" s="55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</row>
    <row r="1419">
      <c r="A1419" s="52" t="s">
        <v>36</v>
      </c>
      <c r="B1419" s="52">
        <v>-14419.23</v>
      </c>
      <c r="C1419" s="61">
        <v>46209.0</v>
      </c>
      <c r="D1419" s="52" t="s">
        <v>3</v>
      </c>
      <c r="E1419" s="55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</row>
    <row r="1420">
      <c r="A1420" s="52" t="s">
        <v>36</v>
      </c>
      <c r="B1420" s="52">
        <v>-8656.67</v>
      </c>
      <c r="C1420" s="61">
        <v>46209.0</v>
      </c>
      <c r="D1420" s="52" t="s">
        <v>14</v>
      </c>
      <c r="E1420" s="55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</row>
    <row r="1421">
      <c r="A1421" s="52" t="s">
        <v>36</v>
      </c>
      <c r="B1421" s="52">
        <v>-5902.51</v>
      </c>
      <c r="C1421" s="61">
        <v>46209.0</v>
      </c>
      <c r="D1421" s="52" t="s">
        <v>15</v>
      </c>
      <c r="E1421" s="55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</row>
    <row r="1422">
      <c r="A1422" s="52" t="s">
        <v>36</v>
      </c>
      <c r="B1422" s="52">
        <v>-7588.02</v>
      </c>
      <c r="C1422" s="61">
        <v>46209.0</v>
      </c>
      <c r="D1422" s="52" t="s">
        <v>16</v>
      </c>
      <c r="E1422" s="55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</row>
    <row r="1423">
      <c r="A1423" s="52" t="s">
        <v>36</v>
      </c>
      <c r="B1423" s="52">
        <v>-4407.73</v>
      </c>
      <c r="C1423" s="61">
        <v>46209.0</v>
      </c>
      <c r="D1423" s="52" t="s">
        <v>19</v>
      </c>
      <c r="E1423" s="55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</row>
    <row r="1424">
      <c r="A1424" s="52" t="s">
        <v>36</v>
      </c>
      <c r="B1424" s="52">
        <v>-4962.34</v>
      </c>
      <c r="C1424" s="61">
        <v>46209.0</v>
      </c>
      <c r="D1424" s="52" t="s">
        <v>20</v>
      </c>
      <c r="E1424" s="55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</row>
    <row r="1425">
      <c r="A1425" s="52" t="s">
        <v>36</v>
      </c>
      <c r="B1425" s="52">
        <v>-6510.3</v>
      </c>
      <c r="C1425" s="61">
        <v>46209.0</v>
      </c>
      <c r="D1425" s="52" t="s">
        <v>21</v>
      </c>
      <c r="E1425" s="55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</row>
    <row r="1426">
      <c r="A1426" s="52" t="s">
        <v>36</v>
      </c>
      <c r="B1426" s="52">
        <v>-15163.38</v>
      </c>
      <c r="C1426" s="61">
        <v>46209.0</v>
      </c>
      <c r="D1426" s="52" t="s">
        <v>22</v>
      </c>
      <c r="E1426" s="55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</row>
    <row r="1427">
      <c r="A1427" s="52" t="s">
        <v>39</v>
      </c>
      <c r="B1427" s="56">
        <v>-2700.0</v>
      </c>
      <c r="C1427" s="61">
        <v>46209.0</v>
      </c>
      <c r="D1427" s="52" t="s">
        <v>1</v>
      </c>
      <c r="E1427" s="55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</row>
    <row r="1428">
      <c r="A1428" s="52" t="s">
        <v>39</v>
      </c>
      <c r="B1428" s="56">
        <v>-2500.0</v>
      </c>
      <c r="C1428" s="61">
        <v>46209.0</v>
      </c>
      <c r="D1428" s="52" t="s">
        <v>5</v>
      </c>
      <c r="E1428" s="55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</row>
    <row r="1429">
      <c r="A1429" s="52" t="s">
        <v>39</v>
      </c>
      <c r="B1429" s="56">
        <v>-500.0</v>
      </c>
      <c r="C1429" s="61">
        <v>46209.0</v>
      </c>
      <c r="D1429" s="52" t="s">
        <v>3</v>
      </c>
      <c r="E1429" s="55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</row>
    <row r="1430">
      <c r="A1430" s="52" t="s">
        <v>39</v>
      </c>
      <c r="B1430" s="56">
        <v>-800.0</v>
      </c>
      <c r="C1430" s="61">
        <v>46209.0</v>
      </c>
      <c r="D1430" s="52" t="s">
        <v>3</v>
      </c>
      <c r="E1430" s="52" t="s">
        <v>50</v>
      </c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</row>
    <row r="1431">
      <c r="A1431" s="52" t="s">
        <v>39</v>
      </c>
      <c r="B1431" s="56">
        <v>-1000.0</v>
      </c>
      <c r="C1431" s="61">
        <v>46209.0</v>
      </c>
      <c r="D1431" s="52" t="s">
        <v>14</v>
      </c>
      <c r="E1431" s="55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</row>
    <row r="1432">
      <c r="A1432" s="52" t="s">
        <v>39</v>
      </c>
      <c r="B1432" s="56">
        <v>-460.0</v>
      </c>
      <c r="C1432" s="61">
        <v>46209.0</v>
      </c>
      <c r="D1432" s="52" t="s">
        <v>14</v>
      </c>
      <c r="E1432" s="52" t="s">
        <v>51</v>
      </c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</row>
    <row r="1433">
      <c r="A1433" s="52" t="s">
        <v>39</v>
      </c>
      <c r="B1433" s="56">
        <v>-1500.0</v>
      </c>
      <c r="C1433" s="61">
        <v>46209.0</v>
      </c>
      <c r="D1433" s="52" t="s">
        <v>16</v>
      </c>
      <c r="E1433" s="55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</row>
    <row r="1434">
      <c r="A1434" s="52" t="s">
        <v>39</v>
      </c>
      <c r="B1434" s="56">
        <v>-2500.0</v>
      </c>
      <c r="C1434" s="61">
        <v>46209.0</v>
      </c>
      <c r="D1434" s="52" t="s">
        <v>19</v>
      </c>
      <c r="E1434" s="55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</row>
    <row r="1435">
      <c r="A1435" s="52" t="s">
        <v>39</v>
      </c>
      <c r="B1435" s="56">
        <v>-1000.0</v>
      </c>
      <c r="C1435" s="61">
        <v>46209.0</v>
      </c>
      <c r="D1435" s="52" t="s">
        <v>21</v>
      </c>
      <c r="E1435" s="55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</row>
    <row r="1436">
      <c r="A1436" s="52" t="s">
        <v>56</v>
      </c>
      <c r="B1436" s="52">
        <v>-20.77</v>
      </c>
      <c r="C1436" s="61">
        <v>46209.0</v>
      </c>
      <c r="D1436" s="52" t="s">
        <v>2</v>
      </c>
      <c r="E1436" s="52" t="s">
        <v>192</v>
      </c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</row>
    <row r="1437">
      <c r="A1437" s="52" t="s">
        <v>56</v>
      </c>
      <c r="B1437" s="56">
        <v>-63.0</v>
      </c>
      <c r="C1437" s="61">
        <v>46209.0</v>
      </c>
      <c r="D1437" s="52" t="s">
        <v>3</v>
      </c>
      <c r="E1437" s="52" t="s">
        <v>192</v>
      </c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</row>
    <row r="1438">
      <c r="A1438" s="52" t="s">
        <v>56</v>
      </c>
      <c r="B1438" s="52">
        <v>-120.36</v>
      </c>
      <c r="C1438" s="61">
        <v>46209.0</v>
      </c>
      <c r="D1438" s="52" t="s">
        <v>14</v>
      </c>
      <c r="E1438" s="52" t="s">
        <v>192</v>
      </c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</row>
    <row r="1439">
      <c r="A1439" s="52" t="s">
        <v>56</v>
      </c>
      <c r="B1439" s="56">
        <v>-7.0</v>
      </c>
      <c r="C1439" s="61">
        <v>46209.0</v>
      </c>
      <c r="D1439" s="52" t="s">
        <v>15</v>
      </c>
      <c r="E1439" s="52" t="s">
        <v>192</v>
      </c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</row>
    <row r="1440">
      <c r="A1440" s="52" t="s">
        <v>56</v>
      </c>
      <c r="B1440" s="52">
        <v>-33.4</v>
      </c>
      <c r="C1440" s="61">
        <v>46209.0</v>
      </c>
      <c r="D1440" s="52" t="s">
        <v>16</v>
      </c>
      <c r="E1440" s="52" t="s">
        <v>192</v>
      </c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</row>
    <row r="1441">
      <c r="A1441" s="52" t="s">
        <v>56</v>
      </c>
      <c r="B1441" s="52">
        <v>-54.64</v>
      </c>
      <c r="C1441" s="61">
        <v>46209.0</v>
      </c>
      <c r="D1441" s="52" t="s">
        <v>19</v>
      </c>
      <c r="E1441" s="52" t="s">
        <v>192</v>
      </c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</row>
    <row r="1442">
      <c r="A1442" s="52" t="s">
        <v>56</v>
      </c>
      <c r="B1442" s="56">
        <v>-10.0</v>
      </c>
      <c r="C1442" s="61">
        <v>46209.0</v>
      </c>
      <c r="D1442" s="52" t="s">
        <v>20</v>
      </c>
      <c r="E1442" s="52" t="s">
        <v>192</v>
      </c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</row>
    <row r="1443">
      <c r="A1443" s="52" t="s">
        <v>56</v>
      </c>
      <c r="B1443" s="56">
        <v>-70.0</v>
      </c>
      <c r="C1443" s="61">
        <v>46209.0</v>
      </c>
      <c r="D1443" s="52" t="s">
        <v>21</v>
      </c>
      <c r="E1443" s="52" t="s">
        <v>192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</row>
    <row r="1444">
      <c r="A1444" s="52" t="s">
        <v>56</v>
      </c>
      <c r="B1444" s="52">
        <v>-121.36</v>
      </c>
      <c r="C1444" s="61">
        <v>46209.0</v>
      </c>
      <c r="D1444" s="52" t="s">
        <v>22</v>
      </c>
      <c r="E1444" s="52" t="s">
        <v>192</v>
      </c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</row>
    <row r="1445">
      <c r="A1445" s="52" t="s">
        <v>44</v>
      </c>
      <c r="B1445" s="56">
        <v>-1000.0</v>
      </c>
      <c r="C1445" s="61">
        <v>46209.0</v>
      </c>
      <c r="D1445" s="52" t="s">
        <v>14</v>
      </c>
      <c r="E1445" s="52" t="s">
        <v>193</v>
      </c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</row>
    <row r="1446">
      <c r="A1446" s="52" t="s">
        <v>44</v>
      </c>
      <c r="B1446" s="52">
        <v>-54.5</v>
      </c>
      <c r="C1446" s="61">
        <v>46209.0</v>
      </c>
      <c r="D1446" s="52" t="s">
        <v>14</v>
      </c>
      <c r="E1446" s="52" t="s">
        <v>194</v>
      </c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</row>
    <row r="1447">
      <c r="A1447" s="52" t="s">
        <v>44</v>
      </c>
      <c r="B1447" s="56">
        <v>-47.0</v>
      </c>
      <c r="C1447" s="61">
        <v>46209.0</v>
      </c>
      <c r="D1447" s="52" t="s">
        <v>14</v>
      </c>
      <c r="E1447" s="52" t="s">
        <v>195</v>
      </c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</row>
    <row r="1448">
      <c r="A1448" s="52" t="s">
        <v>44</v>
      </c>
      <c r="B1448" s="56">
        <v>-100.0</v>
      </c>
      <c r="C1448" s="61">
        <v>46209.0</v>
      </c>
      <c r="D1448" s="52" t="s">
        <v>22</v>
      </c>
      <c r="E1448" s="52" t="s">
        <v>185</v>
      </c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</row>
    <row r="1449">
      <c r="A1449" s="52" t="s">
        <v>39</v>
      </c>
      <c r="B1449" s="56">
        <v>1000.0</v>
      </c>
      <c r="C1449" s="61">
        <v>46210.0</v>
      </c>
      <c r="D1449" s="52" t="s">
        <v>15</v>
      </c>
      <c r="E1449" s="52" t="s">
        <v>55</v>
      </c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</row>
    <row r="1450">
      <c r="A1450" s="52" t="s">
        <v>39</v>
      </c>
      <c r="B1450" s="52">
        <v>-468.54</v>
      </c>
      <c r="C1450" s="61">
        <v>46210.0</v>
      </c>
      <c r="D1450" s="52" t="s">
        <v>22</v>
      </c>
      <c r="E1450" s="52" t="s">
        <v>47</v>
      </c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</row>
    <row r="1451">
      <c r="A1451" s="52" t="s">
        <v>44</v>
      </c>
      <c r="B1451" s="52">
        <v>-19.9</v>
      </c>
      <c r="C1451" s="61">
        <v>46210.0</v>
      </c>
      <c r="D1451" s="52" t="s">
        <v>3</v>
      </c>
      <c r="E1451" s="52" t="s">
        <v>119</v>
      </c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</row>
    <row r="1452">
      <c r="A1452" s="52" t="s">
        <v>44</v>
      </c>
      <c r="B1452" s="52">
        <v>-47.5</v>
      </c>
      <c r="C1452" s="61">
        <v>46210.0</v>
      </c>
      <c r="D1452" s="52" t="s">
        <v>14</v>
      </c>
      <c r="E1452" s="52" t="s">
        <v>162</v>
      </c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</row>
    <row r="1453">
      <c r="A1453" s="52" t="s">
        <v>39</v>
      </c>
      <c r="B1453" s="56">
        <v>-1000.0</v>
      </c>
      <c r="C1453" s="61">
        <v>46211.0</v>
      </c>
      <c r="D1453" s="52" t="s">
        <v>5</v>
      </c>
      <c r="E1453" s="55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</row>
    <row r="1454">
      <c r="A1454" s="52" t="s">
        <v>39</v>
      </c>
      <c r="B1454" s="56">
        <v>-1000.0</v>
      </c>
      <c r="C1454" s="61">
        <v>46211.0</v>
      </c>
      <c r="D1454" s="52" t="s">
        <v>16</v>
      </c>
      <c r="E1454" s="55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</row>
    <row r="1455">
      <c r="A1455" s="52" t="s">
        <v>39</v>
      </c>
      <c r="B1455" s="56">
        <v>-500.0</v>
      </c>
      <c r="C1455" s="61">
        <v>46211.0</v>
      </c>
      <c r="D1455" s="52" t="s">
        <v>21</v>
      </c>
      <c r="E1455" s="55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</row>
    <row r="1456">
      <c r="A1456" s="52" t="s">
        <v>39</v>
      </c>
      <c r="B1456" s="56">
        <v>-1500.0</v>
      </c>
      <c r="C1456" s="61">
        <v>46211.0</v>
      </c>
      <c r="D1456" s="52" t="s">
        <v>22</v>
      </c>
      <c r="E1456" s="55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</row>
    <row r="1457">
      <c r="A1457" s="52" t="s">
        <v>44</v>
      </c>
      <c r="B1457" s="56">
        <v>-47.0</v>
      </c>
      <c r="C1457" s="61">
        <v>46211.0</v>
      </c>
      <c r="D1457" s="52" t="s">
        <v>14</v>
      </c>
      <c r="E1457" s="52" t="s">
        <v>110</v>
      </c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</row>
    <row r="1458">
      <c r="A1458" s="52" t="s">
        <v>44</v>
      </c>
      <c r="B1458" s="56">
        <v>-170.0</v>
      </c>
      <c r="C1458" s="61">
        <v>46211.0</v>
      </c>
      <c r="D1458" s="52" t="s">
        <v>21</v>
      </c>
      <c r="E1458" s="52" t="s">
        <v>196</v>
      </c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</row>
    <row r="1459">
      <c r="A1459" s="52" t="s">
        <v>39</v>
      </c>
      <c r="B1459" s="56">
        <v>-1500.0</v>
      </c>
      <c r="C1459" s="61">
        <v>46213.0</v>
      </c>
      <c r="D1459" s="52" t="s">
        <v>5</v>
      </c>
      <c r="E1459" s="55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</row>
    <row r="1460">
      <c r="A1460" s="52" t="s">
        <v>39</v>
      </c>
      <c r="B1460" s="56">
        <v>-1000.0</v>
      </c>
      <c r="C1460" s="61">
        <v>46213.0</v>
      </c>
      <c r="D1460" s="52" t="s">
        <v>19</v>
      </c>
      <c r="E1460" s="55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</row>
    <row r="1461">
      <c r="A1461" s="52" t="s">
        <v>39</v>
      </c>
      <c r="B1461" s="56">
        <v>-500.0</v>
      </c>
      <c r="C1461" s="61">
        <v>46213.0</v>
      </c>
      <c r="D1461" s="52" t="s">
        <v>21</v>
      </c>
      <c r="E1461" s="55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</row>
    <row r="1462">
      <c r="A1462" s="52" t="s">
        <v>39</v>
      </c>
      <c r="B1462" s="56">
        <v>-1000.0</v>
      </c>
      <c r="C1462" s="61">
        <v>46213.0</v>
      </c>
      <c r="D1462" s="52" t="s">
        <v>22</v>
      </c>
      <c r="E1462" s="55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</row>
    <row r="1463">
      <c r="A1463" s="52" t="s">
        <v>39</v>
      </c>
      <c r="B1463" s="52">
        <v>-468.54</v>
      </c>
      <c r="C1463" s="61">
        <v>46213.0</v>
      </c>
      <c r="D1463" s="52" t="s">
        <v>22</v>
      </c>
      <c r="E1463" s="52" t="s">
        <v>47</v>
      </c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</row>
    <row r="1464">
      <c r="A1464" s="52" t="s">
        <v>44</v>
      </c>
      <c r="B1464" s="56">
        <v>-60.0</v>
      </c>
      <c r="C1464" s="61">
        <v>46213.0</v>
      </c>
      <c r="D1464" s="52" t="s">
        <v>14</v>
      </c>
      <c r="E1464" s="52" t="s">
        <v>197</v>
      </c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</row>
    <row r="1465">
      <c r="A1465" s="52" t="s">
        <v>44</v>
      </c>
      <c r="B1465" s="56">
        <v>-123.0</v>
      </c>
      <c r="C1465" s="61">
        <v>46213.0</v>
      </c>
      <c r="D1465" s="52" t="s">
        <v>14</v>
      </c>
      <c r="E1465" s="52" t="s">
        <v>198</v>
      </c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</row>
    <row r="1466">
      <c r="A1466" s="52" t="s">
        <v>44</v>
      </c>
      <c r="B1466" s="56">
        <v>-24.0</v>
      </c>
      <c r="C1466" s="61">
        <v>46213.0</v>
      </c>
      <c r="D1466" s="52" t="s">
        <v>16</v>
      </c>
      <c r="E1466" s="52" t="s">
        <v>104</v>
      </c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</row>
    <row r="1467">
      <c r="A1467" s="52" t="s">
        <v>44</v>
      </c>
      <c r="B1467" s="56">
        <v>-450.0</v>
      </c>
      <c r="C1467" s="61">
        <v>46213.0</v>
      </c>
      <c r="D1467" s="52" t="s">
        <v>21</v>
      </c>
      <c r="E1467" s="52" t="s">
        <v>77</v>
      </c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</row>
    <row r="1468">
      <c r="A1468" s="52" t="s">
        <v>44</v>
      </c>
      <c r="B1468" s="56">
        <v>-500.0</v>
      </c>
      <c r="C1468" s="61">
        <v>46213.0</v>
      </c>
      <c r="D1468" s="52" t="s">
        <v>22</v>
      </c>
      <c r="E1468" s="52" t="s">
        <v>84</v>
      </c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</row>
    <row r="1469">
      <c r="A1469" s="52" t="s">
        <v>44</v>
      </c>
      <c r="B1469" s="56">
        <v>-336.0</v>
      </c>
      <c r="C1469" s="61">
        <v>46213.0</v>
      </c>
      <c r="D1469" s="52" t="s">
        <v>22</v>
      </c>
      <c r="E1469" s="52" t="s">
        <v>199</v>
      </c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</row>
    <row r="1470">
      <c r="A1470" s="52" t="s">
        <v>39</v>
      </c>
      <c r="B1470" s="56">
        <v>-2000.0</v>
      </c>
      <c r="C1470" s="61">
        <v>46216.0</v>
      </c>
      <c r="D1470" s="52" t="s">
        <v>5</v>
      </c>
      <c r="E1470" s="55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</row>
    <row r="1471">
      <c r="A1471" s="52" t="s">
        <v>39</v>
      </c>
      <c r="B1471" s="56">
        <v>1500.0</v>
      </c>
      <c r="C1471" s="61">
        <v>46216.0</v>
      </c>
      <c r="D1471" s="52" t="s">
        <v>2</v>
      </c>
      <c r="E1471" s="52" t="s">
        <v>55</v>
      </c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</row>
    <row r="1472">
      <c r="A1472" s="52" t="s">
        <v>39</v>
      </c>
      <c r="B1472" s="56">
        <v>-1000.0</v>
      </c>
      <c r="C1472" s="61">
        <v>46216.0</v>
      </c>
      <c r="D1472" s="52" t="s">
        <v>3</v>
      </c>
      <c r="E1472" s="55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</row>
    <row r="1473">
      <c r="A1473" s="52" t="s">
        <v>39</v>
      </c>
      <c r="B1473" s="56">
        <v>-1000.0</v>
      </c>
      <c r="C1473" s="61">
        <v>46216.0</v>
      </c>
      <c r="D1473" s="52" t="s">
        <v>14</v>
      </c>
      <c r="E1473" s="55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</row>
    <row r="1474">
      <c r="A1474" s="52" t="s">
        <v>39</v>
      </c>
      <c r="B1474" s="56">
        <v>-1500.0</v>
      </c>
      <c r="C1474" s="61">
        <v>46216.0</v>
      </c>
      <c r="D1474" s="52" t="s">
        <v>16</v>
      </c>
      <c r="E1474" s="55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</row>
    <row r="1475">
      <c r="A1475" s="52" t="s">
        <v>39</v>
      </c>
      <c r="B1475" s="56">
        <v>-3000.0</v>
      </c>
      <c r="C1475" s="61">
        <v>46216.0</v>
      </c>
      <c r="D1475" s="52" t="s">
        <v>19</v>
      </c>
      <c r="E1475" s="55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</row>
    <row r="1476">
      <c r="A1476" s="52" t="s">
        <v>39</v>
      </c>
      <c r="B1476" s="56">
        <v>500.0</v>
      </c>
      <c r="C1476" s="61">
        <v>46216.0</v>
      </c>
      <c r="D1476" s="52" t="s">
        <v>20</v>
      </c>
      <c r="E1476" s="52" t="s">
        <v>55</v>
      </c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</row>
    <row r="1477">
      <c r="A1477" s="52" t="s">
        <v>39</v>
      </c>
      <c r="B1477" s="56">
        <v>-1000.0</v>
      </c>
      <c r="C1477" s="61">
        <v>46216.0</v>
      </c>
      <c r="D1477" s="52" t="s">
        <v>21</v>
      </c>
      <c r="E1477" s="55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</row>
    <row r="1478">
      <c r="A1478" s="52" t="s">
        <v>39</v>
      </c>
      <c r="B1478" s="56">
        <v>-2000.0</v>
      </c>
      <c r="C1478" s="61">
        <v>46216.0</v>
      </c>
      <c r="D1478" s="52" t="s">
        <v>22</v>
      </c>
      <c r="E1478" s="55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</row>
    <row r="1479">
      <c r="A1479" s="52" t="s">
        <v>44</v>
      </c>
      <c r="B1479" s="56">
        <v>-300.0</v>
      </c>
      <c r="C1479" s="61">
        <v>46216.0</v>
      </c>
      <c r="D1479" s="52" t="s">
        <v>1</v>
      </c>
      <c r="E1479" s="52" t="s">
        <v>178</v>
      </c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</row>
    <row r="1480">
      <c r="A1480" s="52" t="s">
        <v>44</v>
      </c>
      <c r="B1480" s="56">
        <v>-100.0</v>
      </c>
      <c r="C1480" s="61">
        <v>46216.0</v>
      </c>
      <c r="D1480" s="52" t="s">
        <v>5</v>
      </c>
      <c r="E1480" s="52" t="s">
        <v>200</v>
      </c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</row>
    <row r="1481">
      <c r="A1481" s="52" t="s">
        <v>44</v>
      </c>
      <c r="B1481" s="56">
        <v>-2000.0</v>
      </c>
      <c r="C1481" s="61">
        <v>46216.0</v>
      </c>
      <c r="D1481" s="52" t="s">
        <v>14</v>
      </c>
      <c r="E1481" s="52" t="s">
        <v>201</v>
      </c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</row>
    <row r="1482">
      <c r="A1482" s="52" t="s">
        <v>44</v>
      </c>
      <c r="B1482" s="52">
        <v>-85.5</v>
      </c>
      <c r="C1482" s="61">
        <v>46216.0</v>
      </c>
      <c r="D1482" s="52" t="s">
        <v>14</v>
      </c>
      <c r="E1482" s="52" t="s">
        <v>162</v>
      </c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</row>
    <row r="1483">
      <c r="A1483" s="52" t="s">
        <v>44</v>
      </c>
      <c r="B1483" s="56">
        <v>-69.0</v>
      </c>
      <c r="C1483" s="61">
        <v>46216.0</v>
      </c>
      <c r="D1483" s="52" t="s">
        <v>14</v>
      </c>
      <c r="E1483" s="52" t="s">
        <v>202</v>
      </c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</row>
    <row r="1484">
      <c r="A1484" s="52" t="s">
        <v>44</v>
      </c>
      <c r="B1484" s="52">
        <v>-22.58</v>
      </c>
      <c r="C1484" s="61">
        <v>46216.0</v>
      </c>
      <c r="D1484" s="52" t="s">
        <v>21</v>
      </c>
      <c r="E1484" s="52" t="s">
        <v>162</v>
      </c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</row>
    <row r="1485">
      <c r="A1485" s="52" t="s">
        <v>39</v>
      </c>
      <c r="B1485" s="52">
        <v>-442.51</v>
      </c>
      <c r="C1485" s="61">
        <v>46217.0</v>
      </c>
      <c r="D1485" s="52" t="s">
        <v>22</v>
      </c>
      <c r="E1485" s="52" t="s">
        <v>47</v>
      </c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</row>
    <row r="1486">
      <c r="A1486" s="52" t="s">
        <v>44</v>
      </c>
      <c r="B1486" s="52">
        <v>-29.3</v>
      </c>
      <c r="C1486" s="61">
        <v>46217.0</v>
      </c>
      <c r="D1486" s="52" t="s">
        <v>14</v>
      </c>
      <c r="E1486" s="52" t="s">
        <v>162</v>
      </c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</row>
    <row r="1487">
      <c r="A1487" s="52" t="s">
        <v>44</v>
      </c>
      <c r="B1487" s="56">
        <v>-100.0</v>
      </c>
      <c r="C1487" s="61">
        <v>46217.0</v>
      </c>
      <c r="D1487" s="52" t="s">
        <v>16</v>
      </c>
      <c r="E1487" s="52" t="s">
        <v>75</v>
      </c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</row>
    <row r="1488">
      <c r="A1488" s="52" t="s">
        <v>39</v>
      </c>
      <c r="B1488" s="56">
        <v>-1000.0</v>
      </c>
      <c r="C1488" s="61">
        <v>46218.0</v>
      </c>
      <c r="D1488" s="52" t="s">
        <v>16</v>
      </c>
      <c r="E1488" s="55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</row>
    <row r="1489">
      <c r="A1489" s="52" t="s">
        <v>39</v>
      </c>
      <c r="B1489" s="56">
        <v>-500.0</v>
      </c>
      <c r="C1489" s="61">
        <v>46218.0</v>
      </c>
      <c r="D1489" s="52" t="s">
        <v>19</v>
      </c>
      <c r="E1489" s="55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</row>
    <row r="1490">
      <c r="A1490" s="52" t="s">
        <v>39</v>
      </c>
      <c r="B1490" s="56">
        <v>-500.0</v>
      </c>
      <c r="C1490" s="61">
        <v>46218.0</v>
      </c>
      <c r="D1490" s="52" t="s">
        <v>21</v>
      </c>
      <c r="E1490" s="55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</row>
    <row r="1491">
      <c r="A1491" s="52" t="s">
        <v>39</v>
      </c>
      <c r="B1491" s="56">
        <v>-1000.0</v>
      </c>
      <c r="C1491" s="61">
        <v>46218.0</v>
      </c>
      <c r="D1491" s="52" t="s">
        <v>22</v>
      </c>
      <c r="E1491" s="55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</row>
    <row r="1492">
      <c r="A1492" s="52" t="s">
        <v>44</v>
      </c>
      <c r="B1492" s="56">
        <v>-35.0</v>
      </c>
      <c r="C1492" s="61">
        <v>46218.0</v>
      </c>
      <c r="D1492" s="52" t="s">
        <v>14</v>
      </c>
      <c r="E1492" s="52" t="s">
        <v>74</v>
      </c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</row>
    <row r="1493">
      <c r="A1493" s="52" t="s">
        <v>44</v>
      </c>
      <c r="B1493" s="56">
        <v>-44.5</v>
      </c>
      <c r="C1493" s="61">
        <v>46218.0</v>
      </c>
      <c r="D1493" s="52" t="s">
        <v>14</v>
      </c>
      <c r="E1493" s="52" t="s">
        <v>162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</row>
    <row r="1494">
      <c r="A1494" s="52" t="s">
        <v>56</v>
      </c>
      <c r="B1494" s="56">
        <v>-10.0</v>
      </c>
      <c r="C1494" s="61">
        <v>46219.0</v>
      </c>
      <c r="D1494" s="52" t="s">
        <v>1</v>
      </c>
      <c r="E1494" s="52" t="s">
        <v>203</v>
      </c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</row>
    <row r="1495">
      <c r="A1495" s="52" t="s">
        <v>56</v>
      </c>
      <c r="B1495" s="56">
        <v>-10.0</v>
      </c>
      <c r="C1495" s="61">
        <v>46219.0</v>
      </c>
      <c r="D1495" s="52" t="s">
        <v>5</v>
      </c>
      <c r="E1495" s="52" t="s">
        <v>203</v>
      </c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</row>
    <row r="1496">
      <c r="A1496" s="52" t="s">
        <v>56</v>
      </c>
      <c r="B1496" s="52">
        <v>-19.36</v>
      </c>
      <c r="C1496" s="61">
        <v>46219.0</v>
      </c>
      <c r="D1496" s="52" t="s">
        <v>2</v>
      </c>
      <c r="E1496" s="52" t="s">
        <v>203</v>
      </c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</row>
    <row r="1497">
      <c r="A1497" s="52" t="s">
        <v>56</v>
      </c>
      <c r="B1497" s="52">
        <v>-8.08</v>
      </c>
      <c r="C1497" s="61">
        <v>46219.0</v>
      </c>
      <c r="D1497" s="52" t="s">
        <v>2</v>
      </c>
      <c r="E1497" s="52" t="s">
        <v>204</v>
      </c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</row>
    <row r="1498">
      <c r="A1498" s="52" t="s">
        <v>56</v>
      </c>
      <c r="B1498" s="52">
        <v>-15.11</v>
      </c>
      <c r="C1498" s="61">
        <v>46219.0</v>
      </c>
      <c r="D1498" s="52" t="s">
        <v>3</v>
      </c>
      <c r="E1498" s="52" t="s">
        <v>203</v>
      </c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</row>
    <row r="1499">
      <c r="A1499" s="52" t="s">
        <v>56</v>
      </c>
      <c r="B1499" s="56">
        <v>-49.0</v>
      </c>
      <c r="C1499" s="61">
        <v>46219.0</v>
      </c>
      <c r="D1499" s="52" t="s">
        <v>3</v>
      </c>
      <c r="E1499" s="52" t="s">
        <v>204</v>
      </c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</row>
    <row r="1500">
      <c r="A1500" s="52" t="s">
        <v>56</v>
      </c>
      <c r="B1500" s="56">
        <v>-40.0</v>
      </c>
      <c r="C1500" s="61">
        <v>46219.0</v>
      </c>
      <c r="D1500" s="52" t="s">
        <v>14</v>
      </c>
      <c r="E1500" s="52" t="s">
        <v>203</v>
      </c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</row>
    <row r="1501">
      <c r="A1501" s="52" t="s">
        <v>56</v>
      </c>
      <c r="B1501" s="56">
        <v>-5.0</v>
      </c>
      <c r="C1501" s="61">
        <v>46219.0</v>
      </c>
      <c r="D1501" s="52" t="s">
        <v>15</v>
      </c>
      <c r="E1501" s="52" t="s">
        <v>203</v>
      </c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</row>
    <row r="1502">
      <c r="A1502" s="52" t="s">
        <v>56</v>
      </c>
      <c r="B1502" s="56">
        <v>-7.0</v>
      </c>
      <c r="C1502" s="61">
        <v>46219.0</v>
      </c>
      <c r="D1502" s="52" t="s">
        <v>16</v>
      </c>
      <c r="E1502" s="52" t="s">
        <v>203</v>
      </c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</row>
    <row r="1503">
      <c r="A1503" s="52" t="s">
        <v>56</v>
      </c>
      <c r="B1503" s="56">
        <v>-20.0</v>
      </c>
      <c r="C1503" s="61">
        <v>46219.0</v>
      </c>
      <c r="D1503" s="52" t="s">
        <v>16</v>
      </c>
      <c r="E1503" s="52" t="s">
        <v>204</v>
      </c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</row>
    <row r="1504">
      <c r="A1504" s="52" t="s">
        <v>56</v>
      </c>
      <c r="B1504" s="52">
        <v>-45.72</v>
      </c>
      <c r="C1504" s="61">
        <v>46219.0</v>
      </c>
      <c r="D1504" s="52" t="s">
        <v>19</v>
      </c>
      <c r="E1504" s="52" t="s">
        <v>203</v>
      </c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</row>
    <row r="1505">
      <c r="A1505" s="52" t="s">
        <v>56</v>
      </c>
      <c r="B1505" s="56">
        <v>-35.0</v>
      </c>
      <c r="C1505" s="61">
        <v>46219.0</v>
      </c>
      <c r="D1505" s="52" t="s">
        <v>21</v>
      </c>
      <c r="E1505" s="52" t="s">
        <v>203</v>
      </c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</row>
    <row r="1506">
      <c r="A1506" s="52" t="s">
        <v>56</v>
      </c>
      <c r="B1506" s="56">
        <v>-61.0</v>
      </c>
      <c r="C1506" s="61">
        <v>46219.0</v>
      </c>
      <c r="D1506" s="52" t="s">
        <v>22</v>
      </c>
      <c r="E1506" s="52" t="s">
        <v>204</v>
      </c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</row>
    <row r="1507">
      <c r="A1507" s="52" t="s">
        <v>44</v>
      </c>
      <c r="B1507" s="52">
        <v>-25.5</v>
      </c>
      <c r="C1507" s="61">
        <v>46219.0</v>
      </c>
      <c r="D1507" s="52" t="s">
        <v>3</v>
      </c>
      <c r="E1507" s="52" t="s">
        <v>205</v>
      </c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</row>
    <row r="1508">
      <c r="A1508" s="52" t="s">
        <v>44</v>
      </c>
      <c r="B1508" s="56">
        <v>-100.0</v>
      </c>
      <c r="C1508" s="61">
        <v>46219.0</v>
      </c>
      <c r="D1508" s="52" t="s">
        <v>21</v>
      </c>
      <c r="E1508" s="52" t="s">
        <v>74</v>
      </c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</row>
    <row r="1509">
      <c r="A1509" s="52" t="s">
        <v>39</v>
      </c>
      <c r="B1509" s="56">
        <v>500.0</v>
      </c>
      <c r="C1509" s="61">
        <v>46220.0</v>
      </c>
      <c r="D1509" s="52" t="s">
        <v>1</v>
      </c>
      <c r="E1509" s="52" t="s">
        <v>55</v>
      </c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</row>
    <row r="1510">
      <c r="A1510" s="52" t="s">
        <v>39</v>
      </c>
      <c r="B1510" s="56">
        <v>-500.0</v>
      </c>
      <c r="C1510" s="61">
        <v>46220.0</v>
      </c>
      <c r="D1510" s="52" t="s">
        <v>5</v>
      </c>
      <c r="E1510" s="55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</row>
    <row r="1511">
      <c r="A1511" s="52" t="s">
        <v>39</v>
      </c>
      <c r="B1511" s="52">
        <v>-390.45</v>
      </c>
      <c r="C1511" s="61">
        <v>46220.0</v>
      </c>
      <c r="D1511" s="52" t="s">
        <v>22</v>
      </c>
      <c r="E1511" s="52" t="s">
        <v>47</v>
      </c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</row>
    <row r="1512">
      <c r="A1512" s="52" t="s">
        <v>44</v>
      </c>
      <c r="B1512" s="52">
        <v>-20.3</v>
      </c>
      <c r="C1512" s="61">
        <v>46220.0</v>
      </c>
      <c r="D1512" s="52" t="s">
        <v>2</v>
      </c>
      <c r="E1512" s="52" t="s">
        <v>191</v>
      </c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</row>
    <row r="1513">
      <c r="A1513" s="52" t="s">
        <v>44</v>
      </c>
      <c r="B1513" s="56">
        <v>-157.0</v>
      </c>
      <c r="C1513" s="61">
        <v>46220.0</v>
      </c>
      <c r="D1513" s="52" t="s">
        <v>14</v>
      </c>
      <c r="E1513" s="52" t="s">
        <v>162</v>
      </c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</row>
    <row r="1514">
      <c r="A1514" s="52" t="s">
        <v>39</v>
      </c>
      <c r="B1514" s="56">
        <v>-300.0</v>
      </c>
      <c r="C1514" s="61">
        <v>46223.0</v>
      </c>
      <c r="D1514" s="52" t="s">
        <v>1</v>
      </c>
      <c r="E1514" s="55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</row>
    <row r="1515">
      <c r="A1515" s="52" t="s">
        <v>39</v>
      </c>
      <c r="B1515" s="56">
        <v>-2000.0</v>
      </c>
      <c r="C1515" s="61">
        <v>46223.0</v>
      </c>
      <c r="D1515" s="52" t="s">
        <v>5</v>
      </c>
      <c r="E1515" s="55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</row>
    <row r="1516">
      <c r="A1516" s="52" t="s">
        <v>39</v>
      </c>
      <c r="B1516" s="56">
        <v>-1000.0</v>
      </c>
      <c r="C1516" s="61">
        <v>46223.0</v>
      </c>
      <c r="D1516" s="52" t="s">
        <v>14</v>
      </c>
      <c r="E1516" s="55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</row>
    <row r="1517">
      <c r="A1517" s="52" t="s">
        <v>39</v>
      </c>
      <c r="B1517" s="56">
        <v>-1000.0</v>
      </c>
      <c r="C1517" s="61">
        <v>46223.0</v>
      </c>
      <c r="D1517" s="52" t="s">
        <v>16</v>
      </c>
      <c r="E1517" s="55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</row>
    <row r="1518">
      <c r="A1518" s="52" t="s">
        <v>39</v>
      </c>
      <c r="B1518" s="56">
        <v>-4000.0</v>
      </c>
      <c r="C1518" s="61">
        <v>46223.0</v>
      </c>
      <c r="D1518" s="52" t="s">
        <v>19</v>
      </c>
      <c r="E1518" s="55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</row>
    <row r="1519">
      <c r="A1519" s="52" t="s">
        <v>39</v>
      </c>
      <c r="B1519" s="56">
        <v>-2000.0</v>
      </c>
      <c r="C1519" s="61">
        <v>46223.0</v>
      </c>
      <c r="D1519" s="52" t="s">
        <v>21</v>
      </c>
      <c r="E1519" s="55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</row>
    <row r="1520">
      <c r="A1520" s="52" t="s">
        <v>39</v>
      </c>
      <c r="B1520" s="56">
        <v>2000.0</v>
      </c>
      <c r="C1520" s="61">
        <v>46223.0</v>
      </c>
      <c r="D1520" s="52" t="s">
        <v>22</v>
      </c>
      <c r="E1520" s="52" t="s">
        <v>55</v>
      </c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</row>
    <row r="1521">
      <c r="A1521" s="52" t="s">
        <v>56</v>
      </c>
      <c r="B1521" s="56">
        <v>500.0</v>
      </c>
      <c r="C1521" s="61">
        <v>46223.0</v>
      </c>
      <c r="D1521" s="52" t="s">
        <v>1</v>
      </c>
      <c r="E1521" s="52" t="s">
        <v>73</v>
      </c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</row>
    <row r="1522">
      <c r="A1522" s="52" t="s">
        <v>56</v>
      </c>
      <c r="B1522" s="56">
        <v>700.0</v>
      </c>
      <c r="C1522" s="61">
        <v>46223.0</v>
      </c>
      <c r="D1522" s="52" t="s">
        <v>5</v>
      </c>
      <c r="E1522" s="52" t="s">
        <v>73</v>
      </c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</row>
    <row r="1523">
      <c r="A1523" s="52" t="s">
        <v>56</v>
      </c>
      <c r="B1523" s="56">
        <v>600.0</v>
      </c>
      <c r="C1523" s="61">
        <v>46223.0</v>
      </c>
      <c r="D1523" s="52" t="s">
        <v>2</v>
      </c>
      <c r="E1523" s="52" t="s">
        <v>73</v>
      </c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</row>
    <row r="1524">
      <c r="A1524" s="52" t="s">
        <v>56</v>
      </c>
      <c r="B1524" s="56">
        <v>900.0</v>
      </c>
      <c r="C1524" s="61">
        <v>46223.0</v>
      </c>
      <c r="D1524" s="52" t="s">
        <v>3</v>
      </c>
      <c r="E1524" s="52" t="s">
        <v>73</v>
      </c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</row>
    <row r="1525">
      <c r="A1525" s="52" t="s">
        <v>56</v>
      </c>
      <c r="B1525" s="56">
        <v>600.0</v>
      </c>
      <c r="C1525" s="61">
        <v>46223.0</v>
      </c>
      <c r="D1525" s="52" t="s">
        <v>14</v>
      </c>
      <c r="E1525" s="52" t="s">
        <v>73</v>
      </c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</row>
    <row r="1526">
      <c r="A1526" s="52" t="s">
        <v>56</v>
      </c>
      <c r="B1526" s="56">
        <v>400.0</v>
      </c>
      <c r="C1526" s="61">
        <v>46223.0</v>
      </c>
      <c r="D1526" s="52" t="s">
        <v>15</v>
      </c>
      <c r="E1526" s="52" t="s">
        <v>73</v>
      </c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</row>
    <row r="1527">
      <c r="A1527" s="52" t="s">
        <v>56</v>
      </c>
      <c r="B1527" s="56">
        <v>800.0</v>
      </c>
      <c r="C1527" s="61">
        <v>46223.0</v>
      </c>
      <c r="D1527" s="52" t="s">
        <v>16</v>
      </c>
      <c r="E1527" s="52" t="s">
        <v>73</v>
      </c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</row>
    <row r="1528">
      <c r="A1528" s="52" t="s">
        <v>56</v>
      </c>
      <c r="B1528" s="56">
        <v>800.0</v>
      </c>
      <c r="C1528" s="61">
        <v>46223.0</v>
      </c>
      <c r="D1528" s="52" t="s">
        <v>19</v>
      </c>
      <c r="E1528" s="52" t="s">
        <v>73</v>
      </c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</row>
    <row r="1529">
      <c r="A1529" s="52" t="s">
        <v>56</v>
      </c>
      <c r="B1529" s="56">
        <v>600.0</v>
      </c>
      <c r="C1529" s="61">
        <v>46223.0</v>
      </c>
      <c r="D1529" s="52" t="s">
        <v>20</v>
      </c>
      <c r="E1529" s="52" t="s">
        <v>73</v>
      </c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</row>
    <row r="1530">
      <c r="A1530" s="52" t="s">
        <v>56</v>
      </c>
      <c r="B1530" s="56">
        <v>800.0</v>
      </c>
      <c r="C1530" s="61">
        <v>46223.0</v>
      </c>
      <c r="D1530" s="52" t="s">
        <v>21</v>
      </c>
      <c r="E1530" s="52" t="s">
        <v>73</v>
      </c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</row>
    <row r="1531">
      <c r="A1531" s="52" t="s">
        <v>56</v>
      </c>
      <c r="B1531" s="56">
        <v>1100.0</v>
      </c>
      <c r="C1531" s="61">
        <v>46223.0</v>
      </c>
      <c r="D1531" s="52" t="s">
        <v>22</v>
      </c>
      <c r="E1531" s="52" t="s">
        <v>73</v>
      </c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</row>
    <row r="1532">
      <c r="A1532" s="52" t="s">
        <v>44</v>
      </c>
      <c r="B1532" s="56">
        <v>-1500.0</v>
      </c>
      <c r="C1532" s="61">
        <v>46223.0</v>
      </c>
      <c r="D1532" s="52" t="s">
        <v>14</v>
      </c>
      <c r="E1532" s="52" t="s">
        <v>206</v>
      </c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</row>
    <row r="1533">
      <c r="A1533" s="52" t="s">
        <v>44</v>
      </c>
      <c r="B1533" s="56">
        <v>-500.0</v>
      </c>
      <c r="C1533" s="61">
        <v>46223.0</v>
      </c>
      <c r="D1533" s="52" t="s">
        <v>14</v>
      </c>
      <c r="E1533" s="52" t="s">
        <v>74</v>
      </c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</row>
    <row r="1534">
      <c r="A1534" s="52" t="s">
        <v>44</v>
      </c>
      <c r="B1534" s="56">
        <v>-25.0</v>
      </c>
      <c r="C1534" s="61">
        <v>46223.0</v>
      </c>
      <c r="D1534" s="52" t="s">
        <v>14</v>
      </c>
      <c r="E1534" s="52" t="s">
        <v>162</v>
      </c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</row>
    <row r="1535">
      <c r="A1535" s="52" t="s">
        <v>44</v>
      </c>
      <c r="B1535" s="56">
        <v>-57.0</v>
      </c>
      <c r="C1535" s="61">
        <v>46223.0</v>
      </c>
      <c r="D1535" s="52" t="s">
        <v>16</v>
      </c>
      <c r="E1535" s="52" t="s">
        <v>104</v>
      </c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</row>
    <row r="1536">
      <c r="A1536" s="52" t="s">
        <v>44</v>
      </c>
      <c r="B1536" s="56">
        <v>-47.62</v>
      </c>
      <c r="C1536" s="61">
        <v>46223.0</v>
      </c>
      <c r="D1536" s="52" t="s">
        <v>20</v>
      </c>
      <c r="E1536" s="52" t="s">
        <v>170</v>
      </c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</row>
    <row r="1537">
      <c r="A1537" s="52" t="s">
        <v>44</v>
      </c>
      <c r="B1537" s="56">
        <v>-500.0</v>
      </c>
      <c r="C1537" s="61">
        <v>46223.0</v>
      </c>
      <c r="D1537" s="52" t="s">
        <v>22</v>
      </c>
      <c r="E1537" s="52" t="s">
        <v>84</v>
      </c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</row>
    <row r="1538">
      <c r="A1538" s="52" t="s">
        <v>36</v>
      </c>
      <c r="B1538" s="52">
        <v>-15091.75</v>
      </c>
      <c r="C1538" s="61">
        <v>46223.0</v>
      </c>
      <c r="D1538" s="52" t="s">
        <v>1</v>
      </c>
      <c r="E1538" s="52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</row>
    <row r="1539">
      <c r="A1539" s="52" t="s">
        <v>36</v>
      </c>
      <c r="B1539" s="52">
        <v>-10029.62</v>
      </c>
      <c r="C1539" s="61">
        <v>46223.0</v>
      </c>
      <c r="D1539" s="52" t="s">
        <v>5</v>
      </c>
      <c r="E1539" s="52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</row>
    <row r="1540">
      <c r="A1540" s="52" t="s">
        <v>36</v>
      </c>
      <c r="B1540" s="52">
        <v>-31338.25</v>
      </c>
      <c r="C1540" s="61">
        <v>46223.0</v>
      </c>
      <c r="D1540" s="52" t="s">
        <v>2</v>
      </c>
      <c r="E1540" s="52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</row>
    <row r="1541">
      <c r="A1541" s="52" t="s">
        <v>36</v>
      </c>
      <c r="B1541" s="52">
        <v>-25565.71</v>
      </c>
      <c r="C1541" s="61">
        <v>46223.0</v>
      </c>
      <c r="D1541" s="52" t="s">
        <v>3</v>
      </c>
      <c r="E1541" s="52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</row>
    <row r="1542">
      <c r="A1542" s="52" t="s">
        <v>36</v>
      </c>
      <c r="B1542" s="52">
        <v>-17908.09</v>
      </c>
      <c r="C1542" s="61">
        <v>46223.0</v>
      </c>
      <c r="D1542" s="52" t="s">
        <v>14</v>
      </c>
      <c r="E1542" s="52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</row>
    <row r="1543">
      <c r="A1543" s="52" t="s">
        <v>36</v>
      </c>
      <c r="B1543" s="52">
        <v>-12478.1</v>
      </c>
      <c r="C1543" s="61">
        <v>46223.0</v>
      </c>
      <c r="D1543" s="52" t="s">
        <v>15</v>
      </c>
      <c r="E1543" s="52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</row>
    <row r="1544">
      <c r="A1544" s="52" t="s">
        <v>36</v>
      </c>
      <c r="B1544" s="52">
        <v>-14273.7</v>
      </c>
      <c r="C1544" s="61">
        <v>46223.0</v>
      </c>
      <c r="D1544" s="52" t="s">
        <v>16</v>
      </c>
      <c r="E1544" s="52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</row>
    <row r="1545">
      <c r="A1545" s="52" t="s">
        <v>36</v>
      </c>
      <c r="B1545" s="52">
        <v>-13459.22</v>
      </c>
      <c r="C1545" s="61">
        <v>46223.0</v>
      </c>
      <c r="D1545" s="52" t="s">
        <v>19</v>
      </c>
      <c r="E1545" s="52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</row>
    <row r="1546">
      <c r="A1546" s="52" t="s">
        <v>36</v>
      </c>
      <c r="B1546" s="52">
        <v>-9984.53</v>
      </c>
      <c r="C1546" s="61">
        <v>46223.0</v>
      </c>
      <c r="D1546" s="52" t="s">
        <v>20</v>
      </c>
      <c r="E1546" s="52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</row>
    <row r="1547">
      <c r="A1547" s="52" t="s">
        <v>36</v>
      </c>
      <c r="B1547" s="52">
        <v>-12532.47</v>
      </c>
      <c r="C1547" s="61">
        <v>46223.0</v>
      </c>
      <c r="D1547" s="52" t="s">
        <v>21</v>
      </c>
      <c r="E1547" s="52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</row>
    <row r="1548">
      <c r="A1548" s="52" t="s">
        <v>36</v>
      </c>
      <c r="B1548" s="52">
        <v>-28670.76</v>
      </c>
      <c r="C1548" s="61">
        <v>46223.0</v>
      </c>
      <c r="D1548" s="52" t="s">
        <v>22</v>
      </c>
      <c r="E1548" s="52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</row>
    <row r="1549">
      <c r="A1549" s="52" t="s">
        <v>65</v>
      </c>
      <c r="B1549" s="56">
        <v>-8177.0</v>
      </c>
      <c r="C1549" s="61">
        <v>46224.0</v>
      </c>
      <c r="D1549" s="52" t="s">
        <v>1</v>
      </c>
      <c r="E1549" s="52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</row>
    <row r="1550">
      <c r="A1550" s="52" t="s">
        <v>65</v>
      </c>
      <c r="B1550" s="52">
        <v>-2170.79</v>
      </c>
      <c r="C1550" s="61">
        <v>46224.0</v>
      </c>
      <c r="D1550" s="52" t="s">
        <v>3</v>
      </c>
      <c r="E1550" s="52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</row>
    <row r="1551">
      <c r="A1551" s="52" t="s">
        <v>65</v>
      </c>
      <c r="B1551" s="52">
        <v>-1989.92</v>
      </c>
      <c r="C1551" s="61">
        <v>46224.0</v>
      </c>
      <c r="D1551" s="52" t="s">
        <v>19</v>
      </c>
      <c r="E1551" s="52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</row>
    <row r="1552">
      <c r="A1552" s="52" t="s">
        <v>37</v>
      </c>
      <c r="B1552" s="52">
        <v>47785.37</v>
      </c>
      <c r="C1552" s="61">
        <v>46224.0</v>
      </c>
      <c r="D1552" s="52" t="s">
        <v>1</v>
      </c>
      <c r="E1552" s="52" t="s">
        <v>112</v>
      </c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</row>
    <row r="1553">
      <c r="A1553" s="52" t="s">
        <v>37</v>
      </c>
      <c r="B1553" s="52">
        <v>41946.46</v>
      </c>
      <c r="C1553" s="61">
        <v>46224.0</v>
      </c>
      <c r="D1553" s="52" t="s">
        <v>5</v>
      </c>
      <c r="E1553" s="52" t="s">
        <v>112</v>
      </c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</row>
    <row r="1554">
      <c r="A1554" s="52" t="s">
        <v>37</v>
      </c>
      <c r="B1554" s="52">
        <v>74834.57</v>
      </c>
      <c r="C1554" s="61">
        <v>46224.0</v>
      </c>
      <c r="D1554" s="52" t="s">
        <v>2</v>
      </c>
      <c r="E1554" s="52" t="s">
        <v>112</v>
      </c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</row>
    <row r="1555">
      <c r="A1555" s="52" t="s">
        <v>37</v>
      </c>
      <c r="B1555" s="52">
        <v>79089.17</v>
      </c>
      <c r="C1555" s="61">
        <v>46224.0</v>
      </c>
      <c r="D1555" s="52" t="s">
        <v>3</v>
      </c>
      <c r="E1555" s="52" t="s">
        <v>112</v>
      </c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</row>
    <row r="1556">
      <c r="A1556" s="52" t="s">
        <v>37</v>
      </c>
      <c r="B1556" s="52">
        <v>61256.48</v>
      </c>
      <c r="C1556" s="61">
        <v>46224.0</v>
      </c>
      <c r="D1556" s="52" t="s">
        <v>14</v>
      </c>
      <c r="E1556" s="52" t="s">
        <v>112</v>
      </c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</row>
    <row r="1557">
      <c r="A1557" s="52" t="s">
        <v>37</v>
      </c>
      <c r="B1557" s="52">
        <v>32146.02</v>
      </c>
      <c r="C1557" s="61">
        <v>46224.0</v>
      </c>
      <c r="D1557" s="52" t="s">
        <v>15</v>
      </c>
      <c r="E1557" s="52" t="s">
        <v>112</v>
      </c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</row>
    <row r="1558">
      <c r="A1558" s="52" t="s">
        <v>37</v>
      </c>
      <c r="B1558" s="52">
        <v>54587.28</v>
      </c>
      <c r="C1558" s="61">
        <v>46224.0</v>
      </c>
      <c r="D1558" s="52" t="s">
        <v>16</v>
      </c>
      <c r="E1558" s="52" t="s">
        <v>112</v>
      </c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</row>
    <row r="1559">
      <c r="A1559" s="52" t="s">
        <v>37</v>
      </c>
      <c r="B1559" s="52">
        <v>56915.5</v>
      </c>
      <c r="C1559" s="61">
        <v>46224.0</v>
      </c>
      <c r="D1559" s="52" t="s">
        <v>19</v>
      </c>
      <c r="E1559" s="52" t="s">
        <v>112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</row>
    <row r="1560">
      <c r="A1560" s="52" t="s">
        <v>37</v>
      </c>
      <c r="B1560" s="52">
        <v>33943.75</v>
      </c>
      <c r="C1560" s="61">
        <v>46224.0</v>
      </c>
      <c r="D1560" s="52" t="s">
        <v>20</v>
      </c>
      <c r="E1560" s="52" t="s">
        <v>112</v>
      </c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</row>
    <row r="1561">
      <c r="A1561" s="52" t="s">
        <v>37</v>
      </c>
      <c r="B1561" s="52">
        <v>50901.53</v>
      </c>
      <c r="C1561" s="61">
        <v>46224.0</v>
      </c>
      <c r="D1561" s="52" t="s">
        <v>21</v>
      </c>
      <c r="E1561" s="52" t="s">
        <v>112</v>
      </c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</row>
    <row r="1562">
      <c r="A1562" s="52" t="s">
        <v>37</v>
      </c>
      <c r="B1562" s="52">
        <v>93304.61</v>
      </c>
      <c r="C1562" s="61">
        <v>46224.0</v>
      </c>
      <c r="D1562" s="52" t="s">
        <v>22</v>
      </c>
      <c r="E1562" s="52" t="s">
        <v>112</v>
      </c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</row>
    <row r="1563">
      <c r="A1563" s="52" t="s">
        <v>39</v>
      </c>
      <c r="B1563" s="56">
        <v>-500.0</v>
      </c>
      <c r="C1563" s="61">
        <v>46225.0</v>
      </c>
      <c r="D1563" s="52" t="s">
        <v>14</v>
      </c>
      <c r="E1563" s="55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</row>
    <row r="1564">
      <c r="A1564" s="52" t="s">
        <v>39</v>
      </c>
      <c r="B1564" s="56">
        <v>-500.0</v>
      </c>
      <c r="C1564" s="61">
        <v>46225.0</v>
      </c>
      <c r="D1564" s="52" t="s">
        <v>16</v>
      </c>
      <c r="E1564" s="55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</row>
    <row r="1565">
      <c r="A1565" s="52" t="s">
        <v>39</v>
      </c>
      <c r="B1565" s="56">
        <v>-1000.0</v>
      </c>
      <c r="C1565" s="61">
        <v>46225.0</v>
      </c>
      <c r="D1565" s="52" t="s">
        <v>19</v>
      </c>
      <c r="E1565" s="55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</row>
    <row r="1566">
      <c r="A1566" s="52" t="s">
        <v>39</v>
      </c>
      <c r="B1566" s="56">
        <v>-500.0</v>
      </c>
      <c r="C1566" s="61">
        <v>46225.0</v>
      </c>
      <c r="D1566" s="52" t="s">
        <v>21</v>
      </c>
      <c r="E1566" s="55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</row>
    <row r="1567">
      <c r="A1567" s="52" t="s">
        <v>39</v>
      </c>
      <c r="B1567" s="52">
        <v>-1724.66</v>
      </c>
      <c r="C1567" s="61">
        <v>46225.0</v>
      </c>
      <c r="D1567" s="52" t="s">
        <v>22</v>
      </c>
      <c r="E1567" s="52" t="s">
        <v>163</v>
      </c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</row>
    <row r="1568">
      <c r="A1568" s="52" t="s">
        <v>39</v>
      </c>
      <c r="B1568" s="52">
        <v>-312.36</v>
      </c>
      <c r="C1568" s="61">
        <v>46225.0</v>
      </c>
      <c r="D1568" s="52" t="s">
        <v>22</v>
      </c>
      <c r="E1568" s="52" t="s">
        <v>47</v>
      </c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</row>
    <row r="1569">
      <c r="A1569" s="52" t="s">
        <v>44</v>
      </c>
      <c r="B1569" s="52">
        <v>-137.5</v>
      </c>
      <c r="C1569" s="61">
        <v>46225.0</v>
      </c>
      <c r="D1569" s="52" t="s">
        <v>14</v>
      </c>
      <c r="E1569" s="52" t="s">
        <v>162</v>
      </c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</row>
    <row r="1570">
      <c r="A1570" s="52" t="s">
        <v>44</v>
      </c>
      <c r="B1570" s="52">
        <v>-86.5</v>
      </c>
      <c r="C1570" s="61">
        <v>46225.0</v>
      </c>
      <c r="D1570" s="52" t="s">
        <v>14</v>
      </c>
      <c r="E1570" s="52" t="s">
        <v>207</v>
      </c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</row>
    <row r="1571">
      <c r="A1571" s="52" t="s">
        <v>44</v>
      </c>
      <c r="B1571" s="56">
        <v>-54.0</v>
      </c>
      <c r="C1571" s="61">
        <v>46225.0</v>
      </c>
      <c r="D1571" s="52" t="s">
        <v>16</v>
      </c>
      <c r="E1571" s="52" t="s">
        <v>208</v>
      </c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</row>
    <row r="1572">
      <c r="A1572" s="52" t="s">
        <v>44</v>
      </c>
      <c r="B1572" s="56">
        <v>-250.0</v>
      </c>
      <c r="C1572" s="61">
        <v>46225.0</v>
      </c>
      <c r="D1572" s="52" t="s">
        <v>20</v>
      </c>
      <c r="E1572" s="52" t="s">
        <v>209</v>
      </c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</row>
    <row r="1573">
      <c r="A1573" s="52" t="s">
        <v>39</v>
      </c>
      <c r="B1573" s="56">
        <v>-500.0</v>
      </c>
      <c r="C1573" s="61">
        <v>46226.0</v>
      </c>
      <c r="D1573" s="52" t="s">
        <v>14</v>
      </c>
      <c r="E1573" s="55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</row>
    <row r="1574">
      <c r="A1574" s="52" t="s">
        <v>56</v>
      </c>
      <c r="B1574" s="56">
        <v>-52.0</v>
      </c>
      <c r="C1574" s="61">
        <v>46226.0</v>
      </c>
      <c r="D1574" s="52" t="s">
        <v>3</v>
      </c>
      <c r="E1574" s="52" t="s">
        <v>210</v>
      </c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</row>
    <row r="1575">
      <c r="A1575" s="52" t="s">
        <v>56</v>
      </c>
      <c r="B1575" s="52">
        <v>-77.36</v>
      </c>
      <c r="C1575" s="61">
        <v>46226.0</v>
      </c>
      <c r="D1575" s="52" t="s">
        <v>14</v>
      </c>
      <c r="E1575" s="52" t="s">
        <v>210</v>
      </c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</row>
    <row r="1576">
      <c r="A1576" s="52" t="s">
        <v>56</v>
      </c>
      <c r="B1576" s="56">
        <v>-5.0</v>
      </c>
      <c r="C1576" s="61">
        <v>46226.0</v>
      </c>
      <c r="D1576" s="52" t="s">
        <v>15</v>
      </c>
      <c r="E1576" s="52" t="s">
        <v>210</v>
      </c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</row>
    <row r="1577">
      <c r="A1577" s="52" t="s">
        <v>56</v>
      </c>
      <c r="B1577" s="56">
        <v>-1.0</v>
      </c>
      <c r="C1577" s="61">
        <v>46226.0</v>
      </c>
      <c r="D1577" s="52" t="s">
        <v>16</v>
      </c>
      <c r="E1577" s="52" t="s">
        <v>210</v>
      </c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</row>
    <row r="1578">
      <c r="A1578" s="52" t="s">
        <v>56</v>
      </c>
      <c r="B1578" s="52">
        <v>-139.2</v>
      </c>
      <c r="C1578" s="61">
        <v>46226.0</v>
      </c>
      <c r="D1578" s="52" t="s">
        <v>19</v>
      </c>
      <c r="E1578" s="52" t="s">
        <v>210</v>
      </c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</row>
    <row r="1579">
      <c r="A1579" s="52" t="s">
        <v>56</v>
      </c>
      <c r="B1579" s="56">
        <v>-408.0</v>
      </c>
      <c r="C1579" s="61">
        <v>46226.0</v>
      </c>
      <c r="D1579" s="52" t="s">
        <v>21</v>
      </c>
      <c r="E1579" s="52" t="s">
        <v>210</v>
      </c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</row>
    <row r="1580">
      <c r="A1580" s="52" t="s">
        <v>56</v>
      </c>
      <c r="B1580" s="56">
        <v>-5.0</v>
      </c>
      <c r="C1580" s="61">
        <v>46226.0</v>
      </c>
      <c r="D1580" s="52" t="s">
        <v>22</v>
      </c>
      <c r="E1580" s="52" t="s">
        <v>210</v>
      </c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</row>
    <row r="1581">
      <c r="A1581" s="52" t="s">
        <v>44</v>
      </c>
      <c r="B1581" s="56">
        <v>-280.0</v>
      </c>
      <c r="C1581" s="61">
        <v>46226.0</v>
      </c>
      <c r="D1581" s="52" t="s">
        <v>14</v>
      </c>
      <c r="E1581" s="52" t="s">
        <v>162</v>
      </c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</row>
    <row r="1582">
      <c r="A1582" s="52" t="s">
        <v>44</v>
      </c>
      <c r="B1582" s="56">
        <v>-921.0</v>
      </c>
      <c r="C1582" s="61">
        <v>46226.0</v>
      </c>
      <c r="D1582" s="52" t="s">
        <v>22</v>
      </c>
      <c r="E1582" s="52" t="s">
        <v>99</v>
      </c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</row>
    <row r="1583">
      <c r="A1583" s="52" t="s">
        <v>39</v>
      </c>
      <c r="B1583" s="56">
        <v>1500.0</v>
      </c>
      <c r="C1583" s="61">
        <v>46227.0</v>
      </c>
      <c r="D1583" s="52" t="s">
        <v>2</v>
      </c>
      <c r="E1583" s="52" t="s">
        <v>55</v>
      </c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</row>
    <row r="1584">
      <c r="A1584" s="52" t="s">
        <v>39</v>
      </c>
      <c r="B1584" s="56">
        <v>-500.0</v>
      </c>
      <c r="C1584" s="61">
        <v>46227.0</v>
      </c>
      <c r="D1584" s="52" t="s">
        <v>14</v>
      </c>
      <c r="E1584" s="55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</row>
    <row r="1585">
      <c r="A1585" s="52" t="s">
        <v>39</v>
      </c>
      <c r="B1585" s="56">
        <v>1000.0</v>
      </c>
      <c r="C1585" s="61">
        <v>46227.0</v>
      </c>
      <c r="D1585" s="52" t="s">
        <v>15</v>
      </c>
      <c r="E1585" s="52" t="s">
        <v>55</v>
      </c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</row>
    <row r="1586">
      <c r="A1586" s="52" t="s">
        <v>39</v>
      </c>
      <c r="B1586" s="56">
        <v>-1000.0</v>
      </c>
      <c r="C1586" s="61">
        <v>46227.0</v>
      </c>
      <c r="D1586" s="52" t="s">
        <v>16</v>
      </c>
      <c r="E1586" s="55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</row>
    <row r="1587">
      <c r="A1587" s="52" t="s">
        <v>39</v>
      </c>
      <c r="B1587" s="56">
        <v>-1500.0</v>
      </c>
      <c r="C1587" s="61">
        <v>46227.0</v>
      </c>
      <c r="D1587" s="52" t="s">
        <v>22</v>
      </c>
      <c r="E1587" s="55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</row>
    <row r="1588">
      <c r="A1588" s="52" t="s">
        <v>39</v>
      </c>
      <c r="B1588" s="56">
        <v>-416.48</v>
      </c>
      <c r="C1588" s="61">
        <v>46227.0</v>
      </c>
      <c r="D1588" s="52" t="s">
        <v>22</v>
      </c>
      <c r="E1588" s="52" t="s">
        <v>47</v>
      </c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</row>
    <row r="1589">
      <c r="A1589" s="52" t="s">
        <v>44</v>
      </c>
      <c r="B1589" s="56">
        <v>-33.0</v>
      </c>
      <c r="C1589" s="61">
        <v>46227.0</v>
      </c>
      <c r="D1589" s="52" t="s">
        <v>5</v>
      </c>
      <c r="E1589" s="52" t="s">
        <v>211</v>
      </c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</row>
    <row r="1590">
      <c r="A1590" s="52" t="s">
        <v>44</v>
      </c>
      <c r="B1590" s="56">
        <v>-45.0</v>
      </c>
      <c r="C1590" s="61">
        <v>46227.0</v>
      </c>
      <c r="D1590" s="52" t="s">
        <v>3</v>
      </c>
      <c r="E1590" s="52" t="s">
        <v>212</v>
      </c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</row>
    <row r="1591">
      <c r="A1591" s="52" t="s">
        <v>44</v>
      </c>
      <c r="B1591" s="56">
        <v>-78.0</v>
      </c>
      <c r="C1591" s="61">
        <v>46227.0</v>
      </c>
      <c r="D1591" s="52" t="s">
        <v>3</v>
      </c>
      <c r="E1591" s="52" t="s">
        <v>213</v>
      </c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</row>
    <row r="1592">
      <c r="A1592" s="52" t="s">
        <v>39</v>
      </c>
      <c r="B1592" s="56">
        <v>-500.0</v>
      </c>
      <c r="C1592" s="65">
        <v>46230.0</v>
      </c>
      <c r="D1592" s="52" t="s">
        <v>1</v>
      </c>
      <c r="E1592" s="55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</row>
    <row r="1593">
      <c r="A1593" s="52" t="s">
        <v>39</v>
      </c>
      <c r="B1593" s="56">
        <v>-1500.0</v>
      </c>
      <c r="C1593" s="65">
        <v>46230.0</v>
      </c>
      <c r="D1593" s="52" t="s">
        <v>5</v>
      </c>
      <c r="E1593" s="55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</row>
    <row r="1594">
      <c r="A1594" s="52" t="s">
        <v>39</v>
      </c>
      <c r="B1594" s="56">
        <v>-2000.0</v>
      </c>
      <c r="C1594" s="65">
        <v>46230.0</v>
      </c>
      <c r="D1594" s="52" t="s">
        <v>14</v>
      </c>
      <c r="E1594" s="55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</row>
    <row r="1595">
      <c r="A1595" s="52" t="s">
        <v>39</v>
      </c>
      <c r="B1595" s="56">
        <v>-1500.0</v>
      </c>
      <c r="C1595" s="65">
        <v>46230.0</v>
      </c>
      <c r="D1595" s="52" t="s">
        <v>16</v>
      </c>
      <c r="E1595" s="55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</row>
    <row r="1596">
      <c r="A1596" s="52" t="s">
        <v>39</v>
      </c>
      <c r="B1596" s="56">
        <v>-2500.0</v>
      </c>
      <c r="C1596" s="65">
        <v>46230.0</v>
      </c>
      <c r="D1596" s="52" t="s">
        <v>19</v>
      </c>
      <c r="E1596" s="55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</row>
    <row r="1597">
      <c r="A1597" s="52" t="s">
        <v>39</v>
      </c>
      <c r="B1597" s="56">
        <v>-1500.0</v>
      </c>
      <c r="C1597" s="65">
        <v>46230.0</v>
      </c>
      <c r="D1597" s="52" t="s">
        <v>21</v>
      </c>
      <c r="E1597" s="55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</row>
    <row r="1598">
      <c r="A1598" s="52" t="s">
        <v>39</v>
      </c>
      <c r="B1598" s="56">
        <v>-2500.0</v>
      </c>
      <c r="C1598" s="65">
        <v>46230.0</v>
      </c>
      <c r="D1598" s="52" t="s">
        <v>22</v>
      </c>
      <c r="E1598" s="55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</row>
    <row r="1599">
      <c r="A1599" s="52" t="s">
        <v>36</v>
      </c>
      <c r="B1599" s="52">
        <v>-7121.36</v>
      </c>
      <c r="C1599" s="65">
        <v>46231.0</v>
      </c>
      <c r="D1599" s="52" t="s">
        <v>1</v>
      </c>
      <c r="E1599" s="55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</row>
    <row r="1600">
      <c r="A1600" s="52" t="s">
        <v>36</v>
      </c>
      <c r="B1600" s="52">
        <v>-5230.98</v>
      </c>
      <c r="C1600" s="65">
        <v>46231.0</v>
      </c>
      <c r="D1600" s="52" t="s">
        <v>5</v>
      </c>
      <c r="E1600" s="55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</row>
    <row r="1601">
      <c r="A1601" s="52" t="s">
        <v>36</v>
      </c>
      <c r="B1601" s="52">
        <v>-14254.95</v>
      </c>
      <c r="C1601" s="65">
        <v>46231.0</v>
      </c>
      <c r="D1601" s="52" t="s">
        <v>2</v>
      </c>
      <c r="E1601" s="55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</row>
    <row r="1602">
      <c r="A1602" s="52" t="s">
        <v>36</v>
      </c>
      <c r="B1602" s="52">
        <v>-14110.25</v>
      </c>
      <c r="C1602" s="65">
        <v>46231.0</v>
      </c>
      <c r="D1602" s="52" t="s">
        <v>3</v>
      </c>
      <c r="E1602" s="55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</row>
    <row r="1603">
      <c r="A1603" s="52" t="s">
        <v>36</v>
      </c>
      <c r="B1603" s="52">
        <v>-8698.49</v>
      </c>
      <c r="C1603" s="65">
        <v>46231.0</v>
      </c>
      <c r="D1603" s="52" t="s">
        <v>14</v>
      </c>
      <c r="E1603" s="55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</row>
    <row r="1604">
      <c r="A1604" s="52" t="s">
        <v>36</v>
      </c>
      <c r="B1604" s="52">
        <v>-4688.14</v>
      </c>
      <c r="C1604" s="65">
        <v>46231.0</v>
      </c>
      <c r="D1604" s="52" t="s">
        <v>15</v>
      </c>
      <c r="E1604" s="55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</row>
    <row r="1605">
      <c r="A1605" s="52" t="s">
        <v>36</v>
      </c>
      <c r="B1605" s="52">
        <v>-6960.55</v>
      </c>
      <c r="C1605" s="65">
        <v>46231.0</v>
      </c>
      <c r="D1605" s="52" t="s">
        <v>16</v>
      </c>
      <c r="E1605" s="55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</row>
    <row r="1606">
      <c r="A1606" s="52" t="s">
        <v>36</v>
      </c>
      <c r="B1606" s="52">
        <v>-6917.75</v>
      </c>
      <c r="C1606" s="65">
        <v>46231.0</v>
      </c>
      <c r="D1606" s="52" t="s">
        <v>19</v>
      </c>
      <c r="E1606" s="55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</row>
    <row r="1607">
      <c r="A1607" s="52" t="s">
        <v>36</v>
      </c>
      <c r="B1607" s="52">
        <v>-4278.92</v>
      </c>
      <c r="C1607" s="65">
        <v>46231.0</v>
      </c>
      <c r="D1607" s="52" t="s">
        <v>20</v>
      </c>
      <c r="E1607" s="55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</row>
    <row r="1608">
      <c r="A1608" s="52" t="s">
        <v>36</v>
      </c>
      <c r="B1608" s="56">
        <v>-6801.0</v>
      </c>
      <c r="C1608" s="65">
        <v>46231.0</v>
      </c>
      <c r="D1608" s="52" t="s">
        <v>21</v>
      </c>
      <c r="E1608" s="55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</row>
    <row r="1609">
      <c r="A1609" s="52" t="s">
        <v>36</v>
      </c>
      <c r="B1609" s="52">
        <v>-14525.16</v>
      </c>
      <c r="C1609" s="65">
        <v>46231.0</v>
      </c>
      <c r="D1609" s="52" t="s">
        <v>22</v>
      </c>
      <c r="E1609" s="55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</row>
    <row r="1610">
      <c r="A1610" s="52" t="s">
        <v>39</v>
      </c>
      <c r="B1610" s="56">
        <v>-364.0</v>
      </c>
      <c r="C1610" s="65">
        <v>46231.0</v>
      </c>
      <c r="D1610" s="52" t="s">
        <v>22</v>
      </c>
      <c r="E1610" s="52" t="s">
        <v>153</v>
      </c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</row>
    <row r="1611">
      <c r="A1611" s="52" t="s">
        <v>39</v>
      </c>
      <c r="B1611" s="56">
        <v>-1585.0</v>
      </c>
      <c r="C1611" s="65">
        <v>46231.0</v>
      </c>
      <c r="D1611" s="52" t="s">
        <v>22</v>
      </c>
      <c r="E1611" s="52" t="s">
        <v>214</v>
      </c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</row>
    <row r="1612">
      <c r="A1612" s="52" t="s">
        <v>39</v>
      </c>
      <c r="B1612" s="56">
        <v>-500.0</v>
      </c>
      <c r="C1612" s="65">
        <v>46232.0</v>
      </c>
      <c r="D1612" s="52" t="s">
        <v>16</v>
      </c>
      <c r="E1612" s="55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</row>
    <row r="1613">
      <c r="A1613" s="52" t="s">
        <v>39</v>
      </c>
      <c r="B1613" s="56">
        <v>-2000.0</v>
      </c>
      <c r="C1613" s="65">
        <v>46232.0</v>
      </c>
      <c r="D1613" s="52" t="s">
        <v>19</v>
      </c>
      <c r="E1613" s="55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</row>
    <row r="1614">
      <c r="A1614" s="52" t="s">
        <v>39</v>
      </c>
      <c r="B1614" s="56">
        <v>-1000.0</v>
      </c>
      <c r="C1614" s="65">
        <v>46232.0</v>
      </c>
      <c r="D1614" s="52" t="s">
        <v>21</v>
      </c>
      <c r="E1614" s="55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</row>
    <row r="1615">
      <c r="A1615" s="52" t="s">
        <v>39</v>
      </c>
      <c r="B1615" s="56">
        <v>-1000.0</v>
      </c>
      <c r="C1615" s="65">
        <v>46232.0</v>
      </c>
      <c r="D1615" s="52" t="s">
        <v>22</v>
      </c>
      <c r="E1615" s="55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</row>
    <row r="1616">
      <c r="A1616" s="52" t="s">
        <v>44</v>
      </c>
      <c r="B1616" s="56">
        <v>-27.0</v>
      </c>
      <c r="C1616" s="65">
        <v>46231.0</v>
      </c>
      <c r="D1616" s="52" t="s">
        <v>14</v>
      </c>
      <c r="E1616" s="52" t="s">
        <v>215</v>
      </c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</row>
    <row r="1617">
      <c r="A1617" s="52" t="s">
        <v>39</v>
      </c>
      <c r="B1617" s="56">
        <v>-410.0</v>
      </c>
      <c r="C1617" s="65">
        <v>46234.0</v>
      </c>
      <c r="D1617" s="52" t="s">
        <v>16</v>
      </c>
      <c r="E1617" s="52" t="s">
        <v>216</v>
      </c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</row>
    <row r="1618">
      <c r="A1618" s="52" t="s">
        <v>39</v>
      </c>
      <c r="B1618" s="56">
        <v>-390.0</v>
      </c>
      <c r="C1618" s="65">
        <v>46234.0</v>
      </c>
      <c r="D1618" s="52" t="s">
        <v>22</v>
      </c>
      <c r="E1618" s="52" t="s">
        <v>217</v>
      </c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</row>
    <row r="1619">
      <c r="A1619" s="52" t="s">
        <v>56</v>
      </c>
      <c r="B1619" s="56">
        <v>-20.0</v>
      </c>
      <c r="C1619" s="65">
        <v>46234.0</v>
      </c>
      <c r="D1619" s="52" t="s">
        <v>5</v>
      </c>
      <c r="E1619" s="55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</row>
    <row r="1620">
      <c r="A1620" s="52" t="s">
        <v>56</v>
      </c>
      <c r="B1620" s="56">
        <v>-156.0</v>
      </c>
      <c r="C1620" s="65">
        <v>46234.0</v>
      </c>
      <c r="D1620" s="52" t="s">
        <v>3</v>
      </c>
      <c r="E1620" s="55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</row>
    <row r="1621">
      <c r="A1621" s="52" t="s">
        <v>56</v>
      </c>
      <c r="B1621" s="52">
        <v>-150.2</v>
      </c>
      <c r="C1621" s="65">
        <v>46234.0</v>
      </c>
      <c r="D1621" s="52" t="s">
        <v>14</v>
      </c>
      <c r="E1621" s="55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</row>
    <row r="1622">
      <c r="A1622" s="52" t="s">
        <v>56</v>
      </c>
      <c r="B1622" s="52">
        <v>-401.5</v>
      </c>
      <c r="C1622" s="65">
        <v>46234.0</v>
      </c>
      <c r="D1622" s="52" t="s">
        <v>21</v>
      </c>
      <c r="E1622" s="55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</row>
    <row r="1623">
      <c r="A1623" s="52" t="s">
        <v>56</v>
      </c>
      <c r="B1623" s="56">
        <v>-92.0</v>
      </c>
      <c r="C1623" s="65">
        <v>46234.0</v>
      </c>
      <c r="D1623" s="52" t="s">
        <v>22</v>
      </c>
      <c r="E1623" s="55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</row>
    <row r="1624">
      <c r="A1624" s="52" t="s">
        <v>65</v>
      </c>
      <c r="B1624" s="52">
        <v>-1831.49</v>
      </c>
      <c r="C1624" s="65">
        <v>46234.0</v>
      </c>
      <c r="D1624" s="52" t="s">
        <v>15</v>
      </c>
      <c r="E1624" s="55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</row>
    <row r="1625">
      <c r="A1625" s="52" t="s">
        <v>44</v>
      </c>
      <c r="B1625" s="52">
        <v>-53.8</v>
      </c>
      <c r="C1625" s="65">
        <v>46234.0</v>
      </c>
      <c r="D1625" s="52" t="s">
        <v>3</v>
      </c>
      <c r="E1625" s="52" t="s">
        <v>218</v>
      </c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</row>
    <row r="1626">
      <c r="A1626" s="52" t="s">
        <v>44</v>
      </c>
      <c r="B1626" s="52">
        <v>-100.2</v>
      </c>
      <c r="C1626" s="65">
        <v>46234.0</v>
      </c>
      <c r="D1626" s="52" t="s">
        <v>16</v>
      </c>
      <c r="E1626" s="52" t="s">
        <v>219</v>
      </c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</row>
    <row r="1627">
      <c r="A1627" s="52" t="s">
        <v>44</v>
      </c>
      <c r="B1627" s="56">
        <v>-55.0</v>
      </c>
      <c r="C1627" s="65">
        <v>46234.0</v>
      </c>
      <c r="D1627" s="52" t="s">
        <v>16</v>
      </c>
      <c r="E1627" s="52" t="s">
        <v>220</v>
      </c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</row>
    <row r="1628">
      <c r="A1628" s="52" t="s">
        <v>44</v>
      </c>
      <c r="B1628" s="52">
        <v>-24.2</v>
      </c>
      <c r="C1628" s="65">
        <v>46234.0</v>
      </c>
      <c r="D1628" s="52" t="s">
        <v>22</v>
      </c>
      <c r="E1628" s="52" t="s">
        <v>221</v>
      </c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</row>
    <row r="1629">
      <c r="A1629" s="52" t="s">
        <v>36</v>
      </c>
      <c r="B1629" s="52">
        <v>-7891.65</v>
      </c>
      <c r="C1629" s="61">
        <v>46237.0</v>
      </c>
      <c r="D1629" s="52" t="s">
        <v>1</v>
      </c>
      <c r="E1629" s="55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</row>
    <row r="1630">
      <c r="A1630" s="52" t="s">
        <v>36</v>
      </c>
      <c r="B1630" s="52">
        <v>-6127.02</v>
      </c>
      <c r="C1630" s="61">
        <v>46237.0</v>
      </c>
      <c r="D1630" s="52" t="s">
        <v>5</v>
      </c>
      <c r="E1630" s="55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</row>
    <row r="1631">
      <c r="A1631" s="52" t="s">
        <v>36</v>
      </c>
      <c r="B1631" s="52">
        <v>-15141.01</v>
      </c>
      <c r="C1631" s="61">
        <v>46237.0</v>
      </c>
      <c r="D1631" s="52" t="s">
        <v>2</v>
      </c>
      <c r="E1631" s="55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</row>
    <row r="1632">
      <c r="A1632" s="52" t="s">
        <v>36</v>
      </c>
      <c r="B1632" s="52">
        <v>-14005.42</v>
      </c>
      <c r="C1632" s="61">
        <v>46237.0</v>
      </c>
      <c r="D1632" s="52" t="s">
        <v>3</v>
      </c>
      <c r="E1632" s="55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</row>
    <row r="1633">
      <c r="A1633" s="52" t="s">
        <v>36</v>
      </c>
      <c r="B1633" s="52">
        <v>-8339.88</v>
      </c>
      <c r="C1633" s="61">
        <v>46237.0</v>
      </c>
      <c r="D1633" s="52" t="s">
        <v>14</v>
      </c>
      <c r="E1633" s="55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</row>
    <row r="1634">
      <c r="A1634" s="52" t="s">
        <v>36</v>
      </c>
      <c r="B1634" s="52">
        <v>-5244.04</v>
      </c>
      <c r="C1634" s="61">
        <v>46237.0</v>
      </c>
      <c r="D1634" s="52" t="s">
        <v>15</v>
      </c>
      <c r="E1634" s="55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</row>
    <row r="1635">
      <c r="A1635" s="52" t="s">
        <v>36</v>
      </c>
      <c r="B1635" s="52">
        <v>-8155.41</v>
      </c>
      <c r="C1635" s="61">
        <v>46237.0</v>
      </c>
      <c r="D1635" s="52" t="s">
        <v>16</v>
      </c>
      <c r="E1635" s="55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</row>
    <row r="1636">
      <c r="A1636" s="52" t="s">
        <v>36</v>
      </c>
      <c r="B1636" s="52">
        <v>-7611.07</v>
      </c>
      <c r="C1636" s="61">
        <v>46237.0</v>
      </c>
      <c r="D1636" s="52" t="s">
        <v>19</v>
      </c>
      <c r="E1636" s="55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</row>
    <row r="1637">
      <c r="A1637" s="52" t="s">
        <v>36</v>
      </c>
      <c r="B1637" s="52">
        <v>-5089.19</v>
      </c>
      <c r="C1637" s="61">
        <v>46237.0</v>
      </c>
      <c r="D1637" s="52" t="s">
        <v>20</v>
      </c>
      <c r="E1637" s="55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</row>
    <row r="1638">
      <c r="A1638" s="52" t="s">
        <v>36</v>
      </c>
      <c r="B1638" s="52">
        <v>-4306.88</v>
      </c>
      <c r="C1638" s="61">
        <v>46237.0</v>
      </c>
      <c r="D1638" s="52" t="s">
        <v>21</v>
      </c>
      <c r="E1638" s="55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</row>
    <row r="1639">
      <c r="A1639" s="52" t="s">
        <v>36</v>
      </c>
      <c r="B1639" s="52">
        <v>-14870.29</v>
      </c>
      <c r="C1639" s="61">
        <v>46237.0</v>
      </c>
      <c r="D1639" s="52" t="s">
        <v>22</v>
      </c>
      <c r="E1639" s="55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</row>
    <row r="1640">
      <c r="A1640" s="52" t="s">
        <v>39</v>
      </c>
      <c r="B1640" s="56">
        <v>-3000.0</v>
      </c>
      <c r="C1640" s="61">
        <v>46237.0</v>
      </c>
      <c r="D1640" s="52" t="s">
        <v>5</v>
      </c>
      <c r="E1640" s="55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</row>
    <row r="1641">
      <c r="A1641" s="52" t="s">
        <v>39</v>
      </c>
      <c r="B1641" s="56">
        <v>1000.0</v>
      </c>
      <c r="C1641" s="61">
        <v>46237.0</v>
      </c>
      <c r="D1641" s="52" t="s">
        <v>2</v>
      </c>
      <c r="E1641" s="52" t="s">
        <v>55</v>
      </c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</row>
    <row r="1642">
      <c r="A1642" s="52" t="s">
        <v>39</v>
      </c>
      <c r="B1642" s="56">
        <v>-1500.0</v>
      </c>
      <c r="C1642" s="61">
        <v>46237.0</v>
      </c>
      <c r="D1642" s="52" t="s">
        <v>16</v>
      </c>
      <c r="E1642" s="55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</row>
    <row r="1643">
      <c r="A1643" s="52" t="s">
        <v>39</v>
      </c>
      <c r="B1643" s="56">
        <v>-3000.0</v>
      </c>
      <c r="C1643" s="61">
        <v>46237.0</v>
      </c>
      <c r="D1643" s="52" t="s">
        <v>19</v>
      </c>
      <c r="E1643" s="55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</row>
    <row r="1644">
      <c r="A1644" s="52" t="s">
        <v>39</v>
      </c>
      <c r="B1644" s="56">
        <v>-1000.0</v>
      </c>
      <c r="C1644" s="61">
        <v>46237.0</v>
      </c>
      <c r="D1644" s="52" t="s">
        <v>21</v>
      </c>
      <c r="E1644" s="55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</row>
    <row r="1645">
      <c r="A1645" s="52" t="s">
        <v>39</v>
      </c>
      <c r="B1645" s="56">
        <v>-3000.0</v>
      </c>
      <c r="C1645" s="61">
        <v>46237.0</v>
      </c>
      <c r="D1645" s="52" t="s">
        <v>22</v>
      </c>
      <c r="E1645" s="55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</row>
    <row r="1646">
      <c r="A1646" s="52" t="s">
        <v>44</v>
      </c>
      <c r="B1646" s="56">
        <v>-109.0</v>
      </c>
      <c r="C1646" s="61">
        <v>46237.0</v>
      </c>
      <c r="D1646" s="52" t="s">
        <v>14</v>
      </c>
      <c r="E1646" s="52" t="s">
        <v>162</v>
      </c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</row>
    <row r="1647">
      <c r="A1647" s="52" t="s">
        <v>39</v>
      </c>
      <c r="B1647" s="52">
        <v>-416.48</v>
      </c>
      <c r="C1647" s="61">
        <v>46238.0</v>
      </c>
      <c r="D1647" s="52" t="s">
        <v>22</v>
      </c>
      <c r="E1647" s="52" t="s">
        <v>47</v>
      </c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</row>
    <row r="1648">
      <c r="A1648" s="52" t="s">
        <v>44</v>
      </c>
      <c r="B1648" s="52">
        <v>-42.5</v>
      </c>
      <c r="C1648" s="61">
        <v>46238.0</v>
      </c>
      <c r="D1648" s="52" t="s">
        <v>14</v>
      </c>
      <c r="E1648" s="52" t="s">
        <v>162</v>
      </c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</row>
    <row r="1649">
      <c r="A1649" s="52" t="s">
        <v>44</v>
      </c>
      <c r="B1649" s="56">
        <v>-100.0</v>
      </c>
      <c r="C1649" s="61">
        <v>46238.0</v>
      </c>
      <c r="D1649" s="52" t="s">
        <v>19</v>
      </c>
      <c r="E1649" s="52" t="s">
        <v>72</v>
      </c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</row>
    <row r="1650">
      <c r="A1650" s="52" t="s">
        <v>44</v>
      </c>
      <c r="B1650" s="56">
        <v>-350.0</v>
      </c>
      <c r="C1650" s="61">
        <v>46238.0</v>
      </c>
      <c r="D1650" s="52" t="s">
        <v>19</v>
      </c>
      <c r="E1650" s="52" t="s">
        <v>48</v>
      </c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</row>
    <row r="1651">
      <c r="A1651" s="52" t="s">
        <v>39</v>
      </c>
      <c r="B1651" s="56">
        <v>-1000.0</v>
      </c>
      <c r="C1651" s="61">
        <v>46239.0</v>
      </c>
      <c r="D1651" s="52" t="s">
        <v>5</v>
      </c>
      <c r="E1651" s="55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</row>
    <row r="1652">
      <c r="A1652" s="52" t="s">
        <v>39</v>
      </c>
      <c r="B1652" s="56">
        <v>700.0</v>
      </c>
      <c r="C1652" s="61">
        <v>46239.0</v>
      </c>
      <c r="D1652" s="52" t="s">
        <v>2</v>
      </c>
      <c r="E1652" s="52" t="s">
        <v>55</v>
      </c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</row>
    <row r="1653">
      <c r="A1653" s="52" t="s">
        <v>39</v>
      </c>
      <c r="B1653" s="56">
        <v>-1000.0</v>
      </c>
      <c r="C1653" s="61">
        <v>46239.0</v>
      </c>
      <c r="D1653" s="52" t="s">
        <v>14</v>
      </c>
      <c r="E1653" s="55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</row>
    <row r="1654">
      <c r="A1654" s="52" t="s">
        <v>39</v>
      </c>
      <c r="B1654" s="56">
        <v>1000.0</v>
      </c>
      <c r="C1654" s="61">
        <v>46239.0</v>
      </c>
      <c r="D1654" s="52" t="s">
        <v>15</v>
      </c>
      <c r="E1654" s="52" t="s">
        <v>55</v>
      </c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</row>
    <row r="1655">
      <c r="A1655" s="52" t="s">
        <v>39</v>
      </c>
      <c r="B1655" s="56">
        <v>-700.0</v>
      </c>
      <c r="C1655" s="61">
        <v>46239.0</v>
      </c>
      <c r="D1655" s="52" t="s">
        <v>16</v>
      </c>
      <c r="E1655" s="55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</row>
    <row r="1656">
      <c r="A1656" s="52" t="s">
        <v>39</v>
      </c>
      <c r="B1656" s="56">
        <v>-1000.0</v>
      </c>
      <c r="C1656" s="61">
        <v>46239.0</v>
      </c>
      <c r="D1656" s="52" t="s">
        <v>19</v>
      </c>
      <c r="E1656" s="55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</row>
    <row r="1657">
      <c r="A1657" s="52" t="s">
        <v>39</v>
      </c>
      <c r="B1657" s="56">
        <v>1000.0</v>
      </c>
      <c r="C1657" s="61">
        <v>46239.0</v>
      </c>
      <c r="D1657" s="52" t="s">
        <v>20</v>
      </c>
      <c r="E1657" s="52" t="s">
        <v>55</v>
      </c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</row>
    <row r="1658">
      <c r="A1658" s="52" t="s">
        <v>39</v>
      </c>
      <c r="B1658" s="56">
        <v>-500.0</v>
      </c>
      <c r="C1658" s="61">
        <v>46239.0</v>
      </c>
      <c r="D1658" s="52" t="s">
        <v>21</v>
      </c>
      <c r="E1658" s="55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</row>
    <row r="1659">
      <c r="A1659" s="52" t="s">
        <v>39</v>
      </c>
      <c r="B1659" s="56">
        <v>-1000.0</v>
      </c>
      <c r="C1659" s="61">
        <v>46239.0</v>
      </c>
      <c r="D1659" s="52" t="s">
        <v>22</v>
      </c>
      <c r="E1659" s="55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</row>
    <row r="1660">
      <c r="A1660" s="52" t="s">
        <v>44</v>
      </c>
      <c r="B1660" s="56">
        <v>-52.8</v>
      </c>
      <c r="C1660" s="61">
        <v>46239.0</v>
      </c>
      <c r="D1660" s="52" t="s">
        <v>2</v>
      </c>
      <c r="E1660" s="52" t="s">
        <v>183</v>
      </c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</row>
    <row r="1661">
      <c r="A1661" s="52" t="s">
        <v>44</v>
      </c>
      <c r="B1661" s="56">
        <v>-33.0</v>
      </c>
      <c r="C1661" s="61">
        <v>46239.0</v>
      </c>
      <c r="D1661" s="52" t="s">
        <v>14</v>
      </c>
      <c r="E1661" s="52" t="s">
        <v>162</v>
      </c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</row>
    <row r="1662">
      <c r="A1662" s="52" t="s">
        <v>44</v>
      </c>
      <c r="B1662" s="52">
        <v>-50.0</v>
      </c>
      <c r="C1662" s="61">
        <v>46239.0</v>
      </c>
      <c r="D1662" s="52" t="s">
        <v>2</v>
      </c>
      <c r="E1662" s="52" t="s">
        <v>222</v>
      </c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</row>
    <row r="1663">
      <c r="A1663" s="52" t="s">
        <v>65</v>
      </c>
      <c r="B1663" s="52">
        <v>-1648.44</v>
      </c>
      <c r="C1663" s="61">
        <v>46240.0</v>
      </c>
      <c r="D1663" s="52" t="s">
        <v>21</v>
      </c>
      <c r="E1663" s="55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</row>
    <row r="1664">
      <c r="A1664" s="52" t="s">
        <v>44</v>
      </c>
      <c r="B1664" s="52">
        <v>-2888.71</v>
      </c>
      <c r="C1664" s="61">
        <v>46240.0</v>
      </c>
      <c r="D1664" s="52" t="s">
        <v>3</v>
      </c>
      <c r="E1664" s="52" t="s">
        <v>117</v>
      </c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</row>
    <row r="1665">
      <c r="A1665" s="52" t="s">
        <v>44</v>
      </c>
      <c r="B1665" s="56">
        <v>-300.0</v>
      </c>
      <c r="C1665" s="61">
        <v>46240.0</v>
      </c>
      <c r="D1665" s="52" t="s">
        <v>20</v>
      </c>
      <c r="E1665" s="52" t="s">
        <v>223</v>
      </c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</row>
    <row r="1666">
      <c r="A1666" s="52" t="s">
        <v>39</v>
      </c>
      <c r="B1666" s="56">
        <v>-1500.0</v>
      </c>
      <c r="C1666" s="61">
        <v>46241.0</v>
      </c>
      <c r="D1666" s="52" t="s">
        <v>5</v>
      </c>
      <c r="E1666" s="55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</row>
    <row r="1667">
      <c r="A1667" s="52" t="s">
        <v>39</v>
      </c>
      <c r="B1667" s="56">
        <v>-500.0</v>
      </c>
      <c r="C1667" s="61">
        <v>46241.0</v>
      </c>
      <c r="D1667" s="52" t="s">
        <v>3</v>
      </c>
      <c r="E1667" s="55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</row>
    <row r="1668">
      <c r="A1668" s="52" t="s">
        <v>39</v>
      </c>
      <c r="B1668" s="56">
        <v>-180.0</v>
      </c>
      <c r="C1668" s="61">
        <v>46241.0</v>
      </c>
      <c r="D1668" s="52" t="s">
        <v>16</v>
      </c>
      <c r="E1668" s="52" t="s">
        <v>224</v>
      </c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</row>
    <row r="1669">
      <c r="A1669" s="52" t="s">
        <v>39</v>
      </c>
      <c r="B1669" s="52">
        <v>-390.45</v>
      </c>
      <c r="C1669" s="61">
        <v>46241.0</v>
      </c>
      <c r="D1669" s="52" t="s">
        <v>22</v>
      </c>
      <c r="E1669" s="52" t="s">
        <v>47</v>
      </c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</row>
    <row r="1670">
      <c r="A1670" s="52" t="s">
        <v>44</v>
      </c>
      <c r="B1670" s="52">
        <v>-11.68</v>
      </c>
      <c r="C1670" s="61">
        <v>46241.0</v>
      </c>
      <c r="D1670" s="52" t="s">
        <v>20</v>
      </c>
      <c r="E1670" s="52" t="s">
        <v>97</v>
      </c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</row>
    <row r="1671">
      <c r="A1671" s="52" t="s">
        <v>44</v>
      </c>
      <c r="B1671" s="52">
        <v>-5.28</v>
      </c>
      <c r="C1671" s="61">
        <v>46241.0</v>
      </c>
      <c r="D1671" s="52" t="s">
        <v>21</v>
      </c>
      <c r="E1671" s="52" t="s">
        <v>97</v>
      </c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</row>
    <row r="1672">
      <c r="A1672" s="52" t="s">
        <v>44</v>
      </c>
      <c r="B1672" s="52">
        <v>-13.8</v>
      </c>
      <c r="C1672" s="61">
        <v>46241.0</v>
      </c>
      <c r="D1672" s="52" t="s">
        <v>22</v>
      </c>
      <c r="E1672" s="52" t="s">
        <v>225</v>
      </c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</row>
    <row r="1673">
      <c r="A1673" s="52" t="s">
        <v>44</v>
      </c>
      <c r="B1673" s="52">
        <v>-30.5</v>
      </c>
      <c r="C1673" s="61">
        <v>46241.0</v>
      </c>
      <c r="D1673" s="52" t="s">
        <v>22</v>
      </c>
      <c r="E1673" s="52" t="s">
        <v>97</v>
      </c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</row>
    <row r="1674">
      <c r="A1674" s="52" t="s">
        <v>36</v>
      </c>
      <c r="B1674" s="52">
        <v>-7772.43</v>
      </c>
      <c r="C1674" s="61">
        <v>46244.0</v>
      </c>
      <c r="D1674" s="52" t="s">
        <v>1</v>
      </c>
      <c r="E1674" s="55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</row>
    <row r="1675">
      <c r="A1675" s="52" t="s">
        <v>36</v>
      </c>
      <c r="B1675" s="52">
        <v>-6264.83</v>
      </c>
      <c r="C1675" s="61">
        <v>46244.0</v>
      </c>
      <c r="D1675" s="52" t="s">
        <v>5</v>
      </c>
      <c r="E1675" s="55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</row>
    <row r="1676">
      <c r="A1676" s="52" t="s">
        <v>36</v>
      </c>
      <c r="B1676" s="52">
        <v>-14783.91</v>
      </c>
      <c r="C1676" s="61">
        <v>46244.0</v>
      </c>
      <c r="D1676" s="52" t="s">
        <v>2</v>
      </c>
      <c r="E1676" s="55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</row>
    <row r="1677">
      <c r="A1677" s="52" t="s">
        <v>36</v>
      </c>
      <c r="B1677" s="52">
        <v>-12534.71</v>
      </c>
      <c r="C1677" s="61">
        <v>46244.0</v>
      </c>
      <c r="D1677" s="52" t="s">
        <v>3</v>
      </c>
      <c r="E1677" s="55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</row>
    <row r="1678">
      <c r="A1678" s="52" t="s">
        <v>36</v>
      </c>
      <c r="B1678" s="52">
        <v>-8965.73</v>
      </c>
      <c r="C1678" s="61">
        <v>46244.0</v>
      </c>
      <c r="D1678" s="52" t="s">
        <v>14</v>
      </c>
      <c r="E1678" s="55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</row>
    <row r="1679">
      <c r="A1679" s="52" t="s">
        <v>36</v>
      </c>
      <c r="B1679" s="52">
        <v>-5636.69</v>
      </c>
      <c r="C1679" s="61">
        <v>46244.0</v>
      </c>
      <c r="D1679" s="52" t="s">
        <v>15</v>
      </c>
      <c r="E1679" s="55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</row>
    <row r="1680">
      <c r="A1680" s="52" t="s">
        <v>36</v>
      </c>
      <c r="B1680" s="52">
        <v>-7467.18</v>
      </c>
      <c r="C1680" s="61">
        <v>46244.0</v>
      </c>
      <c r="D1680" s="52" t="s">
        <v>16</v>
      </c>
      <c r="E1680" s="55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</row>
    <row r="1681">
      <c r="A1681" s="52" t="s">
        <v>36</v>
      </c>
      <c r="B1681" s="52">
        <v>-7608.42</v>
      </c>
      <c r="C1681" s="61">
        <v>46244.0</v>
      </c>
      <c r="D1681" s="52" t="s">
        <v>19</v>
      </c>
      <c r="E1681" s="55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</row>
    <row r="1682">
      <c r="A1682" s="52" t="s">
        <v>36</v>
      </c>
      <c r="B1682" s="52">
        <v>-3918.84</v>
      </c>
      <c r="C1682" s="61">
        <v>46244.0</v>
      </c>
      <c r="D1682" s="52" t="s">
        <v>20</v>
      </c>
      <c r="E1682" s="55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</row>
    <row r="1683">
      <c r="A1683" s="52" t="s">
        <v>36</v>
      </c>
      <c r="B1683" s="52">
        <v>-6553.67</v>
      </c>
      <c r="C1683" s="61">
        <v>46244.0</v>
      </c>
      <c r="D1683" s="52" t="s">
        <v>21</v>
      </c>
      <c r="E1683" s="55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</row>
    <row r="1684">
      <c r="A1684" s="52" t="s">
        <v>36</v>
      </c>
      <c r="B1684" s="52">
        <v>-14518.34</v>
      </c>
      <c r="C1684" s="61">
        <v>46244.0</v>
      </c>
      <c r="D1684" s="52" t="s">
        <v>22</v>
      </c>
      <c r="E1684" s="55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</row>
    <row r="1685">
      <c r="A1685" s="52" t="s">
        <v>39</v>
      </c>
      <c r="B1685" s="56">
        <v>-2400.0</v>
      </c>
      <c r="C1685" s="61">
        <v>46244.0</v>
      </c>
      <c r="D1685" s="52" t="s">
        <v>5</v>
      </c>
      <c r="E1685" s="55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</row>
    <row r="1686">
      <c r="A1686" s="52" t="s">
        <v>39</v>
      </c>
      <c r="B1686" s="56">
        <v>1000.0</v>
      </c>
      <c r="C1686" s="61">
        <v>46244.0</v>
      </c>
      <c r="D1686" s="52" t="s">
        <v>2</v>
      </c>
      <c r="E1686" s="52" t="s">
        <v>55</v>
      </c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</row>
    <row r="1687">
      <c r="A1687" s="52" t="s">
        <v>39</v>
      </c>
      <c r="B1687" s="56">
        <v>-500.0</v>
      </c>
      <c r="C1687" s="61">
        <v>46244.0</v>
      </c>
      <c r="D1687" s="52" t="s">
        <v>3</v>
      </c>
      <c r="E1687" s="55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</row>
    <row r="1688">
      <c r="A1688" s="52" t="s">
        <v>39</v>
      </c>
      <c r="B1688" s="56">
        <v>-1500.0</v>
      </c>
      <c r="C1688" s="61">
        <v>46244.0</v>
      </c>
      <c r="D1688" s="52" t="s">
        <v>14</v>
      </c>
      <c r="E1688" s="55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</row>
    <row r="1689">
      <c r="A1689" s="52" t="s">
        <v>39</v>
      </c>
      <c r="B1689" s="56">
        <v>-1000.0</v>
      </c>
      <c r="C1689" s="61">
        <v>46244.0</v>
      </c>
      <c r="D1689" s="52" t="s">
        <v>14</v>
      </c>
      <c r="E1689" s="52" t="s">
        <v>226</v>
      </c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</row>
    <row r="1690">
      <c r="A1690" s="52" t="s">
        <v>39</v>
      </c>
      <c r="B1690" s="56">
        <v>-1000.0</v>
      </c>
      <c r="C1690" s="61">
        <v>46244.0</v>
      </c>
      <c r="D1690" s="52" t="s">
        <v>16</v>
      </c>
      <c r="E1690" s="55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</row>
    <row r="1691">
      <c r="A1691" s="52" t="s">
        <v>39</v>
      </c>
      <c r="B1691" s="56">
        <v>-3000.0</v>
      </c>
      <c r="C1691" s="61">
        <v>46244.0</v>
      </c>
      <c r="D1691" s="52" t="s">
        <v>19</v>
      </c>
      <c r="E1691" s="55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</row>
    <row r="1692">
      <c r="A1692" s="52" t="s">
        <v>39</v>
      </c>
      <c r="B1692" s="56">
        <v>-1000.0</v>
      </c>
      <c r="C1692" s="61">
        <v>46244.0</v>
      </c>
      <c r="D1692" s="52" t="s">
        <v>21</v>
      </c>
      <c r="E1692" s="55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</row>
    <row r="1693">
      <c r="A1693" s="52" t="s">
        <v>39</v>
      </c>
      <c r="B1693" s="56">
        <v>-2500.0</v>
      </c>
      <c r="C1693" s="61">
        <v>46244.0</v>
      </c>
      <c r="D1693" s="52" t="s">
        <v>22</v>
      </c>
      <c r="E1693" s="55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</row>
    <row r="1694">
      <c r="A1694" s="52" t="s">
        <v>44</v>
      </c>
      <c r="B1694" s="52">
        <v>-15.4</v>
      </c>
      <c r="C1694" s="61">
        <v>46244.0</v>
      </c>
      <c r="D1694" s="52" t="s">
        <v>14</v>
      </c>
      <c r="E1694" s="52" t="s">
        <v>97</v>
      </c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</row>
    <row r="1695">
      <c r="A1695" s="52" t="s">
        <v>44</v>
      </c>
      <c r="B1695" s="56">
        <v>-134.0</v>
      </c>
      <c r="C1695" s="61">
        <v>46244.0</v>
      </c>
      <c r="D1695" s="52" t="s">
        <v>14</v>
      </c>
      <c r="E1695" s="52" t="s">
        <v>53</v>
      </c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</row>
    <row r="1696">
      <c r="A1696" s="52" t="s">
        <v>44</v>
      </c>
      <c r="B1696" s="56">
        <v>-218.0</v>
      </c>
      <c r="C1696" s="61">
        <v>46244.0</v>
      </c>
      <c r="D1696" s="52" t="s">
        <v>16</v>
      </c>
      <c r="E1696" s="52" t="s">
        <v>104</v>
      </c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</row>
    <row r="1697">
      <c r="A1697" s="52" t="s">
        <v>44</v>
      </c>
      <c r="B1697" s="56">
        <v>-133.0</v>
      </c>
      <c r="C1697" s="61">
        <v>46244.0</v>
      </c>
      <c r="D1697" s="52" t="s">
        <v>20</v>
      </c>
      <c r="E1697" s="52" t="s">
        <v>199</v>
      </c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</row>
    <row r="1698">
      <c r="A1698" s="52" t="s">
        <v>39</v>
      </c>
      <c r="B1698" s="56">
        <v>-1000.0</v>
      </c>
      <c r="C1698" s="61">
        <v>46245.0</v>
      </c>
      <c r="D1698" s="52" t="s">
        <v>14</v>
      </c>
      <c r="E1698" s="55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</row>
    <row r="1699">
      <c r="A1699" s="52" t="s">
        <v>39</v>
      </c>
      <c r="B1699" s="52">
        <v>-468.54</v>
      </c>
      <c r="C1699" s="61">
        <v>46245.0</v>
      </c>
      <c r="D1699" s="52" t="s">
        <v>22</v>
      </c>
      <c r="E1699" s="52" t="s">
        <v>47</v>
      </c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</row>
    <row r="1700">
      <c r="A1700" s="52" t="s">
        <v>44</v>
      </c>
      <c r="B1700" s="56">
        <v>-21.0</v>
      </c>
      <c r="C1700" s="61">
        <v>46245.0</v>
      </c>
      <c r="D1700" s="52" t="s">
        <v>14</v>
      </c>
      <c r="E1700" s="52" t="s">
        <v>227</v>
      </c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</row>
    <row r="1701">
      <c r="A1701" s="52" t="s">
        <v>44</v>
      </c>
      <c r="B1701" s="52">
        <v>-25.5</v>
      </c>
      <c r="C1701" s="61">
        <v>46245.0</v>
      </c>
      <c r="D1701" s="52" t="s">
        <v>15</v>
      </c>
      <c r="E1701" s="52" t="s">
        <v>199</v>
      </c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</row>
    <row r="1702">
      <c r="A1702" s="52" t="s">
        <v>39</v>
      </c>
      <c r="B1702" s="56">
        <v>-2500.0</v>
      </c>
      <c r="C1702" s="61">
        <v>46246.0</v>
      </c>
      <c r="D1702" s="52" t="s">
        <v>5</v>
      </c>
      <c r="E1702" s="55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</row>
    <row r="1703">
      <c r="A1703" s="52" t="s">
        <v>39</v>
      </c>
      <c r="B1703" s="56">
        <v>-1500.0</v>
      </c>
      <c r="C1703" s="61">
        <v>46246.0</v>
      </c>
      <c r="D1703" s="52" t="s">
        <v>3</v>
      </c>
      <c r="E1703" s="55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</row>
    <row r="1704">
      <c r="A1704" s="52" t="s">
        <v>39</v>
      </c>
      <c r="B1704" s="56">
        <v>-500.0</v>
      </c>
      <c r="C1704" s="61">
        <v>46246.0</v>
      </c>
      <c r="D1704" s="52" t="s">
        <v>14</v>
      </c>
      <c r="E1704" s="55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</row>
    <row r="1705">
      <c r="A1705" s="52" t="s">
        <v>39</v>
      </c>
      <c r="B1705" s="56">
        <v>-500.0</v>
      </c>
      <c r="C1705" s="61">
        <v>46246.0</v>
      </c>
      <c r="D1705" s="52" t="s">
        <v>16</v>
      </c>
      <c r="E1705" s="55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</row>
    <row r="1706">
      <c r="A1706" s="52" t="s">
        <v>39</v>
      </c>
      <c r="B1706" s="56">
        <v>-1500.0</v>
      </c>
      <c r="C1706" s="61">
        <v>46246.0</v>
      </c>
      <c r="D1706" s="52" t="s">
        <v>19</v>
      </c>
      <c r="E1706" s="55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</row>
    <row r="1707">
      <c r="A1707" s="52" t="s">
        <v>39</v>
      </c>
      <c r="B1707" s="56">
        <v>500.0</v>
      </c>
      <c r="C1707" s="61">
        <v>46246.0</v>
      </c>
      <c r="D1707" s="52" t="s">
        <v>20</v>
      </c>
      <c r="E1707" s="52" t="s">
        <v>55</v>
      </c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</row>
    <row r="1708">
      <c r="A1708" s="52" t="s">
        <v>39</v>
      </c>
      <c r="B1708" s="56">
        <v>-1000.0</v>
      </c>
      <c r="C1708" s="61">
        <v>46246.0</v>
      </c>
      <c r="D1708" s="52" t="s">
        <v>21</v>
      </c>
      <c r="E1708" s="55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</row>
    <row r="1709">
      <c r="A1709" s="52" t="s">
        <v>39</v>
      </c>
      <c r="B1709" s="56">
        <v>-500.0</v>
      </c>
      <c r="C1709" s="61">
        <v>46246.0</v>
      </c>
      <c r="D1709" s="52" t="s">
        <v>22</v>
      </c>
      <c r="E1709" s="55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</row>
    <row r="1710">
      <c r="A1710" s="52" t="s">
        <v>44</v>
      </c>
      <c r="B1710" s="56">
        <v>-500.0</v>
      </c>
      <c r="C1710" s="61">
        <v>46246.0</v>
      </c>
      <c r="D1710" s="52" t="s">
        <v>1</v>
      </c>
      <c r="E1710" s="52" t="s">
        <v>178</v>
      </c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</row>
    <row r="1711">
      <c r="A1711" s="52" t="s">
        <v>44</v>
      </c>
      <c r="B1711" s="56">
        <v>-25.5</v>
      </c>
      <c r="C1711" s="61">
        <v>46246.0</v>
      </c>
      <c r="D1711" s="52" t="s">
        <v>1</v>
      </c>
      <c r="E1711" s="52" t="s">
        <v>199</v>
      </c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</row>
    <row r="1712">
      <c r="A1712" s="52" t="s">
        <v>44</v>
      </c>
      <c r="B1712" s="56">
        <v>-14.0</v>
      </c>
      <c r="C1712" s="61">
        <v>46246.0</v>
      </c>
      <c r="D1712" s="52" t="s">
        <v>14</v>
      </c>
      <c r="E1712" s="52" t="s">
        <v>94</v>
      </c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</row>
    <row r="1713">
      <c r="A1713" s="52" t="s">
        <v>44</v>
      </c>
      <c r="B1713" s="56">
        <v>-64.0</v>
      </c>
      <c r="C1713" s="61">
        <v>46246.0</v>
      </c>
      <c r="D1713" s="52" t="s">
        <v>14</v>
      </c>
      <c r="E1713" s="52" t="s">
        <v>162</v>
      </c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</row>
    <row r="1714">
      <c r="A1714" s="52" t="s">
        <v>44</v>
      </c>
      <c r="B1714" s="56">
        <v>-51.0</v>
      </c>
      <c r="C1714" s="61">
        <v>46247.0</v>
      </c>
      <c r="D1714" s="52" t="s">
        <v>3</v>
      </c>
      <c r="E1714" s="52" t="s">
        <v>199</v>
      </c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</row>
    <row r="1715">
      <c r="A1715" s="52" t="s">
        <v>44</v>
      </c>
      <c r="B1715" s="56">
        <v>-205.0</v>
      </c>
      <c r="C1715" s="61">
        <v>46247.0</v>
      </c>
      <c r="D1715" s="52" t="s">
        <v>14</v>
      </c>
      <c r="E1715" s="52" t="s">
        <v>162</v>
      </c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</row>
    <row r="1716">
      <c r="A1716" s="52" t="s">
        <v>44</v>
      </c>
      <c r="B1716" s="56">
        <v>-174.86</v>
      </c>
      <c r="C1716" s="61">
        <v>46247.0</v>
      </c>
      <c r="D1716" s="52" t="s">
        <v>16</v>
      </c>
      <c r="E1716" s="52" t="s">
        <v>59</v>
      </c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</row>
    <row r="1717">
      <c r="A1717" s="52" t="s">
        <v>39</v>
      </c>
      <c r="B1717" s="56">
        <v>-1000.0</v>
      </c>
      <c r="C1717" s="61">
        <v>46248.0</v>
      </c>
      <c r="D1717" s="52" t="s">
        <v>3</v>
      </c>
      <c r="E1717" s="55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</row>
    <row r="1718">
      <c r="A1718" s="52" t="s">
        <v>39</v>
      </c>
      <c r="B1718" s="56">
        <v>-500.0</v>
      </c>
      <c r="C1718" s="61">
        <v>46248.0</v>
      </c>
      <c r="D1718" s="52" t="s">
        <v>14</v>
      </c>
      <c r="E1718" s="55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</row>
    <row r="1719">
      <c r="A1719" s="52" t="s">
        <v>39</v>
      </c>
      <c r="B1719" s="56">
        <v>-890.0</v>
      </c>
      <c r="C1719" s="61">
        <v>46248.0</v>
      </c>
      <c r="D1719" s="52" t="s">
        <v>16</v>
      </c>
      <c r="E1719" s="55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</row>
    <row r="1720">
      <c r="A1720" s="52" t="s">
        <v>39</v>
      </c>
      <c r="B1720" s="56">
        <v>-80.0</v>
      </c>
      <c r="C1720" s="61">
        <v>46248.0</v>
      </c>
      <c r="D1720" s="52" t="s">
        <v>16</v>
      </c>
      <c r="E1720" s="52" t="s">
        <v>224</v>
      </c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</row>
    <row r="1721">
      <c r="A1721" s="52" t="s">
        <v>39</v>
      </c>
      <c r="B1721" s="56">
        <v>-468.54</v>
      </c>
      <c r="C1721" s="61">
        <v>46248.0</v>
      </c>
      <c r="D1721" s="52" t="s">
        <v>22</v>
      </c>
      <c r="E1721" s="52" t="s">
        <v>47</v>
      </c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</row>
    <row r="1722">
      <c r="A1722" s="52" t="s">
        <v>56</v>
      </c>
      <c r="B1722" s="56">
        <v>-100.0</v>
      </c>
      <c r="C1722" s="61">
        <v>46248.0</v>
      </c>
      <c r="D1722" s="52" t="s">
        <v>2</v>
      </c>
      <c r="E1722" s="52" t="s">
        <v>228</v>
      </c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</row>
    <row r="1723">
      <c r="A1723" s="52" t="s">
        <v>56</v>
      </c>
      <c r="B1723" s="56">
        <v>-95.0</v>
      </c>
      <c r="C1723" s="61">
        <v>46248.0</v>
      </c>
      <c r="D1723" s="52" t="s">
        <v>3</v>
      </c>
      <c r="E1723" s="52" t="s">
        <v>228</v>
      </c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</row>
    <row r="1724">
      <c r="A1724" s="52" t="s">
        <v>56</v>
      </c>
      <c r="B1724" s="56">
        <v>-78.0</v>
      </c>
      <c r="C1724" s="61">
        <v>46248.0</v>
      </c>
      <c r="D1724" s="52" t="s">
        <v>14</v>
      </c>
      <c r="E1724" s="52" t="s">
        <v>228</v>
      </c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</row>
    <row r="1725">
      <c r="A1725" s="52" t="s">
        <v>56</v>
      </c>
      <c r="B1725" s="56">
        <v>-5.0</v>
      </c>
      <c r="C1725" s="61">
        <v>46248.0</v>
      </c>
      <c r="D1725" s="52" t="s">
        <v>15</v>
      </c>
      <c r="E1725" s="52" t="s">
        <v>228</v>
      </c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</row>
    <row r="1726">
      <c r="A1726" s="52" t="s">
        <v>56</v>
      </c>
      <c r="B1726" s="56">
        <v>-2.0</v>
      </c>
      <c r="C1726" s="61">
        <v>46248.0</v>
      </c>
      <c r="D1726" s="52" t="s">
        <v>16</v>
      </c>
      <c r="E1726" s="52" t="s">
        <v>228</v>
      </c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</row>
    <row r="1727">
      <c r="A1727" s="52" t="s">
        <v>56</v>
      </c>
      <c r="B1727" s="56">
        <v>-324.44</v>
      </c>
      <c r="C1727" s="61">
        <v>46248.0</v>
      </c>
      <c r="D1727" s="52" t="s">
        <v>21</v>
      </c>
      <c r="E1727" s="52" t="s">
        <v>228</v>
      </c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</row>
    <row r="1728">
      <c r="A1728" s="52" t="s">
        <v>56</v>
      </c>
      <c r="B1728" s="56">
        <v>-81.36</v>
      </c>
      <c r="C1728" s="61">
        <v>46248.0</v>
      </c>
      <c r="D1728" s="52" t="s">
        <v>22</v>
      </c>
      <c r="E1728" s="52" t="s">
        <v>228</v>
      </c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</row>
    <row r="1729">
      <c r="A1729" s="52" t="s">
        <v>56</v>
      </c>
      <c r="B1729" s="56">
        <v>-49.0</v>
      </c>
      <c r="C1729" s="61">
        <v>46248.0</v>
      </c>
      <c r="D1729" s="52" t="s">
        <v>1</v>
      </c>
      <c r="E1729" s="52" t="s">
        <v>229</v>
      </c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</row>
    <row r="1730">
      <c r="A1730" s="52" t="s">
        <v>56</v>
      </c>
      <c r="B1730" s="56">
        <v>-2.0</v>
      </c>
      <c r="C1730" s="61">
        <v>46248.0</v>
      </c>
      <c r="D1730" s="52" t="s">
        <v>5</v>
      </c>
      <c r="E1730" s="52" t="s">
        <v>229</v>
      </c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</row>
    <row r="1731">
      <c r="A1731" s="52" t="s">
        <v>56</v>
      </c>
      <c r="B1731" s="56">
        <v>-31.21</v>
      </c>
      <c r="C1731" s="61">
        <v>46248.0</v>
      </c>
      <c r="D1731" s="52" t="s">
        <v>2</v>
      </c>
      <c r="E1731" s="52" t="s">
        <v>229</v>
      </c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</row>
    <row r="1732">
      <c r="A1732" s="52" t="s">
        <v>56</v>
      </c>
      <c r="B1732" s="56">
        <v>-25.0</v>
      </c>
      <c r="C1732" s="61">
        <v>46248.0</v>
      </c>
      <c r="D1732" s="52" t="s">
        <v>14</v>
      </c>
      <c r="E1732" s="52" t="s">
        <v>229</v>
      </c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</row>
    <row r="1733">
      <c r="A1733" s="52" t="s">
        <v>56</v>
      </c>
      <c r="B1733" s="56">
        <v>-10.0</v>
      </c>
      <c r="C1733" s="61">
        <v>46248.0</v>
      </c>
      <c r="D1733" s="52" t="s">
        <v>15</v>
      </c>
      <c r="E1733" s="52" t="s">
        <v>229</v>
      </c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</row>
    <row r="1734">
      <c r="A1734" s="52" t="s">
        <v>56</v>
      </c>
      <c r="B1734" s="56">
        <v>-10.0</v>
      </c>
      <c r="C1734" s="61">
        <v>46248.0</v>
      </c>
      <c r="D1734" s="52" t="s">
        <v>16</v>
      </c>
      <c r="E1734" s="52" t="s">
        <v>229</v>
      </c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</row>
    <row r="1735">
      <c r="A1735" s="52" t="s">
        <v>39</v>
      </c>
      <c r="B1735" s="52">
        <v>-1000.0</v>
      </c>
      <c r="C1735" s="61">
        <v>46249.0</v>
      </c>
      <c r="D1735" s="52" t="s">
        <v>14</v>
      </c>
      <c r="E1735" s="52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</row>
    <row r="1736">
      <c r="A1736" s="52" t="s">
        <v>36</v>
      </c>
      <c r="B1736" s="52">
        <v>-1703.44</v>
      </c>
      <c r="C1736" s="61">
        <v>46251.0</v>
      </c>
      <c r="D1736" s="52" t="s">
        <v>1</v>
      </c>
      <c r="E1736" s="55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</row>
    <row r="1737">
      <c r="A1737" s="52" t="s">
        <v>36</v>
      </c>
      <c r="B1737" s="52">
        <v>-6033.05</v>
      </c>
      <c r="C1737" s="61">
        <v>46251.0</v>
      </c>
      <c r="D1737" s="52" t="s">
        <v>5</v>
      </c>
      <c r="E1737" s="55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</row>
    <row r="1738">
      <c r="A1738" s="52" t="s">
        <v>36</v>
      </c>
      <c r="B1738" s="52">
        <v>-15037.84</v>
      </c>
      <c r="C1738" s="61">
        <v>46251.0</v>
      </c>
      <c r="D1738" s="52" t="s">
        <v>2</v>
      </c>
      <c r="E1738" s="55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</row>
    <row r="1739">
      <c r="A1739" s="52" t="s">
        <v>36</v>
      </c>
      <c r="B1739" s="52">
        <v>-13450.7</v>
      </c>
      <c r="C1739" s="61">
        <v>46251.0</v>
      </c>
      <c r="D1739" s="52" t="s">
        <v>3</v>
      </c>
      <c r="E1739" s="55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</row>
    <row r="1740">
      <c r="A1740" s="52" t="s">
        <v>36</v>
      </c>
      <c r="B1740" s="52">
        <v>-8398.66</v>
      </c>
      <c r="C1740" s="61">
        <v>46251.0</v>
      </c>
      <c r="D1740" s="52" t="s">
        <v>14</v>
      </c>
      <c r="E1740" s="55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</row>
    <row r="1741">
      <c r="A1741" s="52" t="s">
        <v>36</v>
      </c>
      <c r="B1741" s="52">
        <v>-5370.02</v>
      </c>
      <c r="C1741" s="61">
        <v>46251.0</v>
      </c>
      <c r="D1741" s="52" t="s">
        <v>15</v>
      </c>
      <c r="E1741" s="55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</row>
    <row r="1742">
      <c r="A1742" s="52" t="s">
        <v>36</v>
      </c>
      <c r="B1742" s="52">
        <v>-6981.89</v>
      </c>
      <c r="C1742" s="61">
        <v>46251.0</v>
      </c>
      <c r="D1742" s="52" t="s">
        <v>16</v>
      </c>
      <c r="E1742" s="55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</row>
    <row r="1743">
      <c r="A1743" s="52" t="s">
        <v>36</v>
      </c>
      <c r="B1743" s="52">
        <v>-7181.92</v>
      </c>
      <c r="C1743" s="61">
        <v>46251.0</v>
      </c>
      <c r="D1743" s="52" t="s">
        <v>19</v>
      </c>
      <c r="E1743" s="55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</row>
    <row r="1744">
      <c r="A1744" s="52" t="s">
        <v>36</v>
      </c>
      <c r="B1744" s="52">
        <v>-4218.17</v>
      </c>
      <c r="C1744" s="61">
        <v>46251.0</v>
      </c>
      <c r="D1744" s="52" t="s">
        <v>20</v>
      </c>
      <c r="E1744" s="55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</row>
    <row r="1745">
      <c r="A1745" s="52" t="s">
        <v>36</v>
      </c>
      <c r="B1745" s="52">
        <v>-6124.92</v>
      </c>
      <c r="C1745" s="61">
        <v>46251.0</v>
      </c>
      <c r="D1745" s="52" t="s">
        <v>21</v>
      </c>
      <c r="E1745" s="55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</row>
    <row r="1746">
      <c r="A1746" s="52" t="s">
        <v>36</v>
      </c>
      <c r="B1746" s="52">
        <v>-14687.85</v>
      </c>
      <c r="C1746" s="61">
        <v>46251.0</v>
      </c>
      <c r="D1746" s="52" t="s">
        <v>22</v>
      </c>
      <c r="E1746" s="55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</row>
    <row r="1747">
      <c r="A1747" s="52" t="s">
        <v>39</v>
      </c>
      <c r="B1747" s="56">
        <v>-3000.0</v>
      </c>
      <c r="C1747" s="61">
        <v>46251.0</v>
      </c>
      <c r="D1747" s="52" t="s">
        <v>5</v>
      </c>
      <c r="E1747" s="55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</row>
    <row r="1748">
      <c r="A1748" s="52" t="s">
        <v>39</v>
      </c>
      <c r="B1748" s="56">
        <v>-500.0</v>
      </c>
      <c r="C1748" s="61">
        <v>46251.0</v>
      </c>
      <c r="D1748" s="52" t="s">
        <v>3</v>
      </c>
      <c r="E1748" s="55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</row>
    <row r="1749">
      <c r="A1749" s="52" t="s">
        <v>39</v>
      </c>
      <c r="B1749" s="56">
        <v>-1000.0</v>
      </c>
      <c r="C1749" s="61">
        <v>46251.0</v>
      </c>
      <c r="D1749" s="52" t="s">
        <v>16</v>
      </c>
      <c r="E1749" s="55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</row>
    <row r="1750">
      <c r="A1750" s="52" t="s">
        <v>39</v>
      </c>
      <c r="B1750" s="56">
        <v>-5400.0</v>
      </c>
      <c r="C1750" s="61">
        <v>46251.0</v>
      </c>
      <c r="D1750" s="52" t="s">
        <v>19</v>
      </c>
      <c r="E1750" s="55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</row>
    <row r="1751">
      <c r="A1751" s="52" t="s">
        <v>39</v>
      </c>
      <c r="B1751" s="56">
        <v>-1500.0</v>
      </c>
      <c r="C1751" s="61">
        <v>46251.0</v>
      </c>
      <c r="D1751" s="52" t="s">
        <v>21</v>
      </c>
      <c r="E1751" s="55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</row>
    <row r="1752">
      <c r="A1752" s="52" t="s">
        <v>39</v>
      </c>
      <c r="B1752" s="56">
        <v>-40.0</v>
      </c>
      <c r="C1752" s="61">
        <v>46251.0</v>
      </c>
      <c r="D1752" s="52" t="s">
        <v>21</v>
      </c>
      <c r="E1752" s="52" t="s">
        <v>223</v>
      </c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</row>
    <row r="1753">
      <c r="A1753" s="52" t="s">
        <v>39</v>
      </c>
      <c r="B1753" s="56">
        <v>-2000.0</v>
      </c>
      <c r="C1753" s="61">
        <v>46251.0</v>
      </c>
      <c r="D1753" s="52" t="s">
        <v>22</v>
      </c>
      <c r="E1753" s="55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</row>
    <row r="1754">
      <c r="A1754" s="52" t="s">
        <v>39</v>
      </c>
      <c r="B1754" s="56">
        <v>-1000.0</v>
      </c>
      <c r="C1754" s="61">
        <v>46251.0</v>
      </c>
      <c r="D1754" s="52" t="s">
        <v>22</v>
      </c>
      <c r="E1754" s="52" t="s">
        <v>230</v>
      </c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</row>
    <row r="1755">
      <c r="A1755" s="52" t="s">
        <v>44</v>
      </c>
      <c r="B1755" s="56">
        <v>-51.0</v>
      </c>
      <c r="C1755" s="61">
        <v>46251.0</v>
      </c>
      <c r="D1755" s="52" t="s">
        <v>2</v>
      </c>
      <c r="E1755" s="52" t="s">
        <v>199</v>
      </c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</row>
    <row r="1756">
      <c r="A1756" s="52" t="s">
        <v>39</v>
      </c>
      <c r="B1756" s="52">
        <v>1000.0</v>
      </c>
      <c r="C1756" s="61">
        <v>46252.0</v>
      </c>
      <c r="D1756" s="52" t="s">
        <v>20</v>
      </c>
      <c r="E1756" s="52" t="s">
        <v>55</v>
      </c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</row>
    <row r="1757">
      <c r="A1757" s="52" t="s">
        <v>39</v>
      </c>
      <c r="B1757" s="56">
        <v>2000.0</v>
      </c>
      <c r="C1757" s="61">
        <v>46253.0</v>
      </c>
      <c r="D1757" s="52" t="s">
        <v>2</v>
      </c>
      <c r="E1757" s="52" t="s">
        <v>55</v>
      </c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</row>
    <row r="1758">
      <c r="A1758" s="52" t="s">
        <v>39</v>
      </c>
      <c r="B1758" s="56">
        <v>-500.0</v>
      </c>
      <c r="C1758" s="61">
        <v>46253.0</v>
      </c>
      <c r="D1758" s="52" t="s">
        <v>3</v>
      </c>
      <c r="E1758" s="55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</row>
    <row r="1759">
      <c r="A1759" s="52" t="s">
        <v>39</v>
      </c>
      <c r="B1759" s="56">
        <v>-1000.0</v>
      </c>
      <c r="C1759" s="61">
        <v>46253.0</v>
      </c>
      <c r="D1759" s="52" t="s">
        <v>14</v>
      </c>
      <c r="E1759" s="55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</row>
    <row r="1760">
      <c r="A1760" s="52" t="s">
        <v>39</v>
      </c>
      <c r="B1760" s="56">
        <v>1000.0</v>
      </c>
      <c r="C1760" s="61">
        <v>46253.0</v>
      </c>
      <c r="D1760" s="52" t="s">
        <v>15</v>
      </c>
      <c r="E1760" s="52" t="s">
        <v>55</v>
      </c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</row>
    <row r="1761">
      <c r="A1761" s="52" t="s">
        <v>39</v>
      </c>
      <c r="B1761" s="56">
        <v>-1000.0</v>
      </c>
      <c r="C1761" s="61">
        <v>46253.0</v>
      </c>
      <c r="D1761" s="52" t="s">
        <v>16</v>
      </c>
      <c r="E1761" s="55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</row>
    <row r="1762">
      <c r="A1762" s="52" t="s">
        <v>39</v>
      </c>
      <c r="B1762" s="56">
        <v>-2000.0</v>
      </c>
      <c r="C1762" s="61">
        <v>46253.0</v>
      </c>
      <c r="D1762" s="52" t="s">
        <v>21</v>
      </c>
      <c r="E1762" s="55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</row>
    <row r="1763">
      <c r="A1763" s="52" t="s">
        <v>44</v>
      </c>
      <c r="B1763" s="56">
        <v>-300.0</v>
      </c>
      <c r="C1763" s="61">
        <v>46253.0</v>
      </c>
      <c r="D1763" s="52" t="s">
        <v>5</v>
      </c>
      <c r="E1763" s="52" t="s">
        <v>231</v>
      </c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</row>
    <row r="1764">
      <c r="A1764" s="52" t="s">
        <v>56</v>
      </c>
      <c r="B1764" s="52">
        <v>-26.85</v>
      </c>
      <c r="C1764" s="61">
        <v>46254.0</v>
      </c>
      <c r="D1764" s="52" t="s">
        <v>2</v>
      </c>
      <c r="E1764" s="55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</row>
    <row r="1765">
      <c r="A1765" s="52" t="s">
        <v>56</v>
      </c>
      <c r="B1765" s="56">
        <v>-45.0</v>
      </c>
      <c r="C1765" s="61">
        <v>46254.0</v>
      </c>
      <c r="D1765" s="52" t="s">
        <v>3</v>
      </c>
      <c r="E1765" s="55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</row>
    <row r="1766">
      <c r="A1766" s="52" t="s">
        <v>56</v>
      </c>
      <c r="B1766" s="56">
        <v>-30.0</v>
      </c>
      <c r="C1766" s="61">
        <v>46254.0</v>
      </c>
      <c r="D1766" s="52" t="s">
        <v>15</v>
      </c>
      <c r="E1766" s="55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</row>
    <row r="1767">
      <c r="A1767" s="52" t="s">
        <v>56</v>
      </c>
      <c r="B1767" s="52">
        <v>-190.5</v>
      </c>
      <c r="C1767" s="61">
        <v>46254.0</v>
      </c>
      <c r="D1767" s="52" t="s">
        <v>19</v>
      </c>
      <c r="E1767" s="55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</row>
    <row r="1768">
      <c r="A1768" s="52" t="s">
        <v>56</v>
      </c>
      <c r="B1768" s="56">
        <v>-80.0</v>
      </c>
      <c r="C1768" s="61">
        <v>46254.0</v>
      </c>
      <c r="D1768" s="52" t="s">
        <v>20</v>
      </c>
      <c r="E1768" s="55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</row>
    <row r="1769">
      <c r="A1769" s="52" t="s">
        <v>56</v>
      </c>
      <c r="B1769" s="52">
        <v>-206.72</v>
      </c>
      <c r="C1769" s="61">
        <v>46254.0</v>
      </c>
      <c r="D1769" s="52" t="s">
        <v>21</v>
      </c>
      <c r="E1769" s="55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</row>
    <row r="1770">
      <c r="A1770" s="52" t="s">
        <v>56</v>
      </c>
      <c r="B1770" s="56">
        <v>-1.0</v>
      </c>
      <c r="C1770" s="61">
        <v>46254.0</v>
      </c>
      <c r="D1770" s="52" t="s">
        <v>22</v>
      </c>
      <c r="E1770" s="55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</row>
    <row r="1771">
      <c r="A1771" s="52" t="s">
        <v>44</v>
      </c>
      <c r="B1771" s="56">
        <v>-50.0</v>
      </c>
      <c r="C1771" s="61">
        <v>46254.0</v>
      </c>
      <c r="D1771" s="52" t="s">
        <v>5</v>
      </c>
      <c r="E1771" s="52" t="s">
        <v>200</v>
      </c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</row>
    <row r="1772">
      <c r="A1772" s="52" t="s">
        <v>44</v>
      </c>
      <c r="B1772" s="56">
        <v>-400.0</v>
      </c>
      <c r="C1772" s="61">
        <v>46254.0</v>
      </c>
      <c r="D1772" s="52" t="s">
        <v>5</v>
      </c>
      <c r="E1772" s="52" t="s">
        <v>223</v>
      </c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</row>
    <row r="1773">
      <c r="A1773" s="52" t="s">
        <v>44</v>
      </c>
      <c r="B1773" s="52">
        <v>-125.8</v>
      </c>
      <c r="C1773" s="61">
        <v>46254.0</v>
      </c>
      <c r="D1773" s="52" t="s">
        <v>3</v>
      </c>
      <c r="E1773" s="52" t="s">
        <v>125</v>
      </c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</row>
    <row r="1774">
      <c r="A1774" s="52" t="s">
        <v>44</v>
      </c>
      <c r="B1774" s="52">
        <v>-49.93</v>
      </c>
      <c r="C1774" s="61">
        <v>46254.0</v>
      </c>
      <c r="D1774" s="52" t="s">
        <v>14</v>
      </c>
      <c r="E1774" s="52" t="s">
        <v>162</v>
      </c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</row>
    <row r="1775">
      <c r="A1775" s="52" t="s">
        <v>65</v>
      </c>
      <c r="B1775" s="56">
        <v>-4109.04</v>
      </c>
      <c r="C1775" s="61">
        <v>46254.0</v>
      </c>
      <c r="D1775" s="52" t="s">
        <v>1</v>
      </c>
      <c r="E1775" s="52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</row>
    <row r="1776">
      <c r="A1776" s="52" t="s">
        <v>39</v>
      </c>
      <c r="B1776" s="56">
        <v>-500.0</v>
      </c>
      <c r="C1776" s="61">
        <v>46255.0</v>
      </c>
      <c r="D1776" s="52" t="s">
        <v>5</v>
      </c>
      <c r="E1776" s="55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</row>
    <row r="1777">
      <c r="A1777" s="52" t="s">
        <v>39</v>
      </c>
      <c r="B1777" s="56">
        <v>-1500.0</v>
      </c>
      <c r="C1777" s="61">
        <v>46255.0</v>
      </c>
      <c r="D1777" s="52" t="s">
        <v>14</v>
      </c>
      <c r="E1777" s="55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</row>
    <row r="1778">
      <c r="A1778" s="52" t="s">
        <v>39</v>
      </c>
      <c r="B1778" s="56">
        <v>500.0</v>
      </c>
      <c r="C1778" s="61">
        <v>46255.0</v>
      </c>
      <c r="D1778" s="52" t="s">
        <v>20</v>
      </c>
      <c r="E1778" s="52" t="s">
        <v>55</v>
      </c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</row>
    <row r="1779">
      <c r="A1779" s="52" t="s">
        <v>39</v>
      </c>
      <c r="B1779" s="56">
        <v>-1000.0</v>
      </c>
      <c r="C1779" s="61">
        <v>46255.0</v>
      </c>
      <c r="D1779" s="52" t="s">
        <v>21</v>
      </c>
      <c r="E1779" s="55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</row>
    <row r="1780">
      <c r="A1780" s="52" t="s">
        <v>39</v>
      </c>
      <c r="B1780" s="56">
        <v>-500.0</v>
      </c>
      <c r="C1780" s="61">
        <v>46255.0</v>
      </c>
      <c r="D1780" s="52" t="s">
        <v>22</v>
      </c>
      <c r="E1780" s="55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</row>
    <row r="1781">
      <c r="A1781" s="52" t="s">
        <v>56</v>
      </c>
      <c r="B1781" s="56">
        <v>500.0</v>
      </c>
      <c r="C1781" s="61">
        <v>46255.0</v>
      </c>
      <c r="D1781" s="52" t="s">
        <v>1</v>
      </c>
      <c r="E1781" s="52" t="s">
        <v>73</v>
      </c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</row>
    <row r="1782">
      <c r="A1782" s="52" t="s">
        <v>56</v>
      </c>
      <c r="B1782" s="56">
        <v>700.0</v>
      </c>
      <c r="C1782" s="61">
        <v>46255.0</v>
      </c>
      <c r="D1782" s="52" t="s">
        <v>5</v>
      </c>
      <c r="E1782" s="52" t="s">
        <v>73</v>
      </c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</row>
    <row r="1783">
      <c r="A1783" s="52" t="s">
        <v>56</v>
      </c>
      <c r="B1783" s="56">
        <v>600.0</v>
      </c>
      <c r="C1783" s="61">
        <v>46255.0</v>
      </c>
      <c r="D1783" s="52" t="s">
        <v>2</v>
      </c>
      <c r="E1783" s="52" t="s">
        <v>73</v>
      </c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</row>
    <row r="1784">
      <c r="A1784" s="52" t="s">
        <v>56</v>
      </c>
      <c r="B1784" s="56">
        <v>900.0</v>
      </c>
      <c r="C1784" s="61">
        <v>46255.0</v>
      </c>
      <c r="D1784" s="52" t="s">
        <v>3</v>
      </c>
      <c r="E1784" s="52" t="s">
        <v>73</v>
      </c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</row>
    <row r="1785">
      <c r="A1785" s="52" t="s">
        <v>56</v>
      </c>
      <c r="B1785" s="56">
        <v>600.0</v>
      </c>
      <c r="C1785" s="61">
        <v>46255.0</v>
      </c>
      <c r="D1785" s="52" t="s">
        <v>14</v>
      </c>
      <c r="E1785" s="52" t="s">
        <v>73</v>
      </c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</row>
    <row r="1786">
      <c r="A1786" s="52" t="s">
        <v>56</v>
      </c>
      <c r="B1786" s="56">
        <v>400.0</v>
      </c>
      <c r="C1786" s="61">
        <v>46255.0</v>
      </c>
      <c r="D1786" s="52" t="s">
        <v>15</v>
      </c>
      <c r="E1786" s="52" t="s">
        <v>73</v>
      </c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</row>
    <row r="1787">
      <c r="A1787" s="52" t="s">
        <v>56</v>
      </c>
      <c r="B1787" s="56">
        <v>700.0</v>
      </c>
      <c r="C1787" s="61">
        <v>46255.0</v>
      </c>
      <c r="D1787" s="52" t="s">
        <v>16</v>
      </c>
      <c r="E1787" s="52" t="s">
        <v>73</v>
      </c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/>
    </row>
    <row r="1788">
      <c r="A1788" s="52" t="s">
        <v>56</v>
      </c>
      <c r="B1788" s="56">
        <v>900.0</v>
      </c>
      <c r="C1788" s="61">
        <v>46255.0</v>
      </c>
      <c r="D1788" s="52" t="s">
        <v>19</v>
      </c>
      <c r="E1788" s="52" t="s">
        <v>73</v>
      </c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</row>
    <row r="1789">
      <c r="A1789" s="52" t="s">
        <v>56</v>
      </c>
      <c r="B1789" s="56">
        <v>600.0</v>
      </c>
      <c r="C1789" s="61">
        <v>46255.0</v>
      </c>
      <c r="D1789" s="52" t="s">
        <v>20</v>
      </c>
      <c r="E1789" s="52" t="s">
        <v>73</v>
      </c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</row>
    <row r="1790">
      <c r="A1790" s="52" t="s">
        <v>56</v>
      </c>
      <c r="B1790" s="56">
        <v>800.0</v>
      </c>
      <c r="C1790" s="61">
        <v>46255.0</v>
      </c>
      <c r="D1790" s="52" t="s">
        <v>21</v>
      </c>
      <c r="E1790" s="52" t="s">
        <v>73</v>
      </c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</row>
    <row r="1791">
      <c r="A1791" s="52" t="s">
        <v>56</v>
      </c>
      <c r="B1791" s="56">
        <v>1100.0</v>
      </c>
      <c r="C1791" s="61">
        <v>46255.0</v>
      </c>
      <c r="D1791" s="52" t="s">
        <v>22</v>
      </c>
      <c r="E1791" s="52" t="s">
        <v>73</v>
      </c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</row>
    <row r="1792">
      <c r="A1792" s="52" t="s">
        <v>44</v>
      </c>
      <c r="B1792" s="56">
        <v>-53.0</v>
      </c>
      <c r="C1792" s="61">
        <v>46255.0</v>
      </c>
      <c r="D1792" s="52" t="s">
        <v>2</v>
      </c>
      <c r="E1792" s="52" t="s">
        <v>183</v>
      </c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</row>
    <row r="1793">
      <c r="A1793" s="52" t="s">
        <v>44</v>
      </c>
      <c r="B1793" s="56">
        <v>-134.87</v>
      </c>
      <c r="C1793" s="61">
        <v>46255.0</v>
      </c>
      <c r="D1793" s="52" t="s">
        <v>14</v>
      </c>
      <c r="E1793" s="52" t="s">
        <v>162</v>
      </c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</row>
    <row r="1794">
      <c r="A1794" s="52" t="s">
        <v>36</v>
      </c>
      <c r="B1794" s="52">
        <v>-5873.82</v>
      </c>
      <c r="C1794" s="61">
        <v>46258.0</v>
      </c>
      <c r="D1794" s="52" t="s">
        <v>5</v>
      </c>
      <c r="E1794" s="55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</row>
    <row r="1795">
      <c r="A1795" s="52" t="s">
        <v>36</v>
      </c>
      <c r="B1795" s="52">
        <v>-15757.28</v>
      </c>
      <c r="C1795" s="61">
        <v>46258.0</v>
      </c>
      <c r="D1795" s="52" t="s">
        <v>2</v>
      </c>
      <c r="E1795" s="55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</row>
    <row r="1796">
      <c r="A1796" s="52" t="s">
        <v>36</v>
      </c>
      <c r="B1796" s="52">
        <v>-11586.91</v>
      </c>
      <c r="C1796" s="61">
        <v>46258.0</v>
      </c>
      <c r="D1796" s="52" t="s">
        <v>3</v>
      </c>
      <c r="E1796" s="55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</row>
    <row r="1797">
      <c r="A1797" s="52" t="s">
        <v>36</v>
      </c>
      <c r="B1797" s="52">
        <v>-9921.93</v>
      </c>
      <c r="C1797" s="61">
        <v>46258.0</v>
      </c>
      <c r="D1797" s="52" t="s">
        <v>14</v>
      </c>
      <c r="E1797" s="55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</row>
    <row r="1798">
      <c r="A1798" s="52" t="s">
        <v>36</v>
      </c>
      <c r="B1798" s="52">
        <v>-6290.2</v>
      </c>
      <c r="C1798" s="61">
        <v>46258.0</v>
      </c>
      <c r="D1798" s="52" t="s">
        <v>15</v>
      </c>
      <c r="E1798" s="55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</row>
    <row r="1799">
      <c r="A1799" s="52" t="s">
        <v>36</v>
      </c>
      <c r="B1799" s="52">
        <v>-7677.7</v>
      </c>
      <c r="C1799" s="61">
        <v>46258.0</v>
      </c>
      <c r="D1799" s="52" t="s">
        <v>16</v>
      </c>
      <c r="E1799" s="55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</row>
    <row r="1800">
      <c r="A1800" s="52" t="s">
        <v>36</v>
      </c>
      <c r="B1800" s="52">
        <v>-7094.8</v>
      </c>
      <c r="C1800" s="61">
        <v>46258.0</v>
      </c>
      <c r="D1800" s="52" t="s">
        <v>19</v>
      </c>
      <c r="E1800" s="55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  <c r="AB1800" s="16"/>
    </row>
    <row r="1801">
      <c r="A1801" s="52" t="s">
        <v>36</v>
      </c>
      <c r="B1801" s="52">
        <v>-4764.21</v>
      </c>
      <c r="C1801" s="61">
        <v>46258.0</v>
      </c>
      <c r="D1801" s="52" t="s">
        <v>20</v>
      </c>
      <c r="E1801" s="55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</row>
    <row r="1802">
      <c r="A1802" s="52" t="s">
        <v>36</v>
      </c>
      <c r="B1802" s="52">
        <v>-5197.58</v>
      </c>
      <c r="C1802" s="61">
        <v>46258.0</v>
      </c>
      <c r="D1802" s="52" t="s">
        <v>21</v>
      </c>
      <c r="E1802" s="55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</row>
    <row r="1803">
      <c r="A1803" s="52" t="s">
        <v>36</v>
      </c>
      <c r="B1803" s="52">
        <v>-11173.22</v>
      </c>
      <c r="C1803" s="61">
        <v>46258.0</v>
      </c>
      <c r="D1803" s="52" t="s">
        <v>22</v>
      </c>
      <c r="E1803" s="55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</row>
    <row r="1804">
      <c r="A1804" s="52" t="s">
        <v>39</v>
      </c>
      <c r="B1804" s="56">
        <v>-2000.0</v>
      </c>
      <c r="C1804" s="61">
        <v>46258.0</v>
      </c>
      <c r="D1804" s="52" t="s">
        <v>5</v>
      </c>
      <c r="E1804" s="55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</row>
    <row r="1805">
      <c r="A1805" s="52" t="s">
        <v>39</v>
      </c>
      <c r="B1805" s="56">
        <v>2500.0</v>
      </c>
      <c r="C1805" s="61">
        <v>46258.0</v>
      </c>
      <c r="D1805" s="52" t="s">
        <v>2</v>
      </c>
      <c r="E1805" s="52" t="s">
        <v>55</v>
      </c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</row>
    <row r="1806">
      <c r="A1806" s="52" t="s">
        <v>39</v>
      </c>
      <c r="B1806" s="56">
        <v>-1000.0</v>
      </c>
      <c r="C1806" s="61">
        <v>46258.0</v>
      </c>
      <c r="D1806" s="52" t="s">
        <v>14</v>
      </c>
      <c r="E1806" s="55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</row>
    <row r="1807">
      <c r="A1807" s="52" t="s">
        <v>39</v>
      </c>
      <c r="B1807" s="56">
        <v>-1000.0</v>
      </c>
      <c r="C1807" s="61">
        <v>46258.0</v>
      </c>
      <c r="D1807" s="52" t="s">
        <v>14</v>
      </c>
      <c r="E1807" s="52" t="s">
        <v>232</v>
      </c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</row>
    <row r="1808">
      <c r="A1808" s="52" t="s">
        <v>39</v>
      </c>
      <c r="B1808" s="56">
        <v>-1500.0</v>
      </c>
      <c r="C1808" s="61">
        <v>46258.0</v>
      </c>
      <c r="D1808" s="52" t="s">
        <v>16</v>
      </c>
      <c r="E1808" s="55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6"/>
      <c r="S1808" s="16"/>
      <c r="T1808" s="16"/>
      <c r="U1808" s="16"/>
      <c r="V1808" s="16"/>
      <c r="W1808" s="16"/>
      <c r="X1808" s="16"/>
      <c r="Y1808" s="16"/>
      <c r="Z1808" s="16"/>
      <c r="AA1808" s="16"/>
      <c r="AB1808" s="16"/>
    </row>
    <row r="1809">
      <c r="A1809" s="52" t="s">
        <v>39</v>
      </c>
      <c r="B1809" s="56">
        <v>-2500.0</v>
      </c>
      <c r="C1809" s="61">
        <v>46258.0</v>
      </c>
      <c r="D1809" s="52" t="s">
        <v>19</v>
      </c>
      <c r="E1809" s="55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</row>
    <row r="1810">
      <c r="A1810" s="52" t="s">
        <v>39</v>
      </c>
      <c r="B1810" s="56">
        <v>500.0</v>
      </c>
      <c r="C1810" s="61">
        <v>46258.0</v>
      </c>
      <c r="D1810" s="52" t="s">
        <v>20</v>
      </c>
      <c r="E1810" s="52" t="s">
        <v>55</v>
      </c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</row>
    <row r="1811">
      <c r="A1811" s="52" t="s">
        <v>39</v>
      </c>
      <c r="B1811" s="56">
        <v>-2000.0</v>
      </c>
      <c r="C1811" s="61">
        <v>46258.0</v>
      </c>
      <c r="D1811" s="52" t="s">
        <v>21</v>
      </c>
      <c r="E1811" s="55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</row>
    <row r="1812">
      <c r="A1812" s="52" t="s">
        <v>39</v>
      </c>
      <c r="B1812" s="56">
        <v>-3000.0</v>
      </c>
      <c r="C1812" s="61">
        <v>46258.0</v>
      </c>
      <c r="D1812" s="52" t="s">
        <v>22</v>
      </c>
      <c r="E1812" s="55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</row>
    <row r="1813">
      <c r="A1813" s="52" t="s">
        <v>44</v>
      </c>
      <c r="B1813" s="52">
        <v>-101.5</v>
      </c>
      <c r="C1813" s="61">
        <v>46258.0</v>
      </c>
      <c r="D1813" s="52" t="s">
        <v>14</v>
      </c>
      <c r="E1813" s="52" t="s">
        <v>162</v>
      </c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</row>
    <row r="1814">
      <c r="A1814" s="52"/>
      <c r="B1814" s="52"/>
      <c r="C1814" s="61"/>
      <c r="D1814" s="52"/>
      <c r="E1814" s="52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</row>
    <row r="1815">
      <c r="A1815" s="52"/>
      <c r="B1815" s="52"/>
      <c r="C1815" s="61"/>
      <c r="D1815" s="52"/>
      <c r="E1815" s="52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</row>
    <row r="1816">
      <c r="A1816" s="52"/>
      <c r="B1816" s="52"/>
      <c r="C1816" s="61"/>
      <c r="D1816" s="52"/>
      <c r="E1816" s="52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</row>
    <row r="1817">
      <c r="A1817" s="52"/>
      <c r="B1817" s="52"/>
      <c r="C1817" s="61"/>
      <c r="D1817" s="52"/>
      <c r="E1817" s="52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6"/>
      <c r="AB1817" s="16"/>
    </row>
    <row r="1818">
      <c r="A1818" s="52"/>
      <c r="B1818" s="52"/>
      <c r="C1818" s="61"/>
      <c r="D1818" s="52"/>
      <c r="E1818" s="52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  <c r="AB1818" s="16"/>
    </row>
    <row r="1819">
      <c r="A1819" s="52"/>
      <c r="B1819" s="52"/>
      <c r="C1819" s="61"/>
      <c r="D1819" s="52"/>
      <c r="E1819" s="52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6"/>
      <c r="S1819" s="16"/>
      <c r="T1819" s="16"/>
      <c r="U1819" s="16"/>
      <c r="V1819" s="16"/>
      <c r="W1819" s="16"/>
      <c r="X1819" s="16"/>
      <c r="Y1819" s="16"/>
      <c r="Z1819" s="16"/>
      <c r="AA1819" s="16"/>
      <c r="AB1819" s="16"/>
    </row>
    <row r="1820">
      <c r="A1820" s="52"/>
      <c r="B1820" s="52"/>
      <c r="C1820" s="61"/>
      <c r="D1820" s="52"/>
      <c r="E1820" s="52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</row>
    <row r="1821">
      <c r="A1821" s="52"/>
      <c r="B1821" s="52"/>
      <c r="C1821" s="61"/>
      <c r="D1821" s="52"/>
      <c r="E1821" s="52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</row>
    <row r="1822">
      <c r="A1822" s="52"/>
      <c r="B1822" s="52"/>
      <c r="C1822" s="61"/>
      <c r="D1822" s="52"/>
      <c r="E1822" s="52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</row>
    <row r="1823">
      <c r="A1823" s="52"/>
      <c r="B1823" s="52"/>
      <c r="C1823" s="61"/>
      <c r="D1823" s="52"/>
      <c r="E1823" s="52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</row>
    <row r="1824">
      <c r="A1824" s="52"/>
      <c r="B1824" s="52"/>
      <c r="C1824" s="61"/>
      <c r="D1824" s="52"/>
      <c r="E1824" s="52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</row>
    <row r="1825">
      <c r="A1825" s="52"/>
      <c r="B1825" s="52"/>
      <c r="C1825" s="61"/>
      <c r="D1825" s="52"/>
      <c r="E1825" s="52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</row>
    <row r="1826">
      <c r="A1826" s="52"/>
      <c r="B1826" s="52"/>
      <c r="C1826" s="61"/>
      <c r="D1826" s="52"/>
      <c r="E1826" s="52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</row>
    <row r="1827">
      <c r="A1827" s="52"/>
      <c r="B1827" s="52"/>
      <c r="C1827" s="61"/>
      <c r="D1827" s="52"/>
      <c r="E1827" s="52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  <c r="AB1827" s="16"/>
    </row>
    <row r="1828">
      <c r="A1828" s="52"/>
      <c r="B1828" s="52"/>
      <c r="C1828" s="61"/>
      <c r="D1828" s="52"/>
      <c r="E1828" s="52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</row>
    <row r="1829">
      <c r="A1829" s="52"/>
      <c r="B1829" s="52"/>
      <c r="C1829" s="61"/>
      <c r="D1829" s="52"/>
      <c r="E1829" s="52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</row>
    <row r="1830">
      <c r="A1830" s="52"/>
      <c r="B1830" s="52"/>
      <c r="C1830" s="61"/>
      <c r="D1830" s="52"/>
      <c r="E1830" s="52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</row>
    <row r="1831">
      <c r="A1831" s="52"/>
      <c r="B1831" s="52"/>
      <c r="C1831" s="61"/>
      <c r="D1831" s="52"/>
      <c r="E1831" s="52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</row>
    <row r="1832">
      <c r="A1832" s="52"/>
      <c r="B1832" s="52"/>
      <c r="C1832" s="61"/>
      <c r="D1832" s="52"/>
      <c r="E1832" s="52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6"/>
      <c r="AB1832" s="16"/>
    </row>
    <row r="1833">
      <c r="A1833" s="52"/>
      <c r="B1833" s="52"/>
      <c r="C1833" s="61"/>
      <c r="D1833" s="52"/>
      <c r="E1833" s="52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</row>
    <row r="1834">
      <c r="A1834" s="52"/>
      <c r="B1834" s="52"/>
      <c r="C1834" s="61"/>
      <c r="D1834" s="52"/>
      <c r="E1834" s="52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</row>
    <row r="1835">
      <c r="A1835" s="52"/>
      <c r="B1835" s="52"/>
      <c r="C1835" s="61"/>
      <c r="D1835" s="52"/>
      <c r="E1835" s="52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</row>
    <row r="1836">
      <c r="A1836" s="52"/>
      <c r="B1836" s="52"/>
      <c r="C1836" s="61"/>
      <c r="D1836" s="52"/>
      <c r="E1836" s="52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</row>
    <row r="1837">
      <c r="A1837" s="52"/>
      <c r="B1837" s="52"/>
      <c r="C1837" s="61"/>
      <c r="D1837" s="52"/>
      <c r="E1837" s="52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</row>
    <row r="1838">
      <c r="A1838" s="52"/>
      <c r="B1838" s="52"/>
      <c r="C1838" s="61"/>
      <c r="D1838" s="52"/>
      <c r="E1838" s="52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</row>
    <row r="1839">
      <c r="A1839" s="52"/>
      <c r="B1839" s="52"/>
      <c r="C1839" s="61"/>
      <c r="D1839" s="52"/>
      <c r="E1839" s="52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</row>
    <row r="1840">
      <c r="A1840" s="52"/>
      <c r="B1840" s="52"/>
      <c r="C1840" s="61"/>
      <c r="D1840" s="52"/>
      <c r="E1840" s="52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</row>
    <row r="1841">
      <c r="A1841" s="52"/>
      <c r="B1841" s="52"/>
      <c r="C1841" s="61"/>
      <c r="D1841" s="52"/>
      <c r="E1841" s="52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</row>
    <row r="1842">
      <c r="A1842" s="52"/>
      <c r="B1842" s="52"/>
      <c r="C1842" s="61"/>
      <c r="D1842" s="52"/>
      <c r="E1842" s="52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</row>
    <row r="1843">
      <c r="A1843" s="52"/>
      <c r="B1843" s="52"/>
      <c r="C1843" s="61"/>
      <c r="D1843" s="52"/>
      <c r="E1843" s="52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</row>
    <row r="1844">
      <c r="A1844" s="52"/>
      <c r="B1844" s="52"/>
      <c r="C1844" s="61"/>
      <c r="D1844" s="52"/>
      <c r="E1844" s="52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</row>
    <row r="1845">
      <c r="A1845" s="52"/>
      <c r="B1845" s="52"/>
      <c r="C1845" s="61"/>
      <c r="D1845" s="52"/>
      <c r="E1845" s="52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</row>
    <row r="1846">
      <c r="A1846" s="52"/>
      <c r="B1846" s="52"/>
      <c r="C1846" s="61"/>
      <c r="D1846" s="52"/>
      <c r="E1846" s="52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</row>
    <row r="1847">
      <c r="A1847" s="52"/>
      <c r="B1847" s="52"/>
      <c r="C1847" s="61"/>
      <c r="D1847" s="52"/>
      <c r="E1847" s="52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</row>
    <row r="1848">
      <c r="A1848" s="52"/>
      <c r="B1848" s="52"/>
      <c r="C1848" s="61"/>
      <c r="D1848" s="52"/>
      <c r="E1848" s="52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</row>
    <row r="1849">
      <c r="A1849" s="52"/>
      <c r="B1849" s="52"/>
      <c r="C1849" s="61"/>
      <c r="D1849" s="52"/>
      <c r="E1849" s="52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</row>
    <row r="1850">
      <c r="A1850" s="52"/>
      <c r="B1850" s="52"/>
      <c r="C1850" s="61"/>
      <c r="D1850" s="52"/>
      <c r="E1850" s="52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</row>
    <row r="1851">
      <c r="A1851" s="52"/>
      <c r="B1851" s="52"/>
      <c r="C1851" s="61"/>
      <c r="D1851" s="52"/>
      <c r="E1851" s="52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</row>
    <row r="1852">
      <c r="A1852" s="52"/>
      <c r="B1852" s="52"/>
      <c r="C1852" s="61"/>
      <c r="D1852" s="52"/>
      <c r="E1852" s="52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</row>
    <row r="1853">
      <c r="A1853" s="52"/>
      <c r="B1853" s="52"/>
      <c r="C1853" s="61"/>
      <c r="D1853" s="52"/>
      <c r="E1853" s="52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</row>
    <row r="1854">
      <c r="A1854" s="52"/>
      <c r="B1854" s="52"/>
      <c r="C1854" s="61"/>
      <c r="D1854" s="52"/>
      <c r="E1854" s="52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</row>
    <row r="1855">
      <c r="A1855" s="52"/>
      <c r="B1855" s="52"/>
      <c r="C1855" s="61"/>
      <c r="D1855" s="52"/>
      <c r="E1855" s="52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</row>
    <row r="1856">
      <c r="A1856" s="52"/>
      <c r="B1856" s="52"/>
      <c r="C1856" s="61"/>
      <c r="D1856" s="52"/>
      <c r="E1856" s="52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</row>
    <row r="1857">
      <c r="A1857" s="52"/>
      <c r="B1857" s="52"/>
      <c r="C1857" s="61"/>
      <c r="D1857" s="52"/>
      <c r="E1857" s="52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</row>
    <row r="1858">
      <c r="A1858" s="52"/>
      <c r="B1858" s="52"/>
      <c r="C1858" s="61"/>
      <c r="D1858" s="52"/>
      <c r="E1858" s="52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</row>
    <row r="1859">
      <c r="A1859" s="52"/>
      <c r="B1859" s="52"/>
      <c r="C1859" s="61"/>
      <c r="D1859" s="52"/>
      <c r="E1859" s="52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</row>
    <row r="1860">
      <c r="A1860" s="52"/>
      <c r="B1860" s="52"/>
      <c r="C1860" s="61"/>
      <c r="D1860" s="52"/>
      <c r="E1860" s="52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</row>
    <row r="1861">
      <c r="A1861" s="52"/>
      <c r="B1861" s="52"/>
      <c r="C1861" s="61"/>
      <c r="D1861" s="52"/>
      <c r="E1861" s="52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</row>
    <row r="1862">
      <c r="A1862" s="52"/>
      <c r="B1862" s="52"/>
      <c r="C1862" s="61"/>
      <c r="D1862" s="52"/>
      <c r="E1862" s="52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</row>
    <row r="1863">
      <c r="A1863" s="52"/>
      <c r="B1863" s="52"/>
      <c r="C1863" s="61"/>
      <c r="D1863" s="52"/>
      <c r="E1863" s="52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</row>
    <row r="1864">
      <c r="A1864" s="52"/>
      <c r="B1864" s="52"/>
      <c r="C1864" s="61"/>
      <c r="D1864" s="52"/>
      <c r="E1864" s="52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</row>
    <row r="1865">
      <c r="A1865" s="52"/>
      <c r="B1865" s="52"/>
      <c r="C1865" s="61"/>
      <c r="D1865" s="52"/>
      <c r="E1865" s="52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</row>
    <row r="1866">
      <c r="A1866" s="52"/>
      <c r="B1866" s="52"/>
      <c r="C1866" s="61"/>
      <c r="D1866" s="52"/>
      <c r="E1866" s="52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</row>
    <row r="1867">
      <c r="A1867" s="52"/>
      <c r="B1867" s="52"/>
      <c r="C1867" s="61"/>
      <c r="D1867" s="52"/>
      <c r="E1867" s="52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  <c r="AB1867" s="16"/>
    </row>
    <row r="1868">
      <c r="A1868" s="52"/>
      <c r="B1868" s="52"/>
      <c r="C1868" s="61"/>
      <c r="D1868" s="52"/>
      <c r="E1868" s="52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</row>
    <row r="1869">
      <c r="A1869" s="52"/>
      <c r="B1869" s="52"/>
      <c r="C1869" s="61"/>
      <c r="D1869" s="52"/>
      <c r="E1869" s="52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</row>
    <row r="1870">
      <c r="A1870" s="52"/>
      <c r="B1870" s="52"/>
      <c r="C1870" s="61"/>
      <c r="D1870" s="52"/>
      <c r="E1870" s="52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</row>
    <row r="1871">
      <c r="A1871" s="52"/>
      <c r="B1871" s="52"/>
      <c r="C1871" s="61"/>
      <c r="D1871" s="52"/>
      <c r="E1871" s="52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</row>
    <row r="1872">
      <c r="A1872" s="52"/>
      <c r="B1872" s="52"/>
      <c r="C1872" s="61"/>
      <c r="D1872" s="52"/>
      <c r="E1872" s="52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  <c r="AB1872" s="16"/>
    </row>
    <row r="1873">
      <c r="A1873" s="52"/>
      <c r="B1873" s="52"/>
      <c r="C1873" s="61"/>
      <c r="D1873" s="52"/>
      <c r="E1873" s="52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</row>
    <row r="1874">
      <c r="A1874" s="52"/>
      <c r="B1874" s="52"/>
      <c r="C1874" s="61"/>
      <c r="D1874" s="52"/>
      <c r="E1874" s="52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</row>
    <row r="1875">
      <c r="A1875" s="52"/>
      <c r="B1875" s="52"/>
      <c r="C1875" s="61"/>
      <c r="D1875" s="52"/>
      <c r="E1875" s="52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  <c r="AB1875" s="16"/>
    </row>
    <row r="1876">
      <c r="A1876" s="52"/>
      <c r="B1876" s="52"/>
      <c r="C1876" s="61"/>
      <c r="D1876" s="52"/>
      <c r="E1876" s="52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</row>
    <row r="1877">
      <c r="A1877" s="52"/>
      <c r="B1877" s="52"/>
      <c r="C1877" s="61"/>
      <c r="D1877" s="52"/>
      <c r="E1877" s="52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</row>
    <row r="1878">
      <c r="A1878" s="52"/>
      <c r="B1878" s="52"/>
      <c r="C1878" s="61"/>
      <c r="D1878" s="52"/>
      <c r="E1878" s="52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</row>
    <row r="1879">
      <c r="A1879" s="52"/>
      <c r="B1879" s="52"/>
      <c r="C1879" s="61"/>
      <c r="D1879" s="52"/>
      <c r="E1879" s="52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</row>
    <row r="1880">
      <c r="A1880" s="52"/>
      <c r="B1880" s="52"/>
      <c r="C1880" s="61"/>
      <c r="D1880" s="52"/>
      <c r="E1880" s="52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</row>
    <row r="1881">
      <c r="A1881" s="52"/>
      <c r="B1881" s="52"/>
      <c r="C1881" s="61"/>
      <c r="D1881" s="52"/>
      <c r="E1881" s="52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</row>
    <row r="1882">
      <c r="A1882" s="52"/>
      <c r="B1882" s="52"/>
      <c r="C1882" s="61"/>
      <c r="D1882" s="52"/>
      <c r="E1882" s="52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</row>
    <row r="1883">
      <c r="A1883" s="52"/>
      <c r="B1883" s="52"/>
      <c r="C1883" s="61"/>
      <c r="D1883" s="52"/>
      <c r="E1883" s="52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6"/>
      <c r="S1883" s="16"/>
      <c r="T1883" s="16"/>
      <c r="U1883" s="16"/>
      <c r="V1883" s="16"/>
      <c r="W1883" s="16"/>
      <c r="X1883" s="16"/>
      <c r="Y1883" s="16"/>
      <c r="Z1883" s="16"/>
      <c r="AA1883" s="16"/>
      <c r="AB1883" s="16"/>
    </row>
    <row r="1884">
      <c r="A1884" s="52"/>
      <c r="B1884" s="52"/>
      <c r="C1884" s="61"/>
      <c r="D1884" s="52"/>
      <c r="E1884" s="52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</row>
    <row r="1885">
      <c r="A1885" s="52"/>
      <c r="B1885" s="52"/>
      <c r="C1885" s="61"/>
      <c r="D1885" s="52"/>
      <c r="E1885" s="52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</row>
    <row r="1886">
      <c r="A1886" s="52"/>
      <c r="B1886" s="52"/>
      <c r="C1886" s="61"/>
      <c r="D1886" s="52"/>
      <c r="E1886" s="52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</row>
    <row r="1887">
      <c r="A1887" s="52"/>
      <c r="B1887" s="52"/>
      <c r="C1887" s="61"/>
      <c r="D1887" s="52"/>
      <c r="E1887" s="52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/>
    </row>
    <row r="1888">
      <c r="A1888" s="52"/>
      <c r="B1888" s="52"/>
      <c r="C1888" s="61"/>
      <c r="D1888" s="52"/>
      <c r="E1888" s="52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</row>
    <row r="1889">
      <c r="A1889" s="52"/>
      <c r="B1889" s="52"/>
      <c r="C1889" s="61"/>
      <c r="D1889" s="52"/>
      <c r="E1889" s="52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6"/>
      <c r="S1889" s="16"/>
      <c r="T1889" s="16"/>
      <c r="U1889" s="16"/>
      <c r="V1889" s="16"/>
      <c r="W1889" s="16"/>
      <c r="X1889" s="16"/>
      <c r="Y1889" s="16"/>
      <c r="Z1889" s="16"/>
      <c r="AA1889" s="16"/>
      <c r="AB1889" s="16"/>
    </row>
    <row r="1890">
      <c r="A1890" s="52"/>
      <c r="B1890" s="52"/>
      <c r="C1890" s="61"/>
      <c r="D1890" s="52"/>
      <c r="E1890" s="52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/>
    </row>
    <row r="1891">
      <c r="A1891" s="52"/>
      <c r="B1891" s="52"/>
      <c r="C1891" s="61"/>
      <c r="D1891" s="52"/>
      <c r="E1891" s="52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</row>
    <row r="1892">
      <c r="A1892" s="52"/>
      <c r="B1892" s="52"/>
      <c r="C1892" s="61"/>
      <c r="D1892" s="52"/>
      <c r="E1892" s="52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/>
    </row>
    <row r="1893">
      <c r="A1893" s="52"/>
      <c r="B1893" s="52"/>
      <c r="C1893" s="61"/>
      <c r="D1893" s="52"/>
      <c r="E1893" s="52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</row>
    <row r="1894">
      <c r="A1894" s="52"/>
      <c r="B1894" s="52"/>
      <c r="C1894" s="61"/>
      <c r="D1894" s="52"/>
      <c r="E1894" s="52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</row>
    <row r="1895">
      <c r="A1895" s="52"/>
      <c r="B1895" s="52"/>
      <c r="C1895" s="61"/>
      <c r="D1895" s="52"/>
      <c r="E1895" s="52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</row>
    <row r="1896">
      <c r="A1896" s="52"/>
      <c r="B1896" s="52"/>
      <c r="C1896" s="61"/>
      <c r="D1896" s="52"/>
      <c r="E1896" s="52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</row>
    <row r="1897">
      <c r="A1897" s="52"/>
      <c r="B1897" s="52"/>
      <c r="C1897" s="61"/>
      <c r="D1897" s="52"/>
      <c r="E1897" s="52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</row>
    <row r="1898">
      <c r="A1898" s="52"/>
      <c r="B1898" s="52"/>
      <c r="C1898" s="61"/>
      <c r="D1898" s="52"/>
      <c r="E1898" s="52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</row>
    <row r="1899">
      <c r="A1899" s="52"/>
      <c r="B1899" s="52"/>
      <c r="C1899" s="61"/>
      <c r="D1899" s="52"/>
      <c r="E1899" s="52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6"/>
      <c r="S1899" s="16"/>
      <c r="T1899" s="16"/>
      <c r="U1899" s="16"/>
      <c r="V1899" s="16"/>
      <c r="W1899" s="16"/>
      <c r="X1899" s="16"/>
      <c r="Y1899" s="16"/>
      <c r="Z1899" s="16"/>
      <c r="AA1899" s="16"/>
      <c r="AB1899" s="16"/>
    </row>
    <row r="1900">
      <c r="A1900" s="52"/>
      <c r="B1900" s="52"/>
      <c r="C1900" s="61"/>
      <c r="D1900" s="52"/>
      <c r="E1900" s="52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</row>
    <row r="1901">
      <c r="A1901" s="52"/>
      <c r="B1901" s="52"/>
      <c r="C1901" s="61"/>
      <c r="D1901" s="52"/>
      <c r="E1901" s="52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</row>
    <row r="1902">
      <c r="A1902" s="52"/>
      <c r="B1902" s="52"/>
      <c r="C1902" s="61"/>
      <c r="D1902" s="52"/>
      <c r="E1902" s="52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</row>
    <row r="1903">
      <c r="A1903" s="52"/>
      <c r="B1903" s="52"/>
      <c r="C1903" s="61"/>
      <c r="D1903" s="52"/>
      <c r="E1903" s="52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/>
    </row>
    <row r="1904">
      <c r="A1904" s="52"/>
      <c r="B1904" s="52"/>
      <c r="C1904" s="61"/>
      <c r="D1904" s="52"/>
      <c r="E1904" s="52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6"/>
      <c r="S1904" s="16"/>
      <c r="T1904" s="16"/>
      <c r="U1904" s="16"/>
      <c r="V1904" s="16"/>
      <c r="W1904" s="16"/>
      <c r="X1904" s="16"/>
      <c r="Y1904" s="16"/>
      <c r="Z1904" s="16"/>
      <c r="AA1904" s="16"/>
      <c r="AB1904" s="16"/>
    </row>
    <row r="1905">
      <c r="A1905" s="52"/>
      <c r="B1905" s="52"/>
      <c r="C1905" s="61"/>
      <c r="D1905" s="52"/>
      <c r="E1905" s="52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/>
    </row>
    <row r="1906">
      <c r="A1906" s="52"/>
      <c r="B1906" s="52"/>
      <c r="C1906" s="61"/>
      <c r="D1906" s="52"/>
      <c r="E1906" s="52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</row>
    <row r="1907">
      <c r="A1907" s="52"/>
      <c r="B1907" s="52"/>
      <c r="C1907" s="61"/>
      <c r="D1907" s="52"/>
      <c r="E1907" s="52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6"/>
      <c r="AB1907" s="16"/>
    </row>
    <row r="1908">
      <c r="A1908" s="52"/>
      <c r="B1908" s="52"/>
      <c r="C1908" s="61"/>
      <c r="D1908" s="52"/>
      <c r="E1908" s="52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</row>
    <row r="1909">
      <c r="A1909" s="52"/>
      <c r="B1909" s="52"/>
      <c r="C1909" s="61"/>
      <c r="D1909" s="52"/>
      <c r="E1909" s="52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</row>
    <row r="1910">
      <c r="A1910" s="52"/>
      <c r="B1910" s="52"/>
      <c r="C1910" s="61"/>
      <c r="D1910" s="52"/>
      <c r="E1910" s="52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</row>
    <row r="1911">
      <c r="A1911" s="52"/>
      <c r="B1911" s="52"/>
      <c r="C1911" s="61"/>
      <c r="D1911" s="52"/>
      <c r="E1911" s="52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</row>
    <row r="1912">
      <c r="A1912" s="52"/>
      <c r="B1912" s="52"/>
      <c r="C1912" s="61"/>
      <c r="D1912" s="52"/>
      <c r="E1912" s="52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</row>
    <row r="1913">
      <c r="A1913" s="52"/>
      <c r="B1913" s="52"/>
      <c r="C1913" s="61"/>
      <c r="D1913" s="52"/>
      <c r="E1913" s="52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  <c r="AB1913" s="16"/>
    </row>
    <row r="1914">
      <c r="A1914" s="52"/>
      <c r="B1914" s="52"/>
      <c r="C1914" s="61"/>
      <c r="D1914" s="52"/>
      <c r="E1914" s="52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</row>
    <row r="1915">
      <c r="A1915" s="52"/>
      <c r="B1915" s="52"/>
      <c r="C1915" s="61"/>
      <c r="D1915" s="52"/>
      <c r="E1915" s="52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</row>
    <row r="1916">
      <c r="A1916" s="52"/>
      <c r="B1916" s="52"/>
      <c r="C1916" s="61"/>
      <c r="D1916" s="52"/>
      <c r="E1916" s="52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</row>
    <row r="1917">
      <c r="A1917" s="52"/>
      <c r="B1917" s="52"/>
      <c r="C1917" s="61"/>
      <c r="D1917" s="52"/>
      <c r="E1917" s="52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</row>
    <row r="1918">
      <c r="A1918" s="52"/>
      <c r="B1918" s="52"/>
      <c r="C1918" s="61"/>
      <c r="D1918" s="52"/>
      <c r="E1918" s="52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</row>
    <row r="1919">
      <c r="A1919" s="52"/>
      <c r="B1919" s="52"/>
      <c r="C1919" s="61"/>
      <c r="D1919" s="52"/>
      <c r="E1919" s="52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  <c r="AB1919" s="16"/>
    </row>
    <row r="1920">
      <c r="A1920" s="52"/>
      <c r="B1920" s="52"/>
      <c r="C1920" s="61"/>
      <c r="D1920" s="52"/>
      <c r="E1920" s="52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  <c r="AB1920" s="16"/>
    </row>
    <row r="1921">
      <c r="A1921" s="52"/>
      <c r="B1921" s="52"/>
      <c r="C1921" s="61"/>
      <c r="D1921" s="52"/>
      <c r="E1921" s="52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</row>
    <row r="1922">
      <c r="A1922" s="52"/>
      <c r="B1922" s="52"/>
      <c r="C1922" s="61"/>
      <c r="D1922" s="52"/>
      <c r="E1922" s="52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</row>
    <row r="1923">
      <c r="A1923" s="52"/>
      <c r="B1923" s="52"/>
      <c r="C1923" s="61"/>
      <c r="D1923" s="52"/>
      <c r="E1923" s="52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</row>
    <row r="1924">
      <c r="A1924" s="52"/>
      <c r="B1924" s="52"/>
      <c r="C1924" s="61"/>
      <c r="D1924" s="52"/>
      <c r="E1924" s="52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</row>
    <row r="1925">
      <c r="A1925" s="52"/>
      <c r="B1925" s="52"/>
      <c r="C1925" s="61"/>
      <c r="D1925" s="52"/>
      <c r="E1925" s="52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6"/>
      <c r="AB1925" s="16"/>
    </row>
    <row r="1926">
      <c r="A1926" s="52"/>
      <c r="B1926" s="52"/>
      <c r="C1926" s="61"/>
      <c r="D1926" s="52"/>
      <c r="E1926" s="52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</row>
    <row r="1927">
      <c r="A1927" s="52"/>
      <c r="B1927" s="52"/>
      <c r="C1927" s="61"/>
      <c r="D1927" s="52"/>
      <c r="E1927" s="52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  <c r="AB1927" s="16"/>
    </row>
    <row r="1928">
      <c r="A1928" s="52"/>
      <c r="B1928" s="52"/>
      <c r="C1928" s="61"/>
      <c r="D1928" s="52"/>
      <c r="E1928" s="52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  <c r="AB1928" s="16"/>
    </row>
    <row r="1929">
      <c r="A1929" s="52"/>
      <c r="B1929" s="52"/>
      <c r="C1929" s="61"/>
      <c r="D1929" s="52"/>
      <c r="E1929" s="52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</row>
    <row r="1930">
      <c r="A1930" s="52"/>
      <c r="B1930" s="52"/>
      <c r="C1930" s="61"/>
      <c r="D1930" s="52"/>
      <c r="E1930" s="52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</row>
    <row r="1931">
      <c r="A1931" s="52"/>
      <c r="B1931" s="52"/>
      <c r="C1931" s="61"/>
      <c r="D1931" s="52"/>
      <c r="E1931" s="52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/>
    </row>
    <row r="1932">
      <c r="A1932" s="52"/>
      <c r="B1932" s="52"/>
      <c r="C1932" s="61"/>
      <c r="D1932" s="52"/>
      <c r="E1932" s="52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  <c r="AB1932" s="16"/>
    </row>
    <row r="1933">
      <c r="A1933" s="52"/>
      <c r="B1933" s="52"/>
      <c r="C1933" s="61"/>
      <c r="D1933" s="52"/>
      <c r="E1933" s="52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</row>
    <row r="1934">
      <c r="A1934" s="52"/>
      <c r="B1934" s="52"/>
      <c r="C1934" s="61"/>
      <c r="D1934" s="52"/>
      <c r="E1934" s="52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</row>
    <row r="1935">
      <c r="A1935" s="52"/>
      <c r="B1935" s="52"/>
      <c r="C1935" s="61"/>
      <c r="D1935" s="52"/>
      <c r="E1935" s="52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</row>
    <row r="1936">
      <c r="A1936" s="52"/>
      <c r="B1936" s="52"/>
      <c r="C1936" s="61"/>
      <c r="D1936" s="52"/>
      <c r="E1936" s="52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</row>
    <row r="1937">
      <c r="A1937" s="52"/>
      <c r="B1937" s="52"/>
      <c r="C1937" s="61"/>
      <c r="D1937" s="52"/>
      <c r="E1937" s="52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  <c r="AB1937" s="16"/>
    </row>
    <row r="1938">
      <c r="A1938" s="52"/>
      <c r="B1938" s="52"/>
      <c r="C1938" s="61"/>
      <c r="D1938" s="52"/>
      <c r="E1938" s="52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</row>
    <row r="1939">
      <c r="A1939" s="52"/>
      <c r="B1939" s="52"/>
      <c r="C1939" s="61"/>
      <c r="D1939" s="52"/>
      <c r="E1939" s="52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6"/>
      <c r="S1939" s="16"/>
      <c r="T1939" s="16"/>
      <c r="U1939" s="16"/>
      <c r="V1939" s="16"/>
      <c r="W1939" s="16"/>
      <c r="X1939" s="16"/>
      <c r="Y1939" s="16"/>
      <c r="Z1939" s="16"/>
      <c r="AA1939" s="16"/>
      <c r="AB1939" s="16"/>
    </row>
    <row r="1940">
      <c r="A1940" s="52"/>
      <c r="B1940" s="52"/>
      <c r="C1940" s="61"/>
      <c r="D1940" s="52"/>
      <c r="E1940" s="52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6"/>
      <c r="S1940" s="16"/>
      <c r="T1940" s="16"/>
      <c r="U1940" s="16"/>
      <c r="V1940" s="16"/>
      <c r="W1940" s="16"/>
      <c r="X1940" s="16"/>
      <c r="Y1940" s="16"/>
      <c r="Z1940" s="16"/>
      <c r="AA1940" s="16"/>
      <c r="AB1940" s="16"/>
    </row>
    <row r="1941">
      <c r="A1941" s="52"/>
      <c r="B1941" s="52"/>
      <c r="C1941" s="61"/>
      <c r="D1941" s="52"/>
      <c r="E1941" s="52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</row>
    <row r="1942">
      <c r="A1942" s="52"/>
      <c r="B1942" s="52"/>
      <c r="C1942" s="61"/>
      <c r="D1942" s="52"/>
      <c r="E1942" s="52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</row>
    <row r="1943">
      <c r="A1943" s="52"/>
      <c r="B1943" s="52"/>
      <c r="C1943" s="61"/>
      <c r="D1943" s="52"/>
      <c r="E1943" s="52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  <c r="AB1943" s="16"/>
    </row>
    <row r="1944">
      <c r="A1944" s="52"/>
      <c r="B1944" s="52"/>
      <c r="C1944" s="61"/>
      <c r="D1944" s="52"/>
      <c r="E1944" s="52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6"/>
      <c r="S1944" s="16"/>
      <c r="T1944" s="16"/>
      <c r="U1944" s="16"/>
      <c r="V1944" s="16"/>
      <c r="W1944" s="16"/>
      <c r="X1944" s="16"/>
      <c r="Y1944" s="16"/>
      <c r="Z1944" s="16"/>
      <c r="AA1944" s="16"/>
      <c r="AB1944" s="16"/>
    </row>
    <row r="1945">
      <c r="A1945" s="52"/>
      <c r="B1945" s="52"/>
      <c r="C1945" s="61"/>
      <c r="D1945" s="52"/>
      <c r="E1945" s="52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</row>
    <row r="1946">
      <c r="A1946" s="52"/>
      <c r="B1946" s="52"/>
      <c r="C1946" s="61"/>
      <c r="D1946" s="52"/>
      <c r="E1946" s="52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</row>
    <row r="1947">
      <c r="A1947" s="52"/>
      <c r="B1947" s="52"/>
      <c r="C1947" s="61"/>
      <c r="D1947" s="52"/>
      <c r="E1947" s="52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</row>
    <row r="1948">
      <c r="A1948" s="52"/>
      <c r="B1948" s="52"/>
      <c r="C1948" s="61"/>
      <c r="D1948" s="52"/>
      <c r="E1948" s="52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/>
    </row>
    <row r="1949">
      <c r="A1949" s="52"/>
      <c r="B1949" s="52"/>
      <c r="C1949" s="61"/>
      <c r="D1949" s="52"/>
      <c r="E1949" s="52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</row>
    <row r="1950">
      <c r="A1950" s="52"/>
      <c r="B1950" s="52"/>
      <c r="C1950" s="61"/>
      <c r="D1950" s="52"/>
      <c r="E1950" s="52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</row>
    <row r="1951">
      <c r="A1951" s="52"/>
      <c r="B1951" s="52"/>
      <c r="C1951" s="61"/>
      <c r="D1951" s="52"/>
      <c r="E1951" s="52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</row>
    <row r="1952">
      <c r="A1952" s="52"/>
      <c r="B1952" s="52"/>
      <c r="C1952" s="61"/>
      <c r="D1952" s="52"/>
      <c r="E1952" s="52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6"/>
      <c r="S1952" s="16"/>
      <c r="T1952" s="16"/>
      <c r="U1952" s="16"/>
      <c r="V1952" s="16"/>
      <c r="W1952" s="16"/>
      <c r="X1952" s="16"/>
      <c r="Y1952" s="16"/>
      <c r="Z1952" s="16"/>
      <c r="AA1952" s="16"/>
      <c r="AB1952" s="16"/>
    </row>
    <row r="1953">
      <c r="A1953" s="52"/>
      <c r="B1953" s="52"/>
      <c r="C1953" s="61"/>
      <c r="D1953" s="52"/>
      <c r="E1953" s="52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</row>
    <row r="1954">
      <c r="A1954" s="52"/>
      <c r="B1954" s="52"/>
      <c r="C1954" s="61"/>
      <c r="D1954" s="52"/>
      <c r="E1954" s="52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</row>
    <row r="1955">
      <c r="A1955" s="52"/>
      <c r="B1955" s="52"/>
      <c r="C1955" s="61"/>
      <c r="D1955" s="52"/>
      <c r="E1955" s="52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6"/>
      <c r="AB1955" s="16"/>
    </row>
    <row r="1956">
      <c r="A1956" s="52"/>
      <c r="B1956" s="52"/>
      <c r="C1956" s="61"/>
      <c r="D1956" s="52"/>
      <c r="E1956" s="52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</row>
    <row r="1957">
      <c r="A1957" s="52"/>
      <c r="B1957" s="52"/>
      <c r="C1957" s="61"/>
      <c r="D1957" s="52"/>
      <c r="E1957" s="52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</row>
    <row r="1958">
      <c r="A1958" s="52"/>
      <c r="B1958" s="52"/>
      <c r="C1958" s="61"/>
      <c r="D1958" s="52"/>
      <c r="E1958" s="52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</row>
    <row r="1959">
      <c r="A1959" s="52"/>
      <c r="B1959" s="52"/>
      <c r="C1959" s="61"/>
      <c r="D1959" s="52"/>
      <c r="E1959" s="52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</row>
    <row r="1960">
      <c r="A1960" s="52"/>
      <c r="B1960" s="52"/>
      <c r="C1960" s="61"/>
      <c r="D1960" s="52"/>
      <c r="E1960" s="52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6"/>
      <c r="S1960" s="16"/>
      <c r="T1960" s="16"/>
      <c r="U1960" s="16"/>
      <c r="V1960" s="16"/>
      <c r="W1960" s="16"/>
      <c r="X1960" s="16"/>
      <c r="Y1960" s="16"/>
      <c r="Z1960" s="16"/>
      <c r="AA1960" s="16"/>
      <c r="AB1960" s="16"/>
    </row>
    <row r="1961">
      <c r="A1961" s="52"/>
      <c r="B1961" s="52"/>
      <c r="C1961" s="61"/>
      <c r="D1961" s="52"/>
      <c r="E1961" s="52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</row>
    <row r="1962">
      <c r="A1962" s="52"/>
      <c r="B1962" s="52"/>
      <c r="C1962" s="61"/>
      <c r="D1962" s="52"/>
      <c r="E1962" s="52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</row>
    <row r="1963">
      <c r="A1963" s="52"/>
      <c r="B1963" s="52"/>
      <c r="C1963" s="61"/>
      <c r="D1963" s="52"/>
      <c r="E1963" s="52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  <c r="AB1963" s="16"/>
    </row>
    <row r="1964">
      <c r="A1964" s="52"/>
      <c r="B1964" s="52"/>
      <c r="C1964" s="61"/>
      <c r="D1964" s="52"/>
      <c r="E1964" s="52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</row>
    <row r="1965">
      <c r="A1965" s="52"/>
      <c r="B1965" s="52"/>
      <c r="C1965" s="61"/>
      <c r="D1965" s="52"/>
      <c r="E1965" s="52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</row>
    <row r="1966">
      <c r="A1966" s="52"/>
      <c r="B1966" s="52"/>
      <c r="C1966" s="61"/>
      <c r="D1966" s="52"/>
      <c r="E1966" s="52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</row>
    <row r="1967">
      <c r="A1967" s="52"/>
      <c r="B1967" s="52"/>
      <c r="C1967" s="61"/>
      <c r="D1967" s="52"/>
      <c r="E1967" s="52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</row>
    <row r="1968">
      <c r="A1968" s="52"/>
      <c r="B1968" s="52"/>
      <c r="C1968" s="61"/>
      <c r="D1968" s="52"/>
      <c r="E1968" s="52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6"/>
      <c r="S1968" s="16"/>
      <c r="T1968" s="16"/>
      <c r="U1968" s="16"/>
      <c r="V1968" s="16"/>
      <c r="W1968" s="16"/>
      <c r="X1968" s="16"/>
      <c r="Y1968" s="16"/>
      <c r="Z1968" s="16"/>
      <c r="AA1968" s="16"/>
      <c r="AB1968" s="16"/>
    </row>
    <row r="1969">
      <c r="A1969" s="52"/>
      <c r="B1969" s="52"/>
      <c r="C1969" s="61"/>
      <c r="D1969" s="52"/>
      <c r="E1969" s="52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  <c r="AB1969" s="16"/>
    </row>
    <row r="1970">
      <c r="A1970" s="52"/>
      <c r="B1970" s="52"/>
      <c r="C1970" s="61"/>
      <c r="D1970" s="52"/>
      <c r="E1970" s="52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</row>
    <row r="1971">
      <c r="A1971" s="52"/>
      <c r="B1971" s="52"/>
      <c r="C1971" s="61"/>
      <c r="D1971" s="52"/>
      <c r="E1971" s="52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</row>
    <row r="1972">
      <c r="A1972" s="52"/>
      <c r="B1972" s="52"/>
      <c r="C1972" s="61"/>
      <c r="D1972" s="52"/>
      <c r="E1972" s="52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6"/>
      <c r="AB1972" s="16"/>
    </row>
    <row r="1973">
      <c r="A1973" s="52"/>
      <c r="B1973" s="52"/>
      <c r="C1973" s="61"/>
      <c r="D1973" s="52"/>
      <c r="E1973" s="52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</row>
    <row r="1974">
      <c r="A1974" s="52"/>
      <c r="B1974" s="52"/>
      <c r="C1974" s="61"/>
      <c r="D1974" s="52"/>
      <c r="E1974" s="52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</row>
    <row r="1975">
      <c r="A1975" s="52"/>
      <c r="B1975" s="52"/>
      <c r="C1975" s="61"/>
      <c r="D1975" s="52"/>
      <c r="E1975" s="52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</row>
    <row r="1976">
      <c r="A1976" s="52"/>
      <c r="B1976" s="52"/>
      <c r="C1976" s="61"/>
      <c r="D1976" s="52"/>
      <c r="E1976" s="52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</row>
    <row r="1977">
      <c r="A1977" s="52"/>
      <c r="B1977" s="52"/>
      <c r="C1977" s="61"/>
      <c r="D1977" s="52"/>
      <c r="E1977" s="52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</row>
    <row r="1978">
      <c r="A1978" s="52"/>
      <c r="B1978" s="52"/>
      <c r="C1978" s="61"/>
      <c r="D1978" s="52"/>
      <c r="E1978" s="52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</row>
    <row r="1979">
      <c r="A1979" s="52"/>
      <c r="B1979" s="52"/>
      <c r="C1979" s="61"/>
      <c r="D1979" s="52"/>
      <c r="E1979" s="52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6"/>
      <c r="S1979" s="16"/>
      <c r="T1979" s="16"/>
      <c r="U1979" s="16"/>
      <c r="V1979" s="16"/>
      <c r="W1979" s="16"/>
      <c r="X1979" s="16"/>
      <c r="Y1979" s="16"/>
      <c r="Z1979" s="16"/>
      <c r="AA1979" s="16"/>
      <c r="AB1979" s="16"/>
    </row>
    <row r="1980">
      <c r="A1980" s="52"/>
      <c r="B1980" s="52"/>
      <c r="C1980" s="61"/>
      <c r="D1980" s="52"/>
      <c r="E1980" s="52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6"/>
      <c r="AB1980" s="16"/>
    </row>
    <row r="1981">
      <c r="A1981" s="52"/>
      <c r="B1981" s="52"/>
      <c r="C1981" s="61"/>
      <c r="D1981" s="52"/>
      <c r="E1981" s="52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</row>
    <row r="1982">
      <c r="A1982" s="52"/>
      <c r="B1982" s="52"/>
      <c r="C1982" s="61"/>
      <c r="D1982" s="52"/>
      <c r="E1982" s="52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</row>
    <row r="1983">
      <c r="A1983" s="52"/>
      <c r="B1983" s="52"/>
      <c r="C1983" s="61"/>
      <c r="D1983" s="52"/>
      <c r="E1983" s="52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  <c r="AB1983" s="16"/>
    </row>
    <row r="1984">
      <c r="A1984" s="52"/>
      <c r="B1984" s="52"/>
      <c r="C1984" s="61"/>
      <c r="D1984" s="52"/>
      <c r="E1984" s="52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6"/>
      <c r="S1984" s="16"/>
      <c r="T1984" s="16"/>
      <c r="U1984" s="16"/>
      <c r="V1984" s="16"/>
      <c r="W1984" s="16"/>
      <c r="X1984" s="16"/>
      <c r="Y1984" s="16"/>
      <c r="Z1984" s="16"/>
      <c r="AA1984" s="16"/>
      <c r="AB1984" s="16"/>
    </row>
    <row r="1985">
      <c r="A1985" s="52"/>
      <c r="B1985" s="52"/>
      <c r="C1985" s="61"/>
      <c r="D1985" s="52"/>
      <c r="E1985" s="52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</row>
    <row r="1986">
      <c r="A1986" s="52"/>
      <c r="B1986" s="52"/>
      <c r="C1986" s="61"/>
      <c r="D1986" s="52"/>
      <c r="E1986" s="52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</row>
    <row r="1987">
      <c r="A1987" s="52"/>
      <c r="B1987" s="52"/>
      <c r="C1987" s="61"/>
      <c r="D1987" s="52"/>
      <c r="E1987" s="52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  <c r="AB1987" s="16"/>
    </row>
    <row r="1988">
      <c r="A1988" s="52"/>
      <c r="B1988" s="52"/>
      <c r="C1988" s="61"/>
      <c r="D1988" s="52"/>
      <c r="E1988" s="52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/>
    </row>
    <row r="1989">
      <c r="A1989" s="52"/>
      <c r="B1989" s="52"/>
      <c r="C1989" s="61"/>
      <c r="D1989" s="52"/>
      <c r="E1989" s="52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</row>
    <row r="1990">
      <c r="A1990" s="52"/>
      <c r="B1990" s="52"/>
      <c r="C1990" s="61"/>
      <c r="D1990" s="52"/>
      <c r="E1990" s="52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</row>
    <row r="1991">
      <c r="A1991" s="52"/>
      <c r="B1991" s="52"/>
      <c r="C1991" s="61"/>
      <c r="D1991" s="52"/>
      <c r="E1991" s="52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</row>
    <row r="1992">
      <c r="A1992" s="52"/>
      <c r="B1992" s="52"/>
      <c r="C1992" s="61"/>
      <c r="D1992" s="52"/>
      <c r="E1992" s="52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  <c r="AB1992" s="16"/>
    </row>
    <row r="1993">
      <c r="A1993" s="52"/>
      <c r="B1993" s="52"/>
      <c r="C1993" s="61"/>
      <c r="D1993" s="52"/>
      <c r="E1993" s="52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</row>
    <row r="1994">
      <c r="A1994" s="52"/>
      <c r="B1994" s="52"/>
      <c r="C1994" s="61"/>
      <c r="D1994" s="52"/>
      <c r="E1994" s="52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</row>
    <row r="1995">
      <c r="A1995" s="52"/>
      <c r="B1995" s="52"/>
      <c r="C1995" s="61"/>
      <c r="D1995" s="52"/>
      <c r="E1995" s="52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  <c r="AB1995" s="16"/>
    </row>
    <row r="1996">
      <c r="A1996" s="52"/>
      <c r="B1996" s="52"/>
      <c r="C1996" s="61"/>
      <c r="D1996" s="52"/>
      <c r="E1996" s="52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</row>
    <row r="1997">
      <c r="A1997" s="52"/>
      <c r="B1997" s="52"/>
      <c r="C1997" s="61"/>
      <c r="D1997" s="52"/>
      <c r="E1997" s="52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</row>
    <row r="1998">
      <c r="A1998" s="52"/>
      <c r="B1998" s="52"/>
      <c r="C1998" s="61"/>
      <c r="D1998" s="52"/>
      <c r="E1998" s="52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</row>
    <row r="1999">
      <c r="A1999" s="52"/>
      <c r="B1999" s="52"/>
      <c r="C1999" s="61"/>
      <c r="D1999" s="52"/>
      <c r="E1999" s="52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</row>
    <row r="2000">
      <c r="A2000" s="52"/>
      <c r="B2000" s="52"/>
      <c r="C2000" s="61"/>
      <c r="D2000" s="52"/>
      <c r="E2000" s="52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6"/>
      <c r="S2000" s="16"/>
      <c r="T2000" s="16"/>
      <c r="U2000" s="16"/>
      <c r="V2000" s="16"/>
      <c r="W2000" s="16"/>
      <c r="X2000" s="16"/>
      <c r="Y2000" s="16"/>
      <c r="Z2000" s="16"/>
      <c r="AA2000" s="16"/>
      <c r="AB2000" s="16"/>
    </row>
    <row r="2001">
      <c r="A2001" s="52"/>
      <c r="B2001" s="52"/>
      <c r="C2001" s="61"/>
      <c r="D2001" s="52"/>
      <c r="E2001" s="52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</row>
    <row r="2002">
      <c r="A2002" s="52"/>
      <c r="B2002" s="52"/>
      <c r="C2002" s="61"/>
      <c r="D2002" s="52"/>
      <c r="E2002" s="52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</row>
    <row r="2003">
      <c r="A2003" s="52"/>
      <c r="B2003" s="52"/>
      <c r="C2003" s="61"/>
      <c r="D2003" s="52"/>
      <c r="E2003" s="52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/>
    </row>
    <row r="2004">
      <c r="A2004" s="52"/>
      <c r="B2004" s="52"/>
      <c r="C2004" s="61"/>
      <c r="D2004" s="52"/>
      <c r="E2004" s="52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/>
    </row>
    <row r="2005">
      <c r="A2005" s="52"/>
      <c r="B2005" s="52"/>
      <c r="C2005" s="61"/>
      <c r="D2005" s="52"/>
      <c r="E2005" s="52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</row>
    <row r="2006">
      <c r="A2006" s="52"/>
      <c r="B2006" s="52"/>
      <c r="C2006" s="61"/>
      <c r="D2006" s="52"/>
      <c r="E2006" s="52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</row>
    <row r="2007">
      <c r="A2007" s="52"/>
      <c r="B2007" s="52"/>
      <c r="C2007" s="61"/>
      <c r="D2007" s="52"/>
      <c r="E2007" s="52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6"/>
      <c r="AB2007" s="16"/>
    </row>
    <row r="2008">
      <c r="A2008" s="52"/>
      <c r="B2008" s="52"/>
      <c r="C2008" s="61"/>
      <c r="D2008" s="52"/>
      <c r="E2008" s="52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6"/>
      <c r="S2008" s="16"/>
      <c r="T2008" s="16"/>
      <c r="U2008" s="16"/>
      <c r="V2008" s="16"/>
      <c r="W2008" s="16"/>
      <c r="X2008" s="16"/>
      <c r="Y2008" s="16"/>
      <c r="Z2008" s="16"/>
      <c r="AA2008" s="16"/>
      <c r="AB2008" s="16"/>
    </row>
    <row r="2009">
      <c r="A2009" s="52"/>
      <c r="B2009" s="52"/>
      <c r="C2009" s="61"/>
      <c r="D2009" s="52"/>
      <c r="E2009" s="52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</row>
    <row r="2010">
      <c r="A2010" s="52"/>
      <c r="B2010" s="52"/>
      <c r="C2010" s="61"/>
      <c r="D2010" s="52"/>
      <c r="E2010" s="52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</row>
    <row r="2011">
      <c r="A2011" s="52"/>
      <c r="B2011" s="52"/>
      <c r="C2011" s="61"/>
      <c r="D2011" s="52"/>
      <c r="E2011" s="52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</row>
    <row r="2012">
      <c r="A2012" s="52"/>
      <c r="B2012" s="52"/>
      <c r="C2012" s="61"/>
      <c r="D2012" s="52"/>
      <c r="E2012" s="52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6"/>
      <c r="AB2012" s="16"/>
    </row>
    <row r="2013">
      <c r="A2013" s="52"/>
      <c r="B2013" s="52"/>
      <c r="C2013" s="61"/>
      <c r="D2013" s="52"/>
      <c r="E2013" s="52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</row>
    <row r="2014">
      <c r="A2014" s="52"/>
      <c r="B2014" s="52"/>
      <c r="C2014" s="61"/>
      <c r="D2014" s="52"/>
      <c r="E2014" s="52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</row>
    <row r="2015">
      <c r="A2015" s="52"/>
      <c r="B2015" s="52"/>
      <c r="C2015" s="61"/>
      <c r="D2015" s="52"/>
      <c r="E2015" s="52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</row>
    <row r="2016">
      <c r="A2016" s="52"/>
      <c r="B2016" s="52"/>
      <c r="C2016" s="61"/>
      <c r="D2016" s="52"/>
      <c r="E2016" s="52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</row>
    <row r="2017">
      <c r="A2017" s="52"/>
      <c r="B2017" s="52"/>
      <c r="C2017" s="61"/>
      <c r="D2017" s="52"/>
      <c r="E2017" s="52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/>
    </row>
    <row r="2018">
      <c r="A2018" s="52"/>
      <c r="B2018" s="52"/>
      <c r="C2018" s="61"/>
      <c r="D2018" s="52"/>
      <c r="E2018" s="52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</row>
    <row r="2019">
      <c r="A2019" s="52"/>
      <c r="B2019" s="52"/>
      <c r="C2019" s="61"/>
      <c r="D2019" s="52"/>
      <c r="E2019" s="52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  <c r="AB2019" s="16"/>
    </row>
    <row r="2020">
      <c r="A2020" s="52"/>
      <c r="B2020" s="52"/>
      <c r="C2020" s="61"/>
      <c r="D2020" s="52"/>
      <c r="E2020" s="52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  <c r="AB2020" s="16"/>
    </row>
    <row r="2021">
      <c r="A2021" s="52"/>
      <c r="B2021" s="52"/>
      <c r="C2021" s="61"/>
      <c r="D2021" s="52"/>
      <c r="E2021" s="52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</row>
    <row r="2022">
      <c r="A2022" s="52"/>
      <c r="B2022" s="52"/>
      <c r="C2022" s="61"/>
      <c r="D2022" s="52"/>
      <c r="E2022" s="52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</row>
    <row r="2023">
      <c r="A2023" s="52"/>
      <c r="B2023" s="52"/>
      <c r="C2023" s="61"/>
      <c r="D2023" s="52"/>
      <c r="E2023" s="52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</row>
    <row r="2024">
      <c r="A2024" s="52"/>
      <c r="B2024" s="52"/>
      <c r="C2024" s="61"/>
      <c r="D2024" s="52"/>
      <c r="E2024" s="52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6"/>
      <c r="S2024" s="16"/>
      <c r="T2024" s="16"/>
      <c r="U2024" s="16"/>
      <c r="V2024" s="16"/>
      <c r="W2024" s="16"/>
      <c r="X2024" s="16"/>
      <c r="Y2024" s="16"/>
      <c r="Z2024" s="16"/>
      <c r="AA2024" s="16"/>
      <c r="AB2024" s="16"/>
    </row>
    <row r="2025">
      <c r="A2025" s="52"/>
      <c r="B2025" s="52"/>
      <c r="C2025" s="61"/>
      <c r="D2025" s="52"/>
      <c r="E2025" s="52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6"/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</row>
    <row r="2026">
      <c r="A2026" s="52"/>
      <c r="B2026" s="52"/>
      <c r="C2026" s="61"/>
      <c r="D2026" s="52"/>
      <c r="E2026" s="52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</row>
    <row r="2027">
      <c r="A2027" s="52"/>
      <c r="B2027" s="52"/>
      <c r="C2027" s="61"/>
      <c r="D2027" s="52"/>
      <c r="E2027" s="52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6"/>
      <c r="S2027" s="16"/>
      <c r="T2027" s="16"/>
      <c r="U2027" s="16"/>
      <c r="V2027" s="16"/>
      <c r="W2027" s="16"/>
      <c r="X2027" s="16"/>
      <c r="Y2027" s="16"/>
      <c r="Z2027" s="16"/>
      <c r="AA2027" s="16"/>
      <c r="AB2027" s="16"/>
    </row>
    <row r="2028">
      <c r="A2028" s="52"/>
      <c r="B2028" s="52"/>
      <c r="C2028" s="61"/>
      <c r="D2028" s="52"/>
      <c r="E2028" s="52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  <c r="AB2028" s="16"/>
    </row>
    <row r="2029">
      <c r="A2029" s="52"/>
      <c r="B2029" s="52"/>
      <c r="C2029" s="61"/>
      <c r="D2029" s="52"/>
      <c r="E2029" s="52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</row>
    <row r="2030">
      <c r="A2030" s="52"/>
      <c r="B2030" s="52"/>
      <c r="C2030" s="61"/>
      <c r="D2030" s="52"/>
      <c r="E2030" s="52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</row>
    <row r="2031">
      <c r="A2031" s="52"/>
      <c r="B2031" s="52"/>
      <c r="C2031" s="61"/>
      <c r="D2031" s="52"/>
      <c r="E2031" s="52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</row>
    <row r="2032">
      <c r="A2032" s="52"/>
      <c r="B2032" s="52"/>
      <c r="C2032" s="61"/>
      <c r="D2032" s="52"/>
      <c r="E2032" s="52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  <c r="AB2032" s="16"/>
    </row>
    <row r="2033">
      <c r="A2033" s="52"/>
      <c r="B2033" s="52"/>
      <c r="C2033" s="61"/>
      <c r="D2033" s="52"/>
      <c r="E2033" s="52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</row>
    <row r="2034">
      <c r="A2034" s="52"/>
      <c r="B2034" s="52"/>
      <c r="C2034" s="61"/>
      <c r="D2034" s="52"/>
      <c r="E2034" s="52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</row>
    <row r="2035">
      <c r="A2035" s="52"/>
      <c r="B2035" s="52"/>
      <c r="C2035" s="61"/>
      <c r="D2035" s="52"/>
      <c r="E2035" s="52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6"/>
      <c r="S2035" s="16"/>
      <c r="T2035" s="16"/>
      <c r="U2035" s="16"/>
      <c r="V2035" s="16"/>
      <c r="W2035" s="16"/>
      <c r="X2035" s="16"/>
      <c r="Y2035" s="16"/>
      <c r="Z2035" s="16"/>
      <c r="AA2035" s="16"/>
      <c r="AB2035" s="16"/>
    </row>
    <row r="2036">
      <c r="A2036" s="52"/>
      <c r="B2036" s="52"/>
      <c r="C2036" s="61"/>
      <c r="D2036" s="52"/>
      <c r="E2036" s="52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</row>
    <row r="2037">
      <c r="A2037" s="52"/>
      <c r="B2037" s="52"/>
      <c r="C2037" s="61"/>
      <c r="D2037" s="52"/>
      <c r="E2037" s="52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</row>
    <row r="2038">
      <c r="A2038" s="52"/>
      <c r="B2038" s="52"/>
      <c r="C2038" s="61"/>
      <c r="D2038" s="52"/>
      <c r="E2038" s="52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</row>
    <row r="2039">
      <c r="A2039" s="52"/>
      <c r="B2039" s="52"/>
      <c r="C2039" s="61"/>
      <c r="D2039" s="52"/>
      <c r="E2039" s="52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6"/>
      <c r="S2039" s="16"/>
      <c r="T2039" s="16"/>
      <c r="U2039" s="16"/>
      <c r="V2039" s="16"/>
      <c r="W2039" s="16"/>
      <c r="X2039" s="16"/>
      <c r="Y2039" s="16"/>
      <c r="Z2039" s="16"/>
      <c r="AA2039" s="16"/>
      <c r="AB2039" s="16"/>
    </row>
    <row r="2040">
      <c r="A2040" s="52"/>
      <c r="B2040" s="52"/>
      <c r="C2040" s="61"/>
      <c r="D2040" s="52"/>
      <c r="E2040" s="52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6"/>
      <c r="AB2040" s="16"/>
    </row>
    <row r="2041">
      <c r="A2041" s="52"/>
      <c r="B2041" s="52"/>
      <c r="C2041" s="61"/>
      <c r="D2041" s="52"/>
      <c r="E2041" s="52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</row>
    <row r="2042">
      <c r="A2042" s="52"/>
      <c r="B2042" s="52"/>
      <c r="C2042" s="61"/>
      <c r="D2042" s="52"/>
      <c r="E2042" s="52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</row>
    <row r="2043">
      <c r="A2043" s="52"/>
      <c r="B2043" s="52"/>
      <c r="C2043" s="61"/>
      <c r="D2043" s="52"/>
      <c r="E2043" s="52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6"/>
      <c r="S2043" s="16"/>
      <c r="T2043" s="16"/>
      <c r="U2043" s="16"/>
      <c r="V2043" s="16"/>
      <c r="W2043" s="16"/>
      <c r="X2043" s="16"/>
      <c r="Y2043" s="16"/>
      <c r="Z2043" s="16"/>
      <c r="AA2043" s="16"/>
      <c r="AB2043" s="16"/>
    </row>
    <row r="2044">
      <c r="A2044" s="52"/>
      <c r="B2044" s="52"/>
      <c r="C2044" s="61"/>
      <c r="D2044" s="52"/>
      <c r="E2044" s="52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/>
    </row>
    <row r="2045">
      <c r="A2045" s="52"/>
      <c r="B2045" s="52"/>
      <c r="C2045" s="61"/>
      <c r="D2045" s="52"/>
      <c r="E2045" s="52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</row>
    <row r="2046">
      <c r="A2046" s="52"/>
      <c r="B2046" s="52"/>
      <c r="C2046" s="61"/>
      <c r="D2046" s="52"/>
      <c r="E2046" s="52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</row>
    <row r="2047">
      <c r="A2047" s="52"/>
      <c r="B2047" s="52"/>
      <c r="C2047" s="61"/>
      <c r="D2047" s="52"/>
      <c r="E2047" s="52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6"/>
      <c r="AB2047" s="16"/>
    </row>
    <row r="2048">
      <c r="A2048" s="52"/>
      <c r="B2048" s="52"/>
      <c r="C2048" s="61"/>
      <c r="D2048" s="52"/>
      <c r="E2048" s="52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6"/>
      <c r="S2048" s="16"/>
      <c r="T2048" s="16"/>
      <c r="U2048" s="16"/>
      <c r="V2048" s="16"/>
      <c r="W2048" s="16"/>
      <c r="X2048" s="16"/>
      <c r="Y2048" s="16"/>
      <c r="Z2048" s="16"/>
      <c r="AA2048" s="16"/>
      <c r="AB2048" s="16"/>
    </row>
    <row r="2049">
      <c r="A2049" s="52"/>
      <c r="B2049" s="52"/>
      <c r="C2049" s="61"/>
      <c r="D2049" s="52"/>
      <c r="E2049" s="52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6"/>
      <c r="S2049" s="16"/>
      <c r="T2049" s="16"/>
      <c r="U2049" s="16"/>
      <c r="V2049" s="16"/>
      <c r="W2049" s="16"/>
      <c r="X2049" s="16"/>
      <c r="Y2049" s="16"/>
      <c r="Z2049" s="16"/>
      <c r="AA2049" s="16"/>
      <c r="AB2049" s="16"/>
    </row>
    <row r="2050">
      <c r="A2050" s="52"/>
      <c r="B2050" s="52"/>
      <c r="C2050" s="61"/>
      <c r="D2050" s="52"/>
      <c r="E2050" s="52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</row>
    <row r="2051">
      <c r="A2051" s="52"/>
      <c r="B2051" s="52"/>
      <c r="C2051" s="61"/>
      <c r="D2051" s="52"/>
      <c r="E2051" s="52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</row>
    <row r="2052">
      <c r="A2052" s="52"/>
      <c r="B2052" s="52"/>
      <c r="C2052" s="61"/>
      <c r="D2052" s="52"/>
      <c r="E2052" s="52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</row>
    <row r="2053">
      <c r="A2053" s="52"/>
      <c r="B2053" s="52"/>
      <c r="C2053" s="61"/>
      <c r="D2053" s="52"/>
      <c r="E2053" s="52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</row>
    <row r="2054">
      <c r="A2054" s="52"/>
      <c r="B2054" s="52"/>
      <c r="C2054" s="61"/>
      <c r="D2054" s="52"/>
      <c r="E2054" s="52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</row>
    <row r="2055">
      <c r="A2055" s="52"/>
      <c r="B2055" s="52"/>
      <c r="C2055" s="61"/>
      <c r="D2055" s="52"/>
      <c r="E2055" s="52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</row>
    <row r="2056">
      <c r="A2056" s="52"/>
      <c r="B2056" s="52"/>
      <c r="C2056" s="61"/>
      <c r="D2056" s="52"/>
      <c r="E2056" s="52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</row>
    <row r="2057">
      <c r="A2057" s="52"/>
      <c r="B2057" s="52"/>
      <c r="C2057" s="61"/>
      <c r="D2057" s="52"/>
      <c r="E2057" s="52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</row>
    <row r="2058">
      <c r="A2058" s="52"/>
      <c r="B2058" s="52"/>
      <c r="C2058" s="61"/>
      <c r="D2058" s="52"/>
      <c r="E2058" s="52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</row>
    <row r="2059">
      <c r="A2059" s="52"/>
      <c r="B2059" s="52"/>
      <c r="C2059" s="61"/>
      <c r="D2059" s="52"/>
      <c r="E2059" s="52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6"/>
      <c r="S2059" s="16"/>
      <c r="T2059" s="16"/>
      <c r="U2059" s="16"/>
      <c r="V2059" s="16"/>
      <c r="W2059" s="16"/>
      <c r="X2059" s="16"/>
      <c r="Y2059" s="16"/>
      <c r="Z2059" s="16"/>
      <c r="AA2059" s="16"/>
      <c r="AB2059" s="16"/>
    </row>
  </sheetData>
  <mergeCells count="11">
    <mergeCell ref="E365:F365"/>
    <mergeCell ref="E366:F366"/>
    <mergeCell ref="E367:F367"/>
    <mergeCell ref="E368:F368"/>
    <mergeCell ref="E358:F358"/>
    <mergeCell ref="E359:F359"/>
    <mergeCell ref="E360:F360"/>
    <mergeCell ref="E361:F361"/>
    <mergeCell ref="E362:F362"/>
    <mergeCell ref="E363:F363"/>
    <mergeCell ref="E364:F364"/>
  </mergeCells>
  <drawing r:id="rId1"/>
</worksheet>
</file>