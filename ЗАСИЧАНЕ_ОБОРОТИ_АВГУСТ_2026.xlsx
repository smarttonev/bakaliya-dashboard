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My Drive\AntiG_test\"/>
    </mc:Choice>
  </mc:AlternateContent>
  <xr:revisionPtr revIDLastSave="0" documentId="13_ncr:1_{E996BE4C-C91A-4F8D-82BA-5FC0AC9849D3}" xr6:coauthVersionLast="47" xr6:coauthVersionMax="47" xr10:uidLastSave="{00000000-0000-0000-0000-000000000000}"/>
  <bookViews>
    <workbookView minimized="1" xWindow="2490" yWindow="510" windowWidth="30420" windowHeight="18375" xr2:uid="{00000000-000D-0000-FFFF-FFFF00000000}"/>
  </bookViews>
  <sheets>
    <sheet name="Засечени обороти Август" sheetId="1" r:id="rId1"/>
  </sheets>
  <calcPr calcId="191029"/>
</workbook>
</file>

<file path=xl/calcChain.xml><?xml version="1.0" encoding="utf-8"?>
<calcChain xmlns="http://schemas.openxmlformats.org/spreadsheetml/2006/main">
  <c r="D13" i="1" l="1"/>
  <c r="D12" i="1"/>
  <c r="C58" i="1" l="1"/>
</calcChain>
</file>

<file path=xl/sharedStrings.xml><?xml version="1.0" encoding="utf-8"?>
<sst xmlns="http://schemas.openxmlformats.org/spreadsheetml/2006/main" count="116" uniqueCount="72">
  <si>
    <t>Фирма</t>
  </si>
  <si>
    <t>Подфирма</t>
  </si>
  <si>
    <t>Сума оборот</t>
  </si>
  <si>
    <t>Аксон</t>
  </si>
  <si>
    <t>Амперел</t>
  </si>
  <si>
    <t>К1</t>
  </si>
  <si>
    <t>Храни</t>
  </si>
  <si>
    <t>Амфион</t>
  </si>
  <si>
    <t>Елиаз</t>
  </si>
  <si>
    <t>Аспазия</t>
  </si>
  <si>
    <t>Био България</t>
  </si>
  <si>
    <t>Хармоника</t>
  </si>
  <si>
    <t>Виктория нутс</t>
  </si>
  <si>
    <t>Rois</t>
  </si>
  <si>
    <t>Винен свят</t>
  </si>
  <si>
    <t>Виста</t>
  </si>
  <si>
    <t>Джей Ди</t>
  </si>
  <si>
    <t>Лейс</t>
  </si>
  <si>
    <t>Лотус</t>
  </si>
  <si>
    <t>Тонис</t>
  </si>
  <si>
    <t>Фереро</t>
  </si>
  <si>
    <t>Девин</t>
  </si>
  <si>
    <t>Дестан</t>
  </si>
  <si>
    <t>Експрес</t>
  </si>
  <si>
    <t>Маджаров и др.</t>
  </si>
  <si>
    <t>Елви милк</t>
  </si>
  <si>
    <t>Боженци (дублира Сириус)</t>
  </si>
  <si>
    <t>ЕМГ</t>
  </si>
  <si>
    <t>Тимбарк</t>
  </si>
  <si>
    <t>Ефект</t>
  </si>
  <si>
    <t>Нестле</t>
  </si>
  <si>
    <t>Основен</t>
  </si>
  <si>
    <t>Суит +</t>
  </si>
  <si>
    <t>Загорка</t>
  </si>
  <si>
    <t>Интерфуудс</t>
  </si>
  <si>
    <t>Каменица</t>
  </si>
  <si>
    <t>Карлсберг</t>
  </si>
  <si>
    <t>Карнобат</t>
  </si>
  <si>
    <t>Компас</t>
  </si>
  <si>
    <t>Мес-ко</t>
  </si>
  <si>
    <t>МКМ</t>
  </si>
  <si>
    <t>Краси</t>
  </si>
  <si>
    <t>Мургаш</t>
  </si>
  <si>
    <t>Бианчи</t>
  </si>
  <si>
    <t>Диливия</t>
  </si>
  <si>
    <t>Еко мес</t>
  </si>
  <si>
    <t>Май Дей</t>
  </si>
  <si>
    <t>Медковец</t>
  </si>
  <si>
    <t>Млечни</t>
  </si>
  <si>
    <t>Монарх</t>
  </si>
  <si>
    <t>Олимпус</t>
  </si>
  <si>
    <t>ОМК (Верея)</t>
  </si>
  <si>
    <t>Сами</t>
  </si>
  <si>
    <t>Цима</t>
  </si>
  <si>
    <t>Пауърмарк</t>
  </si>
  <si>
    <t>Пещера</t>
  </si>
  <si>
    <t>Селеста</t>
  </si>
  <si>
    <t>Сириус</t>
  </si>
  <si>
    <t>Боженци</t>
  </si>
  <si>
    <t>Бор чвор</t>
  </si>
  <si>
    <t>КФМ</t>
  </si>
  <si>
    <t>Пчелин</t>
  </si>
  <si>
    <t>Тандем</t>
  </si>
  <si>
    <t>Филикон</t>
  </si>
  <si>
    <t>Фронери</t>
  </si>
  <si>
    <t>Зеленчуци</t>
  </si>
  <si>
    <t>Сладоледи</t>
  </si>
  <si>
    <t>Хами</t>
  </si>
  <si>
    <t>Чибо</t>
  </si>
  <si>
    <t>Яско</t>
  </si>
  <si>
    <t>Фикосота</t>
  </si>
  <si>
    <t>ОБЩО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</si>
</sst>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\€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/>
    <xf numFmtId="164" fontId="3" fillId="3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8"/>
  <sheetViews>
    <sheetView tabSelected="1" workbookViewId="0">
      <selection activeCell="D12" sqref="D12:D13"/>
    </sheetView>
  </sheetViews>
  <sheetFormatPr defaultRowHeight="15" x14ac:dyDescent="0.25"/>
  <cols>
    <col min="1" max="1" width="24" customWidth="1"/>
    <col min="2" max="2" width="28" customWidth="1"/>
    <col min="3" max="3" width="18" customWidth="1"/>
  </cols>
  <sheetData>
    <row r="1" spans="1:4" x14ac:dyDescent="0.25">
      <c r="A1" s="1" t="s">
        <v>0</v>
      </c>
      <c r="B1" s="1" t="s">
        <v>1</v>
      </c>
      <c r="C1" s="2" t="s">
        <v>2</v>
      </c>
    </row>
    <row r="2" spans="1:4" x14ac:dyDescent="0.25">
      <c r="A2" s="3" t="s">
        <v>3</v>
      </c>
      <c r="B2" s="3" t="s">
        <v>3</v>
      </c>
      <c r="C2" s="4">
        <v>4486.96</v>
      </c>
    </row>
    <row r="3" spans="1:4" x14ac:dyDescent="0.25">
      <c r="A3" s="3" t="s">
        <v>4</v>
      </c>
      <c r="B3" s="3" t="s">
        <v>5</v>
      </c>
      <c r="C3" s="4">
        <v>2766.42</v>
      </c>
    </row>
    <row r="4" spans="1:4" x14ac:dyDescent="0.25">
      <c r="A4" s="3" t="s">
        <v>4</v>
      </c>
      <c r="B4" s="3" t="s">
        <v>6</v>
      </c>
      <c r="C4" s="4">
        <v>53887.519999999997</v>
      </c>
    </row>
    <row r="5" spans="1:4" x14ac:dyDescent="0.25">
      <c r="A5" s="3" t="s">
        <v>7</v>
      </c>
      <c r="B5" s="3" t="s">
        <v>8</v>
      </c>
      <c r="C5" s="4">
        <v>5675.77</v>
      </c>
    </row>
    <row r="6" spans="1:4" x14ac:dyDescent="0.25">
      <c r="A6" s="3" t="s">
        <v>9</v>
      </c>
      <c r="B6" s="3" t="s">
        <v>9</v>
      </c>
      <c r="C6" s="4">
        <v>708.99</v>
      </c>
    </row>
    <row r="7" spans="1:4" x14ac:dyDescent="0.25">
      <c r="A7" s="3" t="s">
        <v>10</v>
      </c>
      <c r="B7" s="3" t="s">
        <v>11</v>
      </c>
      <c r="C7" s="4">
        <v>2310.27</v>
      </c>
    </row>
    <row r="8" spans="1:4" x14ac:dyDescent="0.25">
      <c r="A8" s="3" t="s">
        <v>12</v>
      </c>
      <c r="B8" s="3" t="s">
        <v>13</v>
      </c>
      <c r="C8" s="4">
        <v>4355.57</v>
      </c>
    </row>
    <row r="9" spans="1:4" x14ac:dyDescent="0.25">
      <c r="A9" s="3" t="s">
        <v>14</v>
      </c>
      <c r="B9" s="3" t="s">
        <v>14</v>
      </c>
      <c r="C9" s="4">
        <v>459.37</v>
      </c>
    </row>
    <row r="10" spans="1:4" x14ac:dyDescent="0.25">
      <c r="A10" s="3" t="s">
        <v>15</v>
      </c>
      <c r="B10" s="3" t="s">
        <v>16</v>
      </c>
      <c r="C10" s="4">
        <v>2146.4639999999999</v>
      </c>
    </row>
    <row r="11" spans="1:4" x14ac:dyDescent="0.25">
      <c r="A11" s="3" t="s">
        <v>15</v>
      </c>
      <c r="B11" s="3" t="s">
        <v>17</v>
      </c>
      <c r="C11" s="4">
        <v>2988.576</v>
      </c>
    </row>
    <row r="12" spans="1:4" x14ac:dyDescent="0.25">
      <c r="A12" s="3" t="s">
        <v>15</v>
      </c>
      <c r="B12" s="3" t="s">
        <v>18</v>
      </c>
      <c r="C12" s="4">
        <v>438.12</v>
      </c>
      <c r="D12">
        <f>C12*5%</f>
        <v>21.906000000000002</v>
      </c>
    </row>
    <row r="13" spans="1:4" x14ac:dyDescent="0.25">
      <c r="A13" s="3" t="s">
        <v>15</v>
      </c>
      <c r="B13" s="3" t="s">
        <v>19</v>
      </c>
      <c r="C13" s="4">
        <v>253.70400000000001</v>
      </c>
      <c r="D13">
        <f>C13*5%</f>
        <v>12.685200000000002</v>
      </c>
    </row>
    <row r="14" spans="1:4" x14ac:dyDescent="0.25">
      <c r="A14" s="3" t="s">
        <v>15</v>
      </c>
      <c r="B14" s="3" t="s">
        <v>20</v>
      </c>
      <c r="C14" s="4">
        <v>3208.02</v>
      </c>
    </row>
    <row r="15" spans="1:4" x14ac:dyDescent="0.25">
      <c r="A15" s="3" t="s">
        <v>21</v>
      </c>
      <c r="B15" s="3" t="s">
        <v>21</v>
      </c>
      <c r="C15" s="4">
        <v>15032.64</v>
      </c>
    </row>
    <row r="16" spans="1:4" x14ac:dyDescent="0.25">
      <c r="A16" s="3" t="s">
        <v>22</v>
      </c>
      <c r="B16" s="3" t="s">
        <v>22</v>
      </c>
      <c r="C16" s="4">
        <v>3846.58</v>
      </c>
    </row>
    <row r="17" spans="1:3" x14ac:dyDescent="0.25">
      <c r="A17" s="3" t="s">
        <v>23</v>
      </c>
      <c r="B17" s="3" t="s">
        <v>24</v>
      </c>
      <c r="C17" s="4">
        <v>16069.36</v>
      </c>
    </row>
    <row r="18" spans="1:3" x14ac:dyDescent="0.25">
      <c r="A18" s="3" t="s">
        <v>25</v>
      </c>
      <c r="B18" s="3" t="s">
        <v>26</v>
      </c>
      <c r="C18" s="4">
        <v>0</v>
      </c>
    </row>
    <row r="19" spans="1:3" x14ac:dyDescent="0.25">
      <c r="A19" s="3" t="s">
        <v>27</v>
      </c>
      <c r="B19" s="3" t="s">
        <v>28</v>
      </c>
      <c r="C19" s="4">
        <v>5597.81</v>
      </c>
    </row>
    <row r="20" spans="1:3" x14ac:dyDescent="0.25">
      <c r="A20" s="3" t="s">
        <v>29</v>
      </c>
      <c r="B20" s="3" t="s">
        <v>30</v>
      </c>
      <c r="C20" s="4">
        <v>0</v>
      </c>
    </row>
    <row r="21" spans="1:3" x14ac:dyDescent="0.25">
      <c r="A21" s="3" t="s">
        <v>29</v>
      </c>
      <c r="B21" s="3" t="s">
        <v>31</v>
      </c>
      <c r="C21" s="4">
        <v>10770.54</v>
      </c>
    </row>
    <row r="22" spans="1:3" x14ac:dyDescent="0.25">
      <c r="A22" s="3" t="s">
        <v>29</v>
      </c>
      <c r="B22" s="3" t="s">
        <v>32</v>
      </c>
      <c r="C22" s="4">
        <v>1089.3800000000001</v>
      </c>
    </row>
    <row r="23" spans="1:3" x14ac:dyDescent="0.25">
      <c r="A23" s="3" t="s">
        <v>33</v>
      </c>
      <c r="B23" s="3" t="s">
        <v>33</v>
      </c>
      <c r="C23" s="4">
        <v>14074.95</v>
      </c>
    </row>
    <row r="24" spans="1:3" x14ac:dyDescent="0.25">
      <c r="A24" s="3" t="s">
        <v>34</v>
      </c>
      <c r="B24" s="3" t="s">
        <v>34</v>
      </c>
      <c r="C24" s="4">
        <v>3633.77</v>
      </c>
    </row>
    <row r="25" spans="1:3" x14ac:dyDescent="0.25">
      <c r="A25" s="3" t="s">
        <v>35</v>
      </c>
      <c r="B25" s="3" t="s">
        <v>35</v>
      </c>
      <c r="C25" s="4">
        <v>16935.580000000002</v>
      </c>
    </row>
    <row r="26" spans="1:3" x14ac:dyDescent="0.25">
      <c r="A26" s="3" t="s">
        <v>36</v>
      </c>
      <c r="B26" s="3" t="s">
        <v>36</v>
      </c>
      <c r="C26" s="4">
        <v>16406.810000000001</v>
      </c>
    </row>
    <row r="27" spans="1:3" x14ac:dyDescent="0.25">
      <c r="A27" s="3" t="s">
        <v>37</v>
      </c>
      <c r="B27" s="3" t="s">
        <v>37</v>
      </c>
      <c r="C27" s="4">
        <v>9292.1</v>
      </c>
    </row>
    <row r="28" spans="1:3" x14ac:dyDescent="0.25">
      <c r="A28" s="3" t="s">
        <v>38</v>
      </c>
      <c r="B28" s="3" t="s">
        <v>38</v>
      </c>
      <c r="C28" s="4">
        <v>1996.63</v>
      </c>
    </row>
    <row r="29" spans="1:3" x14ac:dyDescent="0.25">
      <c r="A29" s="3" t="s">
        <v>39</v>
      </c>
      <c r="B29" s="3" t="s">
        <v>39</v>
      </c>
      <c r="C29" s="4">
        <v>2746.81</v>
      </c>
    </row>
    <row r="30" spans="1:3" x14ac:dyDescent="0.25">
      <c r="A30" s="3" t="s">
        <v>40</v>
      </c>
      <c r="B30" s="3" t="s">
        <v>41</v>
      </c>
      <c r="C30" s="4">
        <v>1910.2</v>
      </c>
    </row>
    <row r="31" spans="1:3" x14ac:dyDescent="0.25">
      <c r="A31" s="3" t="s">
        <v>42</v>
      </c>
      <c r="B31" s="3" t="s">
        <v>43</v>
      </c>
      <c r="C31" s="4">
        <v>733.81</v>
      </c>
    </row>
    <row r="32" spans="1:3" x14ac:dyDescent="0.25">
      <c r="A32" s="3" t="s">
        <v>42</v>
      </c>
      <c r="B32" s="3" t="s">
        <v>44</v>
      </c>
      <c r="C32" s="4">
        <v>1716.43</v>
      </c>
    </row>
    <row r="33" spans="1:3" x14ac:dyDescent="0.25">
      <c r="A33" s="3" t="s">
        <v>42</v>
      </c>
      <c r="B33" s="3" t="s">
        <v>45</v>
      </c>
      <c r="C33" s="4">
        <v>3087.58</v>
      </c>
    </row>
    <row r="34" spans="1:3" x14ac:dyDescent="0.25">
      <c r="A34" s="3" t="s">
        <v>42</v>
      </c>
      <c r="B34" s="3" t="s">
        <v>46</v>
      </c>
      <c r="C34" s="4">
        <v>642.52</v>
      </c>
    </row>
    <row r="35" spans="1:3" x14ac:dyDescent="0.25">
      <c r="A35" s="3" t="s">
        <v>42</v>
      </c>
      <c r="B35" s="3" t="s">
        <v>47</v>
      </c>
      <c r="C35" s="4">
        <v>1130.52</v>
      </c>
    </row>
    <row r="36" spans="1:3" x14ac:dyDescent="0.25">
      <c r="A36" s="3" t="s">
        <v>42</v>
      </c>
      <c r="B36" s="3" t="s">
        <v>48</v>
      </c>
      <c r="C36" s="4">
        <v>3237.9</v>
      </c>
    </row>
    <row r="37" spans="1:3" x14ac:dyDescent="0.25">
      <c r="A37" s="3" t="s">
        <v>42</v>
      </c>
      <c r="B37" s="3" t="s">
        <v>49</v>
      </c>
      <c r="C37" s="4">
        <v>698.84</v>
      </c>
    </row>
    <row r="38" spans="1:3" x14ac:dyDescent="0.25">
      <c r="A38" s="3" t="s">
        <v>42</v>
      </c>
      <c r="B38" s="3" t="s">
        <v>50</v>
      </c>
      <c r="C38" s="4">
        <v>8387.27</v>
      </c>
    </row>
    <row r="39" spans="1:3" x14ac:dyDescent="0.25">
      <c r="A39" s="3" t="s">
        <v>42</v>
      </c>
      <c r="B39" s="3" t="s">
        <v>51</v>
      </c>
      <c r="C39" s="4">
        <v>14259.89</v>
      </c>
    </row>
    <row r="40" spans="1:3" x14ac:dyDescent="0.25">
      <c r="A40" s="3" t="s">
        <v>42</v>
      </c>
      <c r="B40" s="3" t="s">
        <v>52</v>
      </c>
      <c r="C40" s="4">
        <v>797.96</v>
      </c>
    </row>
    <row r="41" spans="1:3" x14ac:dyDescent="0.25">
      <c r="A41" s="3" t="s">
        <v>42</v>
      </c>
      <c r="B41" s="3" t="s">
        <v>53</v>
      </c>
      <c r="C41" s="4">
        <v>307.43</v>
      </c>
    </row>
    <row r="42" spans="1:3" x14ac:dyDescent="0.25">
      <c r="A42" s="3" t="s">
        <v>30</v>
      </c>
      <c r="B42" s="3" t="s">
        <v>30</v>
      </c>
      <c r="C42" s="4">
        <v>17522.330000000002</v>
      </c>
    </row>
    <row r="43" spans="1:3" x14ac:dyDescent="0.25">
      <c r="A43" s="3" t="s">
        <v>54</v>
      </c>
      <c r="B43" s="3" t="s">
        <v>54</v>
      </c>
      <c r="C43" s="4">
        <v>4165.45</v>
      </c>
    </row>
    <row r="44" spans="1:3" x14ac:dyDescent="0.25">
      <c r="A44" s="3" t="s">
        <v>55</v>
      </c>
      <c r="B44" s="3" t="s">
        <v>55</v>
      </c>
      <c r="C44" s="4">
        <v>10827.33</v>
      </c>
    </row>
    <row r="45" spans="1:3" x14ac:dyDescent="0.25">
      <c r="A45" s="3" t="s">
        <v>56</v>
      </c>
      <c r="B45" s="3" t="s">
        <v>56</v>
      </c>
      <c r="C45" s="4">
        <v>2013.53</v>
      </c>
    </row>
    <row r="46" spans="1:3" x14ac:dyDescent="0.25">
      <c r="A46" s="3" t="s">
        <v>57</v>
      </c>
      <c r="B46" s="3" t="s">
        <v>58</v>
      </c>
      <c r="C46" s="4">
        <v>5234.2299999999996</v>
      </c>
    </row>
    <row r="47" spans="1:3" x14ac:dyDescent="0.25">
      <c r="A47" s="3" t="s">
        <v>57</v>
      </c>
      <c r="B47" s="3" t="s">
        <v>59</v>
      </c>
      <c r="C47" s="4">
        <v>58.41</v>
      </c>
    </row>
    <row r="48" spans="1:3" x14ac:dyDescent="0.25">
      <c r="A48" s="3" t="s">
        <v>57</v>
      </c>
      <c r="B48" s="3" t="s">
        <v>60</v>
      </c>
      <c r="C48" s="4">
        <v>1810.08</v>
      </c>
    </row>
    <row r="49" spans="1:3" x14ac:dyDescent="0.25">
      <c r="A49" s="3" t="s">
        <v>57</v>
      </c>
      <c r="B49" s="3" t="s">
        <v>61</v>
      </c>
      <c r="C49" s="4">
        <v>62.8</v>
      </c>
    </row>
    <row r="50" spans="1:3" x14ac:dyDescent="0.25">
      <c r="A50" s="3" t="s">
        <v>62</v>
      </c>
      <c r="B50" s="3" t="s">
        <v>62</v>
      </c>
      <c r="C50" s="4">
        <v>5125.33</v>
      </c>
    </row>
    <row r="51" spans="1:3" x14ac:dyDescent="0.25">
      <c r="A51" s="3" t="s">
        <v>28</v>
      </c>
      <c r="B51" s="3" t="s">
        <v>28</v>
      </c>
      <c r="C51" s="4">
        <v>5597.81</v>
      </c>
    </row>
    <row r="52" spans="1:3" x14ac:dyDescent="0.25">
      <c r="A52" s="3" t="s">
        <v>63</v>
      </c>
      <c r="B52" s="3" t="s">
        <v>63</v>
      </c>
      <c r="C52" s="4">
        <v>2805.05</v>
      </c>
    </row>
    <row r="53" spans="1:3" x14ac:dyDescent="0.25">
      <c r="A53" s="3" t="s">
        <v>64</v>
      </c>
      <c r="B53" s="3" t="s">
        <v>65</v>
      </c>
      <c r="C53" s="4">
        <v>1709.87</v>
      </c>
    </row>
    <row r="54" spans="1:3" x14ac:dyDescent="0.25">
      <c r="A54" s="3" t="s">
        <v>64</v>
      </c>
      <c r="B54" s="3" t="s">
        <v>66</v>
      </c>
      <c r="C54" s="4">
        <v>24196.61</v>
      </c>
    </row>
    <row r="55" spans="1:3" x14ac:dyDescent="0.25">
      <c r="A55" s="3" t="s">
        <v>67</v>
      </c>
      <c r="B55" s="3" t="s">
        <v>67</v>
      </c>
      <c r="C55" s="4">
        <v>1554.19</v>
      </c>
    </row>
    <row r="56" spans="1:3" x14ac:dyDescent="0.25">
      <c r="A56" s="3" t="s">
        <v>68</v>
      </c>
      <c r="B56" s="3" t="s">
        <v>68</v>
      </c>
      <c r="C56" s="4">
        <v>3222.14</v>
      </c>
    </row>
    <row r="57" spans="1:3" x14ac:dyDescent="0.25">
      <c r="A57" s="3" t="s">
        <v>69</v>
      </c>
      <c r="B57" s="3" t="s">
        <v>70</v>
      </c>
      <c r="C57" s="4">
        <v>-291.99</v>
      </c>
    </row>
    <row r="58" spans="1:3" x14ac:dyDescent="0.25">
      <c r="A58" s="5" t="s">
        <v>71</v>
      </c>
      <c r="B58" s="6"/>
      <c r="C58" s="7">
        <f>SUM(C2:C57)</f>
        <v>323702.23399999994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Засечени обороти Август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Димитър Tонев</cp:lastModifiedBy>
  <dcterms:created xsi:type="dcterms:W3CDTF">2026-09-07T11:07:47Z</dcterms:created>
  <dcterms:modified xsi:type="dcterms:W3CDTF">2026-09-09T07:10:42Z</dcterms:modified>
</cp:coreProperties>
</file>