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ланка_Предложения" sheetId="1" state="visible" r:id="rId1"/>
    <sheet name="График_2027" sheetId="2" state="visible" r:id="rId2"/>
    <sheet name="Указания_за_доставчиц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1E293B"/>
      <sz val="11"/>
    </font>
    <font>
      <name val="Calibri"/>
      <b val="1"/>
      <color rgb="000F172A"/>
      <sz val="10"/>
    </font>
    <font>
      <name val="Calibri"/>
      <b val="1"/>
      <color rgb="001B365D"/>
      <sz val="11"/>
    </font>
    <font>
      <name val="Calibri"/>
      <color rgb="000F172A"/>
      <sz val="10"/>
    </font>
    <font>
      <name val="Calibri"/>
      <b val="1"/>
      <color rgb="0092400E"/>
      <sz val="9"/>
    </font>
    <font>
      <name val="Calibri"/>
      <b val="1"/>
      <color rgb="00FFFFFF"/>
      <sz val="10"/>
    </font>
    <font>
      <name val="Calibri"/>
      <i val="1"/>
      <color rgb="0064748B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BEAFE"/>
        <bgColor rgb="00DBEAFE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475569"/>
      </left>
      <right style="thin">
        <color rgb="00475569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49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8" fillId="2" borderId="3" applyAlignment="1" pivotButton="0" quotePrefix="0" xfId="0">
      <alignment horizontal="right" vertical="center" indent="1"/>
    </xf>
    <xf numFmtId="0" fontId="0" fillId="2" borderId="0" pivotButton="0" quotePrefix="0" xfId="0"/>
    <xf numFmtId="164" fontId="8" fillId="2" borderId="3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12" customWidth="1" min="4" max="4"/>
    <col width="15" customWidth="1" min="5" max="5"/>
    <col width="15" customWidth="1" min="6" max="6"/>
    <col width="14" customWidth="1" min="7" max="7"/>
    <col width="16" customWidth="1" min="8" max="8"/>
    <col width="28" customWidth="1" min="9" max="9"/>
  </cols>
  <sheetData>
    <row r="1" ht="28" customHeight="1">
      <c r="A1" s="1" t="inlineStr">
        <is>
          <t>ВЕРИГА СУПЕРМАРКЕТИ „БАКАЛИЯ“ — ОФЕРТА ЗА ПРОМОЦИОНАЛНА БРОШУРА</t>
        </is>
      </c>
    </row>
    <row r="2" ht="18" customHeight="1">
      <c r="A2" s="2" t="inlineStr">
        <is>
          <t>Бланка за офериране на промоционални артикули (Кампания 2027 г.)</t>
        </is>
      </c>
    </row>
    <row r="3" ht="6" customHeight="1"/>
    <row r="4" ht="22" customHeight="1">
      <c r="A4" s="3" t="inlineStr">
        <is>
          <t>📅 1. ПАРАМЕТРИ НА БРОШУРАТА</t>
        </is>
      </c>
      <c r="E4" s="3" t="inlineStr">
        <is>
          <t>🏢 2. ДАННИ ЗА ДОСТАВЧИКА</t>
        </is>
      </c>
    </row>
    <row r="5" ht="20" customHeight="1">
      <c r="A5" s="4" t="inlineStr">
        <is>
          <t>Целева Брошура №:</t>
        </is>
      </c>
      <c r="B5" s="5" t="inlineStr">
        <is>
          <t>Брошура № 01</t>
        </is>
      </c>
      <c r="E5" s="4" t="inlineStr">
        <is>
          <t>Фирма / Контрагент:</t>
        </is>
      </c>
      <c r="G5" s="6" t="inlineStr">
        <is>
          <t>Име на фирмата</t>
        </is>
      </c>
    </row>
    <row r="6" ht="20" customHeight="1">
      <c r="A6" s="4" t="inlineStr">
        <is>
          <t>Период в магазините:</t>
        </is>
      </c>
      <c r="B6" s="7">
        <f>VLOOKUP(B5, График_2027!$A$3:$F$27, 4, FALSE)</f>
        <v/>
      </c>
      <c r="E6" s="4" t="inlineStr">
        <is>
          <t>Бранд / Направление:</t>
        </is>
      </c>
      <c r="G6" s="6" t="inlineStr">
        <is>
          <t>Марка / Производител</t>
        </is>
      </c>
    </row>
    <row r="7" ht="20" customHeight="1">
      <c r="A7" s="4" t="inlineStr">
        <is>
          <t>Промо доставна цена важи от:</t>
        </is>
      </c>
      <c r="B7" s="7">
        <f>VLOOKUP(B5, График_2027!$A$3:$F$27, 6, FALSE)</f>
        <v/>
      </c>
      <c r="E7" s="4" t="inlineStr">
        <is>
          <t>Лице за контакт:</t>
        </is>
      </c>
      <c r="G7" s="6" t="inlineStr">
        <is>
          <t>Име и Фамилия</t>
        </is>
      </c>
    </row>
    <row r="8" ht="20" customHeight="1">
      <c r="A8" s="4" t="inlineStr">
        <is>
          <t>Краен срок за оферти:</t>
        </is>
      </c>
      <c r="B8" s="7">
        <f>VLOOKUP(B5, График_2027!$A$3:$F$27, 7, FALSE) &amp; " (до 17:00 ч.)"</f>
        <v/>
      </c>
      <c r="E8" s="4" t="inlineStr">
        <is>
          <t>Телефон и Имейл:</t>
        </is>
      </c>
      <c r="G8" s="6" t="inlineStr">
        <is>
          <t>тел. / имейл</t>
        </is>
      </c>
    </row>
    <row r="9" ht="6" customHeight="1"/>
    <row r="10" ht="20" customHeight="1">
      <c r="A10" s="8" t="inlineStr">
        <is>
          <t>⚠️ ВАЖНО: 1) Всички цени в бланката (доставни и продажни) се попълват С ВКЛЮЧЕН ДДС! 2) Промоционалната доставна цена (ЗКП) задължително важи 7 дни преди старта на брошурата! 3) Попълвайте само жълтите полета.</t>
        </is>
      </c>
    </row>
    <row r="11" ht="6" customHeight="1"/>
    <row r="12" ht="32" customHeight="1">
      <c r="A12" s="9" t="inlineStr">
        <is>
          <t>№</t>
        </is>
      </c>
      <c r="B12" s="9" t="inlineStr">
        <is>
          <t>Баркод
(по желание)</t>
        </is>
      </c>
      <c r="C12" s="9" t="inlineStr">
        <is>
          <t>Наименование на артикула
(по доставчик)</t>
        </is>
      </c>
      <c r="D12" s="9" t="inlineStr">
        <is>
          <t>Разфасовка
/ М.Ед.</t>
        </is>
      </c>
      <c r="E12" s="9" t="inlineStr">
        <is>
          <t>Редовна ДЦ
с ДДС (€)</t>
        </is>
      </c>
      <c r="F12" s="9" t="inlineStr">
        <is>
          <t>ПРОМО ДЦ
с ДДС (€)</t>
        </is>
      </c>
      <c r="G12" s="9" t="inlineStr">
        <is>
          <t>Търговска
отстъпка ТО %</t>
        </is>
      </c>
      <c r="H12" s="9" t="inlineStr">
        <is>
          <t>Препоръчителна
Промо ПЦ с ДДС (€)</t>
        </is>
      </c>
      <c r="I12" s="9" t="inlineStr">
        <is>
          <t>Бележка / Специфика
(видове, акция, подарък)</t>
        </is>
      </c>
    </row>
    <row r="13" ht="20" customHeight="1">
      <c r="A13" s="7" t="n">
        <v>1</v>
      </c>
      <c r="B13" s="10" t="inlineStr">
        <is>
          <t>380000000001</t>
        </is>
      </c>
      <c r="C13" s="11" t="inlineStr">
        <is>
          <t>Мляно месо 100% свинско</t>
        </is>
      </c>
      <c r="D13" s="12" t="inlineStr">
        <is>
          <t>кг.</t>
        </is>
      </c>
      <c r="E13" s="13" t="n">
        <v>3.68</v>
      </c>
      <c r="F13" s="14" t="n">
        <v>3.24</v>
      </c>
      <c r="G13" s="15">
        <f>IF(AND(ISNUMBER(E13),ISNUMBER(F13),E13&gt;0),(E13-F13)/E13,"")</f>
        <v/>
      </c>
      <c r="H13" s="13" t="n">
        <v>3.99</v>
      </c>
      <c r="I13" s="16" t="inlineStr">
        <is>
          <t>Корица / ТОП цена</t>
        </is>
      </c>
    </row>
    <row r="14" ht="20" customHeight="1">
      <c r="A14" s="7" t="n">
        <v>2</v>
      </c>
      <c r="B14" s="10" t="inlineStr">
        <is>
          <t>380000000002</t>
        </is>
      </c>
      <c r="C14" s="11" t="inlineStr">
        <is>
          <t>Деликатес Житница хамбургски колбас</t>
        </is>
      </c>
      <c r="D14" s="12" t="inlineStr">
        <is>
          <t>кг.</t>
        </is>
      </c>
      <c r="E14" s="13" t="n">
        <v>5.39</v>
      </c>
      <c r="F14" s="14" t="n">
        <v>5.12</v>
      </c>
      <c r="G14" s="15">
        <f>IF(AND(ISNUMBER(E14),ISNUMBER(F14),E14&gt;0),(E14-F14)/E14,"")</f>
        <v/>
      </c>
      <c r="H14" s="13" t="n">
        <v>5.99</v>
      </c>
      <c r="I14" s="16" t="inlineStr">
        <is>
          <t>Гастро тарелка</t>
        </is>
      </c>
    </row>
    <row r="15" ht="20" customHeight="1">
      <c r="A15" s="7" t="n">
        <v>3</v>
      </c>
      <c r="B15" s="10" t="inlineStr">
        <is>
          <t>380000000003</t>
        </is>
      </c>
      <c r="C15" s="11" t="inlineStr">
        <is>
          <t>Барила макарони избрани видове</t>
        </is>
      </c>
      <c r="D15" s="12" t="inlineStr">
        <is>
          <t>500гр.</t>
        </is>
      </c>
      <c r="E15" s="13" t="n">
        <v>2.64</v>
      </c>
      <c r="F15" s="14" t="n">
        <v>2.22</v>
      </c>
      <c r="G15" s="15">
        <f>IF(AND(ISNUMBER(E15),ISNUMBER(F15),E15&gt;0),(E15-F15)/E15,"")</f>
        <v/>
      </c>
      <c r="H15" s="13" t="n">
        <v>2.69</v>
      </c>
      <c r="I15" s="16" t="inlineStr">
        <is>
          <t>Спагети №5, Пенне, Фусили</t>
        </is>
      </c>
    </row>
    <row r="16" ht="20" customHeight="1">
      <c r="A16" s="7" t="n">
        <v>4</v>
      </c>
      <c r="B16" s="10" t="inlineStr">
        <is>
          <t>380000000004</t>
        </is>
      </c>
      <c r="C16" s="11" t="inlineStr">
        <is>
          <t>Здравец кисело мляко 2%</t>
        </is>
      </c>
      <c r="D16" s="12" t="inlineStr">
        <is>
          <t>500гр.</t>
        </is>
      </c>
      <c r="E16" s="13" t="n">
        <v>0.86</v>
      </c>
      <c r="F16" s="14" t="n">
        <v>0.73</v>
      </c>
      <c r="G16" s="15">
        <f>IF(AND(ISNUMBER(E16),ISNUMBER(F16),E16&gt;0),(E16-F16)/E16,"")</f>
        <v/>
      </c>
      <c r="H16" s="13" t="n">
        <v>0.89</v>
      </c>
      <c r="I16" s="16" t="inlineStr">
        <is>
          <t>БДС стандарт</t>
        </is>
      </c>
    </row>
    <row r="17" ht="20" customHeight="1">
      <c r="A17" s="7" t="n">
        <v>5</v>
      </c>
      <c r="B17" s="10" t="inlineStr">
        <is>
          <t>380000000005</t>
        </is>
      </c>
      <c r="C17" s="11" t="inlineStr">
        <is>
          <t>Airwick фреш матик пълнител</t>
        </is>
      </c>
      <c r="D17" s="12" t="inlineStr">
        <is>
          <t>250мл.</t>
        </is>
      </c>
      <c r="E17" s="13" t="n">
        <v>6.43</v>
      </c>
      <c r="F17" s="14" t="n">
        <v>5.29</v>
      </c>
      <c r="G17" s="15">
        <f>IF(AND(ISNUMBER(E17),ISNUMBER(F17),E17&gt;0),(E17-F17)/E17,"")</f>
        <v/>
      </c>
      <c r="H17" s="13" t="n">
        <v>5.99</v>
      </c>
      <c r="I17" s="16" t="inlineStr">
        <is>
          <t>Асортимент аромати</t>
        </is>
      </c>
    </row>
    <row r="18" ht="20" customHeight="1">
      <c r="A18" s="7" t="n">
        <v>6</v>
      </c>
      <c r="B18" s="10" t="n"/>
      <c r="C18" s="17" t="n"/>
      <c r="D18" s="12" t="n"/>
      <c r="E18" s="13" t="n"/>
      <c r="F18" s="14" t="n"/>
      <c r="G18" s="15">
        <f>IF(AND(ISNUMBER(E18),ISNUMBER(F18),E18&gt;0),(E18-F18)/E18,"")</f>
        <v/>
      </c>
      <c r="H18" s="13" t="n"/>
      <c r="I18" s="16" t="n"/>
    </row>
    <row r="19" ht="20" customHeight="1">
      <c r="A19" s="7" t="n">
        <v>7</v>
      </c>
      <c r="B19" s="10" t="n"/>
      <c r="C19" s="17" t="n"/>
      <c r="D19" s="12" t="n"/>
      <c r="E19" s="13" t="n"/>
      <c r="F19" s="14" t="n"/>
      <c r="G19" s="15">
        <f>IF(AND(ISNUMBER(E19),ISNUMBER(F19),E19&gt;0),(E19-F19)/E19,"")</f>
        <v/>
      </c>
      <c r="H19" s="13" t="n"/>
      <c r="I19" s="16" t="n"/>
    </row>
    <row r="20" ht="20" customHeight="1">
      <c r="A20" s="7" t="n">
        <v>8</v>
      </c>
      <c r="B20" s="10" t="n"/>
      <c r="C20" s="17" t="n"/>
      <c r="D20" s="12" t="n"/>
      <c r="E20" s="13" t="n"/>
      <c r="F20" s="14" t="n"/>
      <c r="G20" s="15">
        <f>IF(AND(ISNUMBER(E20),ISNUMBER(F20),E20&gt;0),(E20-F20)/E20,"")</f>
        <v/>
      </c>
      <c r="H20" s="13" t="n"/>
      <c r="I20" s="16" t="n"/>
    </row>
    <row r="21" ht="20" customHeight="1">
      <c r="A21" s="7" t="n">
        <v>9</v>
      </c>
      <c r="B21" s="10" t="n"/>
      <c r="C21" s="17" t="n"/>
      <c r="D21" s="12" t="n"/>
      <c r="E21" s="13" t="n"/>
      <c r="F21" s="14" t="n"/>
      <c r="G21" s="15">
        <f>IF(AND(ISNUMBER(E21),ISNUMBER(F21),E21&gt;0),(E21-F21)/E21,"")</f>
        <v/>
      </c>
      <c r="H21" s="13" t="n"/>
      <c r="I21" s="16" t="n"/>
    </row>
    <row r="22" ht="20" customHeight="1">
      <c r="A22" s="7" t="n">
        <v>10</v>
      </c>
      <c r="B22" s="10" t="n"/>
      <c r="C22" s="17" t="n"/>
      <c r="D22" s="12" t="n"/>
      <c r="E22" s="13" t="n"/>
      <c r="F22" s="14" t="n"/>
      <c r="G22" s="15">
        <f>IF(AND(ISNUMBER(E22),ISNUMBER(F22),E22&gt;0),(E22-F22)/E22,"")</f>
        <v/>
      </c>
      <c r="H22" s="13" t="n"/>
      <c r="I22" s="16" t="n"/>
    </row>
    <row r="23" ht="20" customHeight="1">
      <c r="A23" s="7" t="n">
        <v>11</v>
      </c>
      <c r="B23" s="10" t="n"/>
      <c r="C23" s="17" t="n"/>
      <c r="D23" s="12" t="n"/>
      <c r="E23" s="13" t="n"/>
      <c r="F23" s="14" t="n"/>
      <c r="G23" s="15">
        <f>IF(AND(ISNUMBER(E23),ISNUMBER(F23),E23&gt;0),(E23-F23)/E23,"")</f>
        <v/>
      </c>
      <c r="H23" s="13" t="n"/>
      <c r="I23" s="16" t="n"/>
    </row>
    <row r="24" ht="20" customHeight="1">
      <c r="A24" s="7" t="n">
        <v>12</v>
      </c>
      <c r="B24" s="10" t="n"/>
      <c r="C24" s="17" t="n"/>
      <c r="D24" s="12" t="n"/>
      <c r="E24" s="13" t="n"/>
      <c r="F24" s="14" t="n"/>
      <c r="G24" s="15">
        <f>IF(AND(ISNUMBER(E24),ISNUMBER(F24),E24&gt;0),(E24-F24)/E24,"")</f>
        <v/>
      </c>
      <c r="H24" s="13" t="n"/>
      <c r="I24" s="16" t="n"/>
    </row>
    <row r="25" ht="20" customHeight="1">
      <c r="A25" s="7" t="n">
        <v>13</v>
      </c>
      <c r="B25" s="10" t="n"/>
      <c r="C25" s="17" t="n"/>
      <c r="D25" s="12" t="n"/>
      <c r="E25" s="13" t="n"/>
      <c r="F25" s="14" t="n"/>
      <c r="G25" s="15">
        <f>IF(AND(ISNUMBER(E25),ISNUMBER(F25),E25&gt;0),(E25-F25)/E25,"")</f>
        <v/>
      </c>
      <c r="H25" s="13" t="n"/>
      <c r="I25" s="16" t="n"/>
    </row>
    <row r="26" ht="20" customHeight="1">
      <c r="A26" s="7" t="n">
        <v>14</v>
      </c>
      <c r="B26" s="10" t="n"/>
      <c r="C26" s="17" t="n"/>
      <c r="D26" s="12" t="n"/>
      <c r="E26" s="13" t="n"/>
      <c r="F26" s="14" t="n"/>
      <c r="G26" s="15">
        <f>IF(AND(ISNUMBER(E26),ISNUMBER(F26),E26&gt;0),(E26-F26)/E26,"")</f>
        <v/>
      </c>
      <c r="H26" s="13" t="n"/>
      <c r="I26" s="16" t="n"/>
    </row>
    <row r="27" ht="20" customHeight="1">
      <c r="A27" s="7" t="n">
        <v>15</v>
      </c>
      <c r="B27" s="10" t="n"/>
      <c r="C27" s="17" t="n"/>
      <c r="D27" s="12" t="n"/>
      <c r="E27" s="13" t="n"/>
      <c r="F27" s="14" t="n"/>
      <c r="G27" s="15">
        <f>IF(AND(ISNUMBER(E27),ISNUMBER(F27),E27&gt;0),(E27-F27)/E27,"")</f>
        <v/>
      </c>
      <c r="H27" s="13" t="n"/>
      <c r="I27" s="16" t="n"/>
    </row>
    <row r="28" ht="20" customHeight="1">
      <c r="A28" s="7" t="n">
        <v>16</v>
      </c>
      <c r="B28" s="10" t="n"/>
      <c r="C28" s="17" t="n"/>
      <c r="D28" s="12" t="n"/>
      <c r="E28" s="13" t="n"/>
      <c r="F28" s="14" t="n"/>
      <c r="G28" s="15">
        <f>IF(AND(ISNUMBER(E28),ISNUMBER(F28),E28&gt;0),(E28-F28)/E28,"")</f>
        <v/>
      </c>
      <c r="H28" s="13" t="n"/>
      <c r="I28" s="16" t="n"/>
    </row>
    <row r="29" ht="20" customHeight="1">
      <c r="A29" s="7" t="n">
        <v>17</v>
      </c>
      <c r="B29" s="10" t="n"/>
      <c r="C29" s="17" t="n"/>
      <c r="D29" s="12" t="n"/>
      <c r="E29" s="13" t="n"/>
      <c r="F29" s="14" t="n"/>
      <c r="G29" s="15">
        <f>IF(AND(ISNUMBER(E29),ISNUMBER(F29),E29&gt;0),(E29-F29)/E29,"")</f>
        <v/>
      </c>
      <c r="H29" s="13" t="n"/>
      <c r="I29" s="16" t="n"/>
    </row>
    <row r="30" ht="20" customHeight="1">
      <c r="A30" s="7" t="n">
        <v>18</v>
      </c>
      <c r="B30" s="10" t="n"/>
      <c r="C30" s="17" t="n"/>
      <c r="D30" s="12" t="n"/>
      <c r="E30" s="13" t="n"/>
      <c r="F30" s="14" t="n"/>
      <c r="G30" s="15">
        <f>IF(AND(ISNUMBER(E30),ISNUMBER(F30),E30&gt;0),(E30-F30)/E30,"")</f>
        <v/>
      </c>
      <c r="H30" s="13" t="n"/>
      <c r="I30" s="16" t="n"/>
    </row>
    <row r="31" ht="20" customHeight="1">
      <c r="A31" s="7" t="n">
        <v>19</v>
      </c>
      <c r="B31" s="10" t="n"/>
      <c r="C31" s="17" t="n"/>
      <c r="D31" s="12" t="n"/>
      <c r="E31" s="13" t="n"/>
      <c r="F31" s="14" t="n"/>
      <c r="G31" s="15">
        <f>IF(AND(ISNUMBER(E31),ISNUMBER(F31),E31&gt;0),(E31-F31)/E31,"")</f>
        <v/>
      </c>
      <c r="H31" s="13" t="n"/>
      <c r="I31" s="16" t="n"/>
    </row>
    <row r="32" ht="20" customHeight="1">
      <c r="A32" s="7" t="n">
        <v>20</v>
      </c>
      <c r="B32" s="10" t="n"/>
      <c r="C32" s="17" t="n"/>
      <c r="D32" s="12" t="n"/>
      <c r="E32" s="13" t="n"/>
      <c r="F32" s="14" t="n"/>
      <c r="G32" s="15">
        <f>IF(AND(ISNUMBER(E32),ISNUMBER(F32),E32&gt;0),(E32-F32)/E32,"")</f>
        <v/>
      </c>
      <c r="H32" s="13" t="n"/>
      <c r="I32" s="16" t="n"/>
    </row>
    <row r="33" ht="20" customHeight="1">
      <c r="A33" s="7" t="n">
        <v>21</v>
      </c>
      <c r="B33" s="10" t="n"/>
      <c r="C33" s="17" t="n"/>
      <c r="D33" s="12" t="n"/>
      <c r="E33" s="13" t="n"/>
      <c r="F33" s="14" t="n"/>
      <c r="G33" s="15">
        <f>IF(AND(ISNUMBER(E33),ISNUMBER(F33),E33&gt;0),(E33-F33)/E33,"")</f>
        <v/>
      </c>
      <c r="H33" s="13" t="n"/>
      <c r="I33" s="16" t="n"/>
    </row>
    <row r="34" ht="20" customHeight="1">
      <c r="A34" s="7" t="n">
        <v>22</v>
      </c>
      <c r="B34" s="10" t="n"/>
      <c r="C34" s="17" t="n"/>
      <c r="D34" s="12" t="n"/>
      <c r="E34" s="13" t="n"/>
      <c r="F34" s="14" t="n"/>
      <c r="G34" s="15">
        <f>IF(AND(ISNUMBER(E34),ISNUMBER(F34),E34&gt;0),(E34-F34)/E34,"")</f>
        <v/>
      </c>
      <c r="H34" s="13" t="n"/>
      <c r="I34" s="16" t="n"/>
    </row>
    <row r="35" ht="20" customHeight="1">
      <c r="A35" s="7" t="n">
        <v>23</v>
      </c>
      <c r="B35" s="10" t="n"/>
      <c r="C35" s="17" t="n"/>
      <c r="D35" s="12" t="n"/>
      <c r="E35" s="13" t="n"/>
      <c r="F35" s="14" t="n"/>
      <c r="G35" s="15">
        <f>IF(AND(ISNUMBER(E35),ISNUMBER(F35),E35&gt;0),(E35-F35)/E35,"")</f>
        <v/>
      </c>
      <c r="H35" s="13" t="n"/>
      <c r="I35" s="16" t="n"/>
    </row>
    <row r="36" ht="20" customHeight="1">
      <c r="A36" s="7" t="n">
        <v>24</v>
      </c>
      <c r="B36" s="10" t="n"/>
      <c r="C36" s="17" t="n"/>
      <c r="D36" s="12" t="n"/>
      <c r="E36" s="13" t="n"/>
      <c r="F36" s="14" t="n"/>
      <c r="G36" s="15">
        <f>IF(AND(ISNUMBER(E36),ISNUMBER(F36),E36&gt;0),(E36-F36)/E36,"")</f>
        <v/>
      </c>
      <c r="H36" s="13" t="n"/>
      <c r="I36" s="16" t="n"/>
    </row>
    <row r="37" ht="20" customHeight="1">
      <c r="A37" s="7" t="n">
        <v>25</v>
      </c>
      <c r="B37" s="10" t="n"/>
      <c r="C37" s="17" t="n"/>
      <c r="D37" s="12" t="n"/>
      <c r="E37" s="13" t="n"/>
      <c r="F37" s="14" t="n"/>
      <c r="G37" s="15">
        <f>IF(AND(ISNUMBER(E37),ISNUMBER(F37),E37&gt;0),(E37-F37)/E37,"")</f>
        <v/>
      </c>
      <c r="H37" s="13" t="n"/>
      <c r="I37" s="16" t="n"/>
    </row>
    <row r="38" ht="20" customHeight="1">
      <c r="A38" s="7" t="n">
        <v>26</v>
      </c>
      <c r="B38" s="10" t="n"/>
      <c r="C38" s="17" t="n"/>
      <c r="D38" s="12" t="n"/>
      <c r="E38" s="13" t="n"/>
      <c r="F38" s="14" t="n"/>
      <c r="G38" s="15">
        <f>IF(AND(ISNUMBER(E38),ISNUMBER(F38),E38&gt;0),(E38-F38)/E38,"")</f>
        <v/>
      </c>
      <c r="H38" s="13" t="n"/>
      <c r="I38" s="16" t="n"/>
    </row>
    <row r="39" ht="20" customHeight="1">
      <c r="A39" s="7" t="n">
        <v>27</v>
      </c>
      <c r="B39" s="10" t="n"/>
      <c r="C39" s="17" t="n"/>
      <c r="D39" s="12" t="n"/>
      <c r="E39" s="13" t="n"/>
      <c r="F39" s="14" t="n"/>
      <c r="G39" s="15">
        <f>IF(AND(ISNUMBER(E39),ISNUMBER(F39),E39&gt;0),(E39-F39)/E39,"")</f>
        <v/>
      </c>
      <c r="H39" s="13" t="n"/>
      <c r="I39" s="16" t="n"/>
    </row>
    <row r="40" ht="20" customHeight="1">
      <c r="A40" s="7" t="n">
        <v>28</v>
      </c>
      <c r="B40" s="10" t="n"/>
      <c r="C40" s="17" t="n"/>
      <c r="D40" s="12" t="n"/>
      <c r="E40" s="13" t="n"/>
      <c r="F40" s="14" t="n"/>
      <c r="G40" s="15">
        <f>IF(AND(ISNUMBER(E40),ISNUMBER(F40),E40&gt;0),(E40-F40)/E40,"")</f>
        <v/>
      </c>
      <c r="H40" s="13" t="n"/>
      <c r="I40" s="16" t="n"/>
    </row>
    <row r="41" ht="20" customHeight="1">
      <c r="A41" s="7" t="n">
        <v>29</v>
      </c>
      <c r="B41" s="10" t="n"/>
      <c r="C41" s="17" t="n"/>
      <c r="D41" s="12" t="n"/>
      <c r="E41" s="13" t="n"/>
      <c r="F41" s="14" t="n"/>
      <c r="G41" s="15">
        <f>IF(AND(ISNUMBER(E41),ISNUMBER(F41),E41&gt;0),(E41-F41)/E41,"")</f>
        <v/>
      </c>
      <c r="H41" s="13" t="n"/>
      <c r="I41" s="16" t="n"/>
    </row>
    <row r="42" ht="20" customHeight="1">
      <c r="A42" s="7" t="n">
        <v>30</v>
      </c>
      <c r="B42" s="10" t="n"/>
      <c r="C42" s="17" t="n"/>
      <c r="D42" s="12" t="n"/>
      <c r="E42" s="13" t="n"/>
      <c r="F42" s="14" t="n"/>
      <c r="G42" s="15">
        <f>IF(AND(ISNUMBER(E42),ISNUMBER(F42),E42&gt;0),(E42-F42)/E42,"")</f>
        <v/>
      </c>
      <c r="H42" s="13" t="n"/>
      <c r="I42" s="16" t="n"/>
    </row>
    <row r="43" ht="24" customHeight="1">
      <c r="A43" s="18" t="inlineStr">
        <is>
          <t>СРЕДНО / ОБЩО ЗА БЛАНКАТА:</t>
        </is>
      </c>
      <c r="E43" s="19" t="inlineStr"/>
      <c r="F43" s="19" t="inlineStr"/>
      <c r="G43" s="20">
        <f>IFERROR(AVERAGE(G13:G42),0)</f>
        <v/>
      </c>
      <c r="H43" s="19" t="inlineStr"/>
      <c r="I43" s="19" t="inlineStr"/>
    </row>
  </sheetData>
  <mergeCells count="18">
    <mergeCell ref="B5:D5"/>
    <mergeCell ref="A2:I2"/>
    <mergeCell ref="E4:I4"/>
    <mergeCell ref="E6:F6"/>
    <mergeCell ref="G6:I6"/>
    <mergeCell ref="G5:I5"/>
    <mergeCell ref="E7:F7"/>
    <mergeCell ref="A4:D4"/>
    <mergeCell ref="B8:D8"/>
    <mergeCell ref="A10:I10"/>
    <mergeCell ref="A1:I1"/>
    <mergeCell ref="E5:F5"/>
    <mergeCell ref="G8:I8"/>
    <mergeCell ref="A43:D43"/>
    <mergeCell ref="B7:D7"/>
    <mergeCell ref="G7:I7"/>
    <mergeCell ref="B6:D6"/>
    <mergeCell ref="E8:F8"/>
  </mergeCells>
  <dataValidations count="2">
    <dataValidation sqref="B5" showDropDown="0" showInputMessage="0" showErrorMessage="0" allowBlank="0" type="list">
      <formula1>=График_2027!$A$3:$A$27</formula1>
    </dataValidation>
    <dataValidation sqref="D13:D42" showDropDown="0" showInputMessage="0" showErrorMessage="0" allowBlank="1" type="list">
      <formula1>"бр.,кг.,100гр.,200гр.,250гр.,400гр.,500гр.,700гр.,800гр.,1л.,1.5л.,2л.,оп.,пакет"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6" customWidth="1" min="4" max="4"/>
    <col width="8" customWidth="1" min="5" max="5"/>
    <col width="30" customWidth="1" min="6" max="6"/>
    <col width="20" customWidth="1" min="7" max="7"/>
    <col width="20" customWidth="1" min="8" max="8"/>
  </cols>
  <sheetData>
    <row r="1" ht="30" customHeight="1">
      <c r="A1" s="1" t="inlineStr">
        <is>
          <t>ОФИЦИАЛЕН ГРАФИК ЗА ПРОМОЦИОНАЛНИ БРОШУРИ — 2027 ГОДИНА</t>
        </is>
      </c>
    </row>
    <row r="2" ht="24" customHeight="1">
      <c r="A2" s="21" t="inlineStr">
        <is>
          <t>Код на Брошурата</t>
        </is>
      </c>
      <c r="B2" s="21" t="inlineStr">
        <is>
          <t>Старт (магазини)</t>
        </is>
      </c>
      <c r="C2" s="21" t="inlineStr">
        <is>
          <t>Край (магазини)</t>
        </is>
      </c>
      <c r="D2" s="21" t="inlineStr">
        <is>
          <t>Период в супермаркетите</t>
        </is>
      </c>
      <c r="E2" s="21" t="inlineStr">
        <is>
          <t>Дни</t>
        </is>
      </c>
      <c r="F2" s="21" t="inlineStr">
        <is>
          <t>Период намалена доставна цена (ЗКП, X-7)</t>
        </is>
      </c>
      <c r="G2" s="21" t="inlineStr">
        <is>
          <t>Краен срок за оферти</t>
        </is>
      </c>
      <c r="H2" s="21" t="inlineStr">
        <is>
          <t>Краен срок за предпечат (X-10)</t>
        </is>
      </c>
    </row>
    <row r="3" ht="18" customHeight="1">
      <c r="A3" s="22" t="inlineStr">
        <is>
          <t>Брошура № 01</t>
        </is>
      </c>
      <c r="B3" s="23" t="inlineStr">
        <is>
          <t>2027-01-09</t>
        </is>
      </c>
      <c r="C3" s="23" t="inlineStr">
        <is>
          <t>2027-01-17</t>
        </is>
      </c>
      <c r="D3" s="23" t="inlineStr">
        <is>
          <t>09.01.2027 – 17.01.2027</t>
        </is>
      </c>
      <c r="E3" s="23" t="n">
        <v>9</v>
      </c>
      <c r="F3" s="23" t="inlineStr">
        <is>
          <t>02.01.2027 – 17.01.2027</t>
        </is>
      </c>
      <c r="G3" s="23" t="inlineStr">
        <is>
          <t>28.12.2026</t>
        </is>
      </c>
      <c r="H3" s="23" t="inlineStr">
        <is>
          <t>30.12.2026</t>
        </is>
      </c>
    </row>
    <row r="4" ht="18" customHeight="1">
      <c r="A4" s="22" t="inlineStr">
        <is>
          <t>Брошура № 02</t>
        </is>
      </c>
      <c r="B4" s="23" t="inlineStr">
        <is>
          <t>2027-01-23</t>
        </is>
      </c>
      <c r="C4" s="23" t="inlineStr">
        <is>
          <t>2027-01-31</t>
        </is>
      </c>
      <c r="D4" s="23" t="inlineStr">
        <is>
          <t>23.01.2027 – 31.01.2027</t>
        </is>
      </c>
      <c r="E4" s="23" t="n">
        <v>9</v>
      </c>
      <c r="F4" s="23" t="inlineStr">
        <is>
          <t>16.01.2027 – 31.01.2027</t>
        </is>
      </c>
      <c r="G4" s="23" t="inlineStr">
        <is>
          <t>11.01.2027</t>
        </is>
      </c>
      <c r="H4" s="23" t="inlineStr">
        <is>
          <t>13.01.2027</t>
        </is>
      </c>
    </row>
    <row r="5" ht="18" customHeight="1">
      <c r="A5" s="22" t="inlineStr">
        <is>
          <t>Брошура № 03</t>
        </is>
      </c>
      <c r="B5" s="23" t="inlineStr">
        <is>
          <t>2027-02-06</t>
        </is>
      </c>
      <c r="C5" s="23" t="inlineStr">
        <is>
          <t>2027-02-14</t>
        </is>
      </c>
      <c r="D5" s="23" t="inlineStr">
        <is>
          <t>06.02.2027 – 14.02.2027</t>
        </is>
      </c>
      <c r="E5" s="23" t="n">
        <v>9</v>
      </c>
      <c r="F5" s="23" t="inlineStr">
        <is>
          <t>30.01.2027 – 14.02.2027</t>
        </is>
      </c>
      <c r="G5" s="23" t="inlineStr">
        <is>
          <t>25.01.2027</t>
        </is>
      </c>
      <c r="H5" s="23" t="inlineStr">
        <is>
          <t>27.01.2027</t>
        </is>
      </c>
    </row>
    <row r="6" ht="18" customHeight="1">
      <c r="A6" s="22" t="inlineStr">
        <is>
          <t>Брошура № 04</t>
        </is>
      </c>
      <c r="B6" s="23" t="inlineStr">
        <is>
          <t>2027-02-20</t>
        </is>
      </c>
      <c r="C6" s="23" t="inlineStr">
        <is>
          <t>2027-02-28</t>
        </is>
      </c>
      <c r="D6" s="23" t="inlineStr">
        <is>
          <t>20.02.2027 – 28.02.2027</t>
        </is>
      </c>
      <c r="E6" s="23" t="n">
        <v>9</v>
      </c>
      <c r="F6" s="23" t="inlineStr">
        <is>
          <t>13.02.2027 – 28.02.2027</t>
        </is>
      </c>
      <c r="G6" s="23" t="inlineStr">
        <is>
          <t>08.02.2027</t>
        </is>
      </c>
      <c r="H6" s="23" t="inlineStr">
        <is>
          <t>10.02.2027</t>
        </is>
      </c>
    </row>
    <row r="7" ht="18" customHeight="1">
      <c r="A7" s="22" t="inlineStr">
        <is>
          <t>Брошура № 05</t>
        </is>
      </c>
      <c r="B7" s="23" t="inlineStr">
        <is>
          <t>2027-03-06</t>
        </is>
      </c>
      <c r="C7" s="23" t="inlineStr">
        <is>
          <t>2027-03-14</t>
        </is>
      </c>
      <c r="D7" s="23" t="inlineStr">
        <is>
          <t>06.03.2027 – 14.03.2027</t>
        </is>
      </c>
      <c r="E7" s="23" t="n">
        <v>9</v>
      </c>
      <c r="F7" s="23" t="inlineStr">
        <is>
          <t>27.02.2027 – 14.03.2027</t>
        </is>
      </c>
      <c r="G7" s="23" t="inlineStr">
        <is>
          <t>22.02.2027</t>
        </is>
      </c>
      <c r="H7" s="23" t="inlineStr">
        <is>
          <t>24.02.2027</t>
        </is>
      </c>
    </row>
    <row r="8" ht="18" customHeight="1">
      <c r="A8" s="22" t="inlineStr">
        <is>
          <t>Брошура № 06</t>
        </is>
      </c>
      <c r="B8" s="23" t="inlineStr">
        <is>
          <t>2027-03-20</t>
        </is>
      </c>
      <c r="C8" s="23" t="inlineStr">
        <is>
          <t>2027-03-28</t>
        </is>
      </c>
      <c r="D8" s="23" t="inlineStr">
        <is>
          <t>20.03.2027 – 28.03.2027</t>
        </is>
      </c>
      <c r="E8" s="23" t="n">
        <v>9</v>
      </c>
      <c r="F8" s="23" t="inlineStr">
        <is>
          <t>13.03.2027 – 28.03.2027</t>
        </is>
      </c>
      <c r="G8" s="23" t="inlineStr">
        <is>
          <t>08.03.2027</t>
        </is>
      </c>
      <c r="H8" s="23" t="inlineStr">
        <is>
          <t>10.03.2027</t>
        </is>
      </c>
    </row>
    <row r="9" ht="18" customHeight="1">
      <c r="A9" s="22" t="inlineStr">
        <is>
          <t>Брошура № 07</t>
        </is>
      </c>
      <c r="B9" s="23" t="inlineStr">
        <is>
          <t>2027-04-03</t>
        </is>
      </c>
      <c r="C9" s="23" t="inlineStr">
        <is>
          <t>2027-04-11</t>
        </is>
      </c>
      <c r="D9" s="23" t="inlineStr">
        <is>
          <t>03.04.2027 – 11.04.2027</t>
        </is>
      </c>
      <c r="E9" s="23" t="n">
        <v>9</v>
      </c>
      <c r="F9" s="23" t="inlineStr">
        <is>
          <t>27.03.2027 – 11.04.2027</t>
        </is>
      </c>
      <c r="G9" s="23" t="inlineStr">
        <is>
          <t>22.03.2027</t>
        </is>
      </c>
      <c r="H9" s="23" t="inlineStr">
        <is>
          <t>24.03.2027</t>
        </is>
      </c>
    </row>
    <row r="10" ht="18" customHeight="1">
      <c r="A10" s="22" t="inlineStr">
        <is>
          <t>Брошура № 08</t>
        </is>
      </c>
      <c r="B10" s="23" t="inlineStr">
        <is>
          <t>2027-04-17</t>
        </is>
      </c>
      <c r="C10" s="23" t="inlineStr">
        <is>
          <t>2027-04-25</t>
        </is>
      </c>
      <c r="D10" s="23" t="inlineStr">
        <is>
          <t>17.04.2027 – 25.04.2027</t>
        </is>
      </c>
      <c r="E10" s="23" t="n">
        <v>9</v>
      </c>
      <c r="F10" s="23" t="inlineStr">
        <is>
          <t>10.04.2027 – 25.04.2027</t>
        </is>
      </c>
      <c r="G10" s="23" t="inlineStr">
        <is>
          <t>05.04.2027</t>
        </is>
      </c>
      <c r="H10" s="23" t="inlineStr">
        <is>
          <t>07.04.2027</t>
        </is>
      </c>
    </row>
    <row r="11" ht="18" customHeight="1">
      <c r="A11" s="22" t="inlineStr">
        <is>
          <t>Брошура № 09</t>
        </is>
      </c>
      <c r="B11" s="23" t="inlineStr">
        <is>
          <t>2027-04-29</t>
        </is>
      </c>
      <c r="C11" s="23" t="inlineStr">
        <is>
          <t>2027-05-09</t>
        </is>
      </c>
      <c r="D11" s="23" t="inlineStr">
        <is>
          <t>29.04.2027 – 09.05.2027</t>
        </is>
      </c>
      <c r="E11" s="23" t="n">
        <v>11</v>
      </c>
      <c r="F11" s="23" t="inlineStr">
        <is>
          <t>22.04.2027 – 09.05.2027</t>
        </is>
      </c>
      <c r="G11" s="23" t="inlineStr">
        <is>
          <t>17.04.2027</t>
        </is>
      </c>
      <c r="H11" s="23" t="inlineStr">
        <is>
          <t>19.04.2027</t>
        </is>
      </c>
    </row>
    <row r="12" ht="18" customHeight="1">
      <c r="A12" s="22" t="inlineStr">
        <is>
          <t>Брошура № 10</t>
        </is>
      </c>
      <c r="B12" s="23" t="inlineStr">
        <is>
          <t>2027-05-22</t>
        </is>
      </c>
      <c r="C12" s="23" t="inlineStr">
        <is>
          <t>2027-05-30</t>
        </is>
      </c>
      <c r="D12" s="23" t="inlineStr">
        <is>
          <t>22.05.2027 – 30.05.2027</t>
        </is>
      </c>
      <c r="E12" s="23" t="n">
        <v>9</v>
      </c>
      <c r="F12" s="23" t="inlineStr">
        <is>
          <t>15.05.2027 – 30.05.2027</t>
        </is>
      </c>
      <c r="G12" s="23" t="inlineStr">
        <is>
          <t>10.05.2027</t>
        </is>
      </c>
      <c r="H12" s="23" t="inlineStr">
        <is>
          <t>12.05.2027</t>
        </is>
      </c>
    </row>
    <row r="13" ht="18" customHeight="1">
      <c r="A13" s="22" t="inlineStr">
        <is>
          <t>Брошура № 11</t>
        </is>
      </c>
      <c r="B13" s="23" t="inlineStr">
        <is>
          <t>2027-06-05</t>
        </is>
      </c>
      <c r="C13" s="23" t="inlineStr">
        <is>
          <t>2027-06-13</t>
        </is>
      </c>
      <c r="D13" s="23" t="inlineStr">
        <is>
          <t>05.06.2027 – 13.06.2027</t>
        </is>
      </c>
      <c r="E13" s="23" t="n">
        <v>9</v>
      </c>
      <c r="F13" s="23" t="inlineStr">
        <is>
          <t>29.05.2027 – 13.06.2027</t>
        </is>
      </c>
      <c r="G13" s="23" t="inlineStr">
        <is>
          <t>24.05.2027</t>
        </is>
      </c>
      <c r="H13" s="23" t="inlineStr">
        <is>
          <t>26.05.2027</t>
        </is>
      </c>
    </row>
    <row r="14" ht="18" customHeight="1">
      <c r="A14" s="22" t="inlineStr">
        <is>
          <t>Брошура № 12</t>
        </is>
      </c>
      <c r="B14" s="23" t="inlineStr">
        <is>
          <t>2027-06-19</t>
        </is>
      </c>
      <c r="C14" s="23" t="inlineStr">
        <is>
          <t>2027-06-27</t>
        </is>
      </c>
      <c r="D14" s="23" t="inlineStr">
        <is>
          <t>19.06.2027 – 27.06.2027</t>
        </is>
      </c>
      <c r="E14" s="23" t="n">
        <v>9</v>
      </c>
      <c r="F14" s="23" t="inlineStr">
        <is>
          <t>12.06.2027 – 27.06.2027</t>
        </is>
      </c>
      <c r="G14" s="23" t="inlineStr">
        <is>
          <t>07.06.2027</t>
        </is>
      </c>
      <c r="H14" s="23" t="inlineStr">
        <is>
          <t>09.06.2027</t>
        </is>
      </c>
    </row>
    <row r="15" ht="18" customHeight="1">
      <c r="A15" s="22" t="inlineStr">
        <is>
          <t>Брошура № 13</t>
        </is>
      </c>
      <c r="B15" s="23" t="inlineStr">
        <is>
          <t>2027-07-03</t>
        </is>
      </c>
      <c r="C15" s="23" t="inlineStr">
        <is>
          <t>2027-07-11</t>
        </is>
      </c>
      <c r="D15" s="23" t="inlineStr">
        <is>
          <t>03.07.2027 – 11.07.2027</t>
        </is>
      </c>
      <c r="E15" s="23" t="n">
        <v>9</v>
      </c>
      <c r="F15" s="23" t="inlineStr">
        <is>
          <t>26.06.2027 – 11.07.2027</t>
        </is>
      </c>
      <c r="G15" s="23" t="inlineStr">
        <is>
          <t>21.06.2027</t>
        </is>
      </c>
      <c r="H15" s="23" t="inlineStr">
        <is>
          <t>23.06.2027</t>
        </is>
      </c>
    </row>
    <row r="16" ht="18" customHeight="1">
      <c r="A16" s="22" t="inlineStr">
        <is>
          <t>Брошура № 14</t>
        </is>
      </c>
      <c r="B16" s="23" t="inlineStr">
        <is>
          <t>2027-07-17</t>
        </is>
      </c>
      <c r="C16" s="23" t="inlineStr">
        <is>
          <t>2027-07-25</t>
        </is>
      </c>
      <c r="D16" s="23" t="inlineStr">
        <is>
          <t>17.07.2027 – 25.07.2027</t>
        </is>
      </c>
      <c r="E16" s="23" t="n">
        <v>9</v>
      </c>
      <c r="F16" s="23" t="inlineStr">
        <is>
          <t>10.07.2027 – 25.07.2027</t>
        </is>
      </c>
      <c r="G16" s="23" t="inlineStr">
        <is>
          <t>05.07.2027</t>
        </is>
      </c>
      <c r="H16" s="23" t="inlineStr">
        <is>
          <t>07.07.2027</t>
        </is>
      </c>
    </row>
    <row r="17" ht="18" customHeight="1">
      <c r="A17" s="22" t="inlineStr">
        <is>
          <t>Брошура № 15</t>
        </is>
      </c>
      <c r="B17" s="23" t="inlineStr">
        <is>
          <t>2027-08-07</t>
        </is>
      </c>
      <c r="C17" s="23" t="inlineStr">
        <is>
          <t>2027-08-15</t>
        </is>
      </c>
      <c r="D17" s="23" t="inlineStr">
        <is>
          <t>07.08.2027 – 15.08.2027</t>
        </is>
      </c>
      <c r="E17" s="23" t="n">
        <v>9</v>
      </c>
      <c r="F17" s="23" t="inlineStr">
        <is>
          <t>31.07.2027 – 15.08.2027</t>
        </is>
      </c>
      <c r="G17" s="23" t="inlineStr">
        <is>
          <t>26.07.2027</t>
        </is>
      </c>
      <c r="H17" s="23" t="inlineStr">
        <is>
          <t>28.07.2027</t>
        </is>
      </c>
    </row>
    <row r="18" ht="18" customHeight="1">
      <c r="A18" s="22" t="inlineStr">
        <is>
          <t>Брошура № 16</t>
        </is>
      </c>
      <c r="B18" s="23" t="inlineStr">
        <is>
          <t>2027-08-21</t>
        </is>
      </c>
      <c r="C18" s="23" t="inlineStr">
        <is>
          <t>2027-08-29</t>
        </is>
      </c>
      <c r="D18" s="23" t="inlineStr">
        <is>
          <t>21.08.2027 – 29.08.2027</t>
        </is>
      </c>
      <c r="E18" s="23" t="n">
        <v>9</v>
      </c>
      <c r="F18" s="23" t="inlineStr">
        <is>
          <t>14.08.2027 – 29.08.2027</t>
        </is>
      </c>
      <c r="G18" s="23" t="inlineStr">
        <is>
          <t>09.08.2027</t>
        </is>
      </c>
      <c r="H18" s="23" t="inlineStr">
        <is>
          <t>11.08.2027</t>
        </is>
      </c>
    </row>
    <row r="19" ht="18" customHeight="1">
      <c r="A19" s="22" t="inlineStr">
        <is>
          <t>Брошура № 17</t>
        </is>
      </c>
      <c r="B19" s="23" t="inlineStr">
        <is>
          <t>2027-09-04</t>
        </is>
      </c>
      <c r="C19" s="23" t="inlineStr">
        <is>
          <t>2027-09-12</t>
        </is>
      </c>
      <c r="D19" s="23" t="inlineStr">
        <is>
          <t>04.09.2027 – 12.09.2027</t>
        </is>
      </c>
      <c r="E19" s="23" t="n">
        <v>9</v>
      </c>
      <c r="F19" s="23" t="inlineStr">
        <is>
          <t>28.08.2027 – 12.09.2027</t>
        </is>
      </c>
      <c r="G19" s="23" t="inlineStr">
        <is>
          <t>23.08.2027</t>
        </is>
      </c>
      <c r="H19" s="23" t="inlineStr">
        <is>
          <t>25.08.2027</t>
        </is>
      </c>
    </row>
    <row r="20" ht="18" customHeight="1">
      <c r="A20" s="22" t="inlineStr">
        <is>
          <t>Брошура № 18</t>
        </is>
      </c>
      <c r="B20" s="23" t="inlineStr">
        <is>
          <t>2027-09-18</t>
        </is>
      </c>
      <c r="C20" s="23" t="inlineStr">
        <is>
          <t>2027-09-26</t>
        </is>
      </c>
      <c r="D20" s="23" t="inlineStr">
        <is>
          <t>18.09.2027 – 26.09.2027</t>
        </is>
      </c>
      <c r="E20" s="23" t="n">
        <v>9</v>
      </c>
      <c r="F20" s="23" t="inlineStr">
        <is>
          <t>11.09.2027 – 26.09.2027</t>
        </is>
      </c>
      <c r="G20" s="23" t="inlineStr">
        <is>
          <t>06.09.2027</t>
        </is>
      </c>
      <c r="H20" s="23" t="inlineStr">
        <is>
          <t>08.09.2027</t>
        </is>
      </c>
    </row>
    <row r="21" ht="18" customHeight="1">
      <c r="A21" s="22" t="inlineStr">
        <is>
          <t>Брошура № 19</t>
        </is>
      </c>
      <c r="B21" s="23" t="inlineStr">
        <is>
          <t>2027-10-02</t>
        </is>
      </c>
      <c r="C21" s="23" t="inlineStr">
        <is>
          <t>2027-10-10</t>
        </is>
      </c>
      <c r="D21" s="23" t="inlineStr">
        <is>
          <t>02.10.2027 – 10.10.2027</t>
        </is>
      </c>
      <c r="E21" s="23" t="n">
        <v>9</v>
      </c>
      <c r="F21" s="23" t="inlineStr">
        <is>
          <t>25.09.2027 – 10.10.2027</t>
        </is>
      </c>
      <c r="G21" s="23" t="inlineStr">
        <is>
          <t>20.09.2027</t>
        </is>
      </c>
      <c r="H21" s="23" t="inlineStr">
        <is>
          <t>22.09.2027</t>
        </is>
      </c>
    </row>
    <row r="22" ht="18" customHeight="1">
      <c r="A22" s="22" t="inlineStr">
        <is>
          <t>Брошура № 20</t>
        </is>
      </c>
      <c r="B22" s="23" t="inlineStr">
        <is>
          <t>2027-10-23</t>
        </is>
      </c>
      <c r="C22" s="23" t="inlineStr">
        <is>
          <t>2027-10-31</t>
        </is>
      </c>
      <c r="D22" s="23" t="inlineStr">
        <is>
          <t>23.10.2027 – 31.10.2027</t>
        </is>
      </c>
      <c r="E22" s="23" t="n">
        <v>9</v>
      </c>
      <c r="F22" s="23" t="inlineStr">
        <is>
          <t>16.10.2027 – 31.10.2027</t>
        </is>
      </c>
      <c r="G22" s="23" t="inlineStr">
        <is>
          <t>11.10.2027</t>
        </is>
      </c>
      <c r="H22" s="23" t="inlineStr">
        <is>
          <t>13.10.2027</t>
        </is>
      </c>
    </row>
    <row r="23" ht="18" customHeight="1">
      <c r="A23" s="22" t="inlineStr">
        <is>
          <t>Брошура № 21</t>
        </is>
      </c>
      <c r="B23" s="23" t="inlineStr">
        <is>
          <t>2027-11-06</t>
        </is>
      </c>
      <c r="C23" s="23" t="inlineStr">
        <is>
          <t>2027-11-14</t>
        </is>
      </c>
      <c r="D23" s="23" t="inlineStr">
        <is>
          <t>06.11.2027 – 14.11.2027</t>
        </is>
      </c>
      <c r="E23" s="23" t="n">
        <v>9</v>
      </c>
      <c r="F23" s="23" t="inlineStr">
        <is>
          <t>30.10.2027 – 14.11.2027</t>
        </is>
      </c>
      <c r="G23" s="23" t="inlineStr">
        <is>
          <t>25.10.2027</t>
        </is>
      </c>
      <c r="H23" s="23" t="inlineStr">
        <is>
          <t>27.10.2027</t>
        </is>
      </c>
    </row>
    <row r="24" ht="18" customHeight="1">
      <c r="A24" s="22" t="inlineStr">
        <is>
          <t>Брошура № 22</t>
        </is>
      </c>
      <c r="B24" s="23" t="inlineStr">
        <is>
          <t>2027-11-20</t>
        </is>
      </c>
      <c r="C24" s="23" t="inlineStr">
        <is>
          <t>2027-11-28</t>
        </is>
      </c>
      <c r="D24" s="23" t="inlineStr">
        <is>
          <t>20.11.2027 – 28.11.2027</t>
        </is>
      </c>
      <c r="E24" s="23" t="n">
        <v>9</v>
      </c>
      <c r="F24" s="23" t="inlineStr">
        <is>
          <t>13.11.2027 – 28.11.2027</t>
        </is>
      </c>
      <c r="G24" s="23" t="inlineStr">
        <is>
          <t>08.11.2027</t>
        </is>
      </c>
      <c r="H24" s="23" t="inlineStr">
        <is>
          <t>10.11.2027</t>
        </is>
      </c>
    </row>
    <row r="25" ht="18" customHeight="1">
      <c r="A25" s="22" t="inlineStr">
        <is>
          <t>Брошура № 23</t>
        </is>
      </c>
      <c r="B25" s="23" t="inlineStr">
        <is>
          <t>2027-12-04</t>
        </is>
      </c>
      <c r="C25" s="23" t="inlineStr">
        <is>
          <t>2027-12-12</t>
        </is>
      </c>
      <c r="D25" s="23" t="inlineStr">
        <is>
          <t>04.12.2027 – 12.12.2027</t>
        </is>
      </c>
      <c r="E25" s="23" t="n">
        <v>9</v>
      </c>
      <c r="F25" s="23" t="inlineStr">
        <is>
          <t>27.11.2027 – 12.12.2027</t>
        </is>
      </c>
      <c r="G25" s="23" t="inlineStr">
        <is>
          <t>22.11.2027</t>
        </is>
      </c>
      <c r="H25" s="23" t="inlineStr">
        <is>
          <t>24.11.2027</t>
        </is>
      </c>
    </row>
    <row r="26" ht="18" customHeight="1">
      <c r="A26" s="22" t="inlineStr">
        <is>
          <t>Брошура № 24</t>
        </is>
      </c>
      <c r="B26" s="23" t="inlineStr">
        <is>
          <t>2027-12-18</t>
        </is>
      </c>
      <c r="C26" s="23" t="inlineStr">
        <is>
          <t>2027-12-26</t>
        </is>
      </c>
      <c r="D26" s="23" t="inlineStr">
        <is>
          <t>18.12.2027 – 26.12.2027</t>
        </is>
      </c>
      <c r="E26" s="23" t="n">
        <v>9</v>
      </c>
      <c r="F26" s="23" t="inlineStr">
        <is>
          <t>11.12.2027 – 26.12.2027</t>
        </is>
      </c>
      <c r="G26" s="23" t="inlineStr">
        <is>
          <t>06.12.2027</t>
        </is>
      </c>
      <c r="H26" s="23" t="inlineStr">
        <is>
          <t>08.12.2027</t>
        </is>
      </c>
    </row>
    <row r="27" ht="18" customHeight="1">
      <c r="A27" s="22" t="inlineStr">
        <is>
          <t>Брошура № 25</t>
        </is>
      </c>
      <c r="B27" s="23" t="inlineStr">
        <is>
          <t>2027-12-27</t>
        </is>
      </c>
      <c r="C27" s="23" t="inlineStr">
        <is>
          <t>2028-01-02</t>
        </is>
      </c>
      <c r="D27" s="23" t="inlineStr">
        <is>
          <t>27.12.2027 – 02.01.2028</t>
        </is>
      </c>
      <c r="E27" s="23" t="n">
        <v>7</v>
      </c>
      <c r="F27" s="23" t="inlineStr">
        <is>
          <t>20.12.2027 – 02.01.2028</t>
        </is>
      </c>
      <c r="G27" s="23" t="inlineStr">
        <is>
          <t>15.12.2027</t>
        </is>
      </c>
      <c r="H27" s="23" t="inlineStr">
        <is>
          <t>17.12.2027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УКАЗАНИЯ ЗА ПОПЪЛВАНЕ НА БЛАНКАТА ЗА ПРОМОЦИОНАЛНА БРОШУРА</t>
        </is>
      </c>
    </row>
    <row r="3" ht="22" customHeight="1">
      <c r="A3" s="3" t="inlineStr">
        <is>
          <t>1. Ценообразуване и ДДС (Задължително с ДДС)</t>
        </is>
      </c>
    </row>
    <row r="4" ht="18" customHeight="1">
      <c r="A4" s="24" t="inlineStr">
        <is>
          <t>• Всички цени в бланката (редовна доставна, промоционална доставна и продажна цена) задължително се попълват С ВКЛЮЧЕН ДДС (20%).</t>
        </is>
      </c>
    </row>
    <row r="5" ht="18" customHeight="1">
      <c r="A5" s="24" t="inlineStr">
        <is>
          <t>• Всички стойности се изчисляват и попълват в ЕВРО (€) съгласно валутния режим за 2027 г.</t>
        </is>
      </c>
    </row>
    <row r="7" ht="22" customHeight="1">
      <c r="A7" s="3" t="inlineStr">
        <is>
          <t>2. Период на промоционалната доставна цена (ЗКП)</t>
        </is>
      </c>
    </row>
    <row r="8" ht="18" customHeight="1">
      <c r="A8" s="24" t="inlineStr">
        <is>
          <t>• Промоционалната доставна цена (ЗКП) влиза в сила задължително 7 дни преди старта на брошурата.</t>
        </is>
      </c>
    </row>
    <row r="9" ht="18" customHeight="1">
      <c r="A9" s="24" t="inlineStr">
        <is>
          <t>• Това гарантира навременно зареждане на Централния склад и 11-те търговски обекта на веригата.</t>
        </is>
      </c>
    </row>
    <row r="10" ht="18" customHeight="1">
      <c r="A10" s="24" t="inlineStr">
        <is>
          <t>• Точният период е автоматично посочен в клетка B7 на бланката след избор на Брошура №.</t>
        </is>
      </c>
    </row>
    <row r="12" ht="22" customHeight="1">
      <c r="A12" s="3" t="inlineStr">
        <is>
          <t>3. Попълване на артикулите</t>
        </is>
      </c>
    </row>
    <row r="13" ht="18" customHeight="1">
      <c r="A13" s="24" t="inlineStr">
        <is>
          <t>• Попълвайте само жълтите полета в лист „Бланка_Предложения“.</t>
        </is>
      </c>
    </row>
    <row r="14" ht="18" customHeight="1">
      <c r="A14" s="24" t="inlineStr">
        <is>
          <t>• Не е необходимо да знаете вътрешните артикулни кодове на „Бакалия“.</t>
        </is>
      </c>
    </row>
    <row r="15" ht="18" customHeight="1">
      <c r="A15" s="24" t="inlineStr">
        <is>
          <t>• Моля посочвайте баркод (EAN-13), ако разполагате с такъв — това ускорява обработката.</t>
        </is>
      </c>
    </row>
    <row r="16" ht="18" customHeight="1">
      <c r="A16" s="24" t="inlineStr">
        <is>
          <t>• При оферти за групи артикули (асортимент/видове на една цена), посочете основните разновидности в колона „Бележка / Специфика“.</t>
        </is>
      </c>
    </row>
    <row r="18" ht="22" customHeight="1">
      <c r="A18" s="3" t="inlineStr">
        <is>
          <t>4. Връщане на попълнената бланка</t>
        </is>
      </c>
    </row>
    <row r="19" ht="18" customHeight="1">
      <c r="A19" s="24" t="inlineStr">
        <is>
          <t>• Изпратете попълнения файл обратно по имейл най-късно до крайния срок, посочен в клетка B8.</t>
        </is>
      </c>
    </row>
    <row r="20" ht="18" customHeight="1">
      <c r="A20" s="24" t="inlineStr">
        <is>
          <t>• За контакти и въпроси: Търговски отдел на „Бакалия“ — имейл: s.mart.tonev@gmail.com.</t>
        </is>
      </c>
    </row>
  </sheetData>
  <mergeCells count="16">
    <mergeCell ref="A13:G13"/>
    <mergeCell ref="A14:G14"/>
    <mergeCell ref="A1:G1"/>
    <mergeCell ref="A9:G9"/>
    <mergeCell ref="A18:G18"/>
    <mergeCell ref="A8:G8"/>
    <mergeCell ref="A3:G3"/>
    <mergeCell ref="A12:G12"/>
    <mergeCell ref="A4:G4"/>
    <mergeCell ref="A20:G20"/>
    <mergeCell ref="A16:G16"/>
    <mergeCell ref="A15:G15"/>
    <mergeCell ref="A7:G7"/>
    <mergeCell ref="A19:G19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2026-10-15T12:30:04Z</dcterms:created>
  <dcterms:modified xsi:type="dcterms:W3CDTF">2026-10-15T12:30:04Z</dcterms:modified>
</cp:coreProperties>
</file>